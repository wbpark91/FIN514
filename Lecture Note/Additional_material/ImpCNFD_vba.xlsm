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ddicks\Dropbox\Martin Work\Teaching\FIN514\2018\"/>
    </mc:Choice>
  </mc:AlternateContent>
  <bookViews>
    <workbookView xWindow="2265" yWindow="855" windowWidth="18165" windowHeight="11355" activeTab="7"/>
  </bookViews>
  <sheets>
    <sheet name="EurCall" sheetId="1" r:id="rId1"/>
    <sheet name="CN FD A" sheetId="2" r:id="rId2"/>
    <sheet name="CN FD B" sheetId="6" r:id="rId3"/>
    <sheet name="CN FD C" sheetId="7" r:id="rId4"/>
    <sheet name="CN FD D" sheetId="8" r:id="rId5"/>
    <sheet name="CN FD alpha" sheetId="9" r:id="rId6"/>
    <sheet name="CN FD S" sheetId="10" r:id="rId7"/>
    <sheet name="VBA" sheetId="12" r:id="rId8"/>
  </sheets>
  <definedNames>
    <definedName name="d">EurCall!$B$12</definedName>
    <definedName name="dS">EurCall!$B$5</definedName>
    <definedName name="dt">EurCall!$B$8</definedName>
    <definedName name="K">EurCall!$F$2</definedName>
    <definedName name="nS">EurCall!$B$4</definedName>
    <definedName name="nt">EurCall!$B$7</definedName>
    <definedName name="rate">EurCall!$B$11</definedName>
    <definedName name="S0">EurCall!$B$9</definedName>
    <definedName name="sigma">EurCall!$B$10</definedName>
    <definedName name="Smax">EurCall!$B$2</definedName>
    <definedName name="Smin">EurCall!$B$3</definedName>
    <definedName name="T">EurCall!$B$6</definedName>
  </definedNames>
  <calcPr calcId="162913"/>
</workbook>
</file>

<file path=xl/calcChain.xml><?xml version="1.0" encoding="utf-8"?>
<calcChain xmlns="http://schemas.openxmlformats.org/spreadsheetml/2006/main">
  <c r="F9" i="1" l="1"/>
  <c r="H6" i="12" s="1"/>
  <c r="I6" i="12" s="1"/>
  <c r="Q6" i="12"/>
  <c r="Q5" i="12"/>
  <c r="Q4" i="12"/>
  <c r="Q3" i="12"/>
  <c r="Q2" i="12"/>
  <c r="H13" i="12"/>
  <c r="H25" i="12"/>
  <c r="I25" i="12" s="1"/>
  <c r="AZ65" i="10"/>
  <c r="D67" i="8"/>
  <c r="E67" i="8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W65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I13" i="12"/>
  <c r="B8" i="1"/>
  <c r="D66" i="8" s="1"/>
  <c r="AD16" i="6"/>
  <c r="P16" i="6"/>
  <c r="D16" i="6"/>
  <c r="C16" i="6"/>
  <c r="C65" i="9"/>
  <c r="B5" i="1"/>
  <c r="A16" i="1"/>
  <c r="A17" i="1"/>
  <c r="A18" i="1" s="1"/>
  <c r="A19" i="1"/>
  <c r="A20" i="1" s="1"/>
  <c r="A16" i="8"/>
  <c r="BA65" i="1"/>
  <c r="A16" i="2"/>
  <c r="C16" i="2" s="1"/>
  <c r="AZ65" i="9"/>
  <c r="A16" i="6"/>
  <c r="A17" i="6"/>
  <c r="O17" i="6" s="1"/>
  <c r="A16" i="7"/>
  <c r="C16" i="7" s="1"/>
  <c r="B16" i="1"/>
  <c r="BA16" i="1" s="1"/>
  <c r="D67" i="1"/>
  <c r="E67" i="1" s="1"/>
  <c r="F67" i="1" s="1"/>
  <c r="G67" i="1" s="1"/>
  <c r="H67" i="1"/>
  <c r="I67" i="1" s="1"/>
  <c r="J67" i="1" s="1"/>
  <c r="K67" i="1" s="1"/>
  <c r="L67" i="1" s="1"/>
  <c r="M67" i="1" s="1"/>
  <c r="N67" i="1" s="1"/>
  <c r="O67" i="1" s="1"/>
  <c r="P67" i="1" s="1"/>
  <c r="Q67" i="1" s="1"/>
  <c r="R67" i="1" s="1"/>
  <c r="S67" i="1" s="1"/>
  <c r="T67" i="1" s="1"/>
  <c r="U67" i="1" s="1"/>
  <c r="V67" i="1" s="1"/>
  <c r="W67" i="1" s="1"/>
  <c r="X67" i="1" s="1"/>
  <c r="Y67" i="1" s="1"/>
  <c r="Z67" i="1" s="1"/>
  <c r="AA67" i="1" s="1"/>
  <c r="AB67" i="1" s="1"/>
  <c r="AC67" i="1" s="1"/>
  <c r="AD67" i="1" s="1"/>
  <c r="AE67" i="1" s="1"/>
  <c r="AF67" i="1"/>
  <c r="AG67" i="1" s="1"/>
  <c r="AH67" i="1" s="1"/>
  <c r="AI67" i="1" s="1"/>
  <c r="AJ67" i="1" s="1"/>
  <c r="AK67" i="1" s="1"/>
  <c r="AL67" i="1" s="1"/>
  <c r="AM67" i="1" s="1"/>
  <c r="AN67" i="1" s="1"/>
  <c r="AO67" i="1" s="1"/>
  <c r="AP67" i="1" s="1"/>
  <c r="AQ67" i="1" s="1"/>
  <c r="AR67" i="1" s="1"/>
  <c r="AS67" i="1" s="1"/>
  <c r="AT67" i="1" s="1"/>
  <c r="AU67" i="1" s="1"/>
  <c r="AV67" i="1" s="1"/>
  <c r="AW67" i="1" s="1"/>
  <c r="AX67" i="1" s="1"/>
  <c r="AY67" i="1" s="1"/>
  <c r="AZ67" i="1" s="1"/>
  <c r="BA67" i="1" s="1"/>
  <c r="BA66" i="1" s="1"/>
  <c r="AZ16" i="2"/>
  <c r="B15" i="8"/>
  <c r="AZ16" i="7"/>
  <c r="AY65" i="9"/>
  <c r="AY16" i="2"/>
  <c r="AY16" i="7"/>
  <c r="AX65" i="9"/>
  <c r="AX16" i="2"/>
  <c r="AX16" i="7"/>
  <c r="AW65" i="9"/>
  <c r="AW16" i="2"/>
  <c r="AW16" i="7"/>
  <c r="AV65" i="9"/>
  <c r="AV16" i="2"/>
  <c r="AV16" i="7"/>
  <c r="AU65" i="9"/>
  <c r="AU16" i="2"/>
  <c r="AU16" i="7"/>
  <c r="AT65" i="9"/>
  <c r="AT16" i="2"/>
  <c r="AT16" i="7"/>
  <c r="AS65" i="9"/>
  <c r="AS16" i="2"/>
  <c r="AS16" i="7"/>
  <c r="AR65" i="9"/>
  <c r="AR16" i="2"/>
  <c r="AR16" i="7"/>
  <c r="AQ65" i="9"/>
  <c r="AQ16" i="2"/>
  <c r="AQ16" i="7"/>
  <c r="AP65" i="9"/>
  <c r="AP16" i="2"/>
  <c r="AP16" i="7"/>
  <c r="AO65" i="9"/>
  <c r="AO16" i="2"/>
  <c r="AO16" i="7"/>
  <c r="AN65" i="9"/>
  <c r="AN16" i="2"/>
  <c r="AN16" i="7"/>
  <c r="AM65" i="9"/>
  <c r="AM16" i="2"/>
  <c r="AM16" i="7"/>
  <c r="AL65" i="9"/>
  <c r="AL16" i="2"/>
  <c r="AL16" i="7"/>
  <c r="AK65" i="9"/>
  <c r="AK16" i="2"/>
  <c r="AK16" i="7"/>
  <c r="AJ65" i="9"/>
  <c r="AJ16" i="2"/>
  <c r="AJ16" i="7"/>
  <c r="AI65" i="9"/>
  <c r="AI16" i="2"/>
  <c r="AI16" i="7"/>
  <c r="AH65" i="9"/>
  <c r="AH16" i="2"/>
  <c r="AH16" i="7"/>
  <c r="AG65" i="9"/>
  <c r="AG16" i="2"/>
  <c r="AG16" i="7"/>
  <c r="AF65" i="9"/>
  <c r="AF16" i="2"/>
  <c r="AF16" i="7"/>
  <c r="AE65" i="9"/>
  <c r="AE16" i="2"/>
  <c r="AE16" i="7"/>
  <c r="AD65" i="9"/>
  <c r="AD16" i="2"/>
  <c r="AD16" i="7"/>
  <c r="AC65" i="9"/>
  <c r="AC16" i="2"/>
  <c r="AC16" i="7"/>
  <c r="AB65" i="9"/>
  <c r="AB16" i="2"/>
  <c r="AB16" i="7"/>
  <c r="AA65" i="9"/>
  <c r="AA16" i="2"/>
  <c r="AA16" i="7"/>
  <c r="Z65" i="9"/>
  <c r="Z16" i="2"/>
  <c r="Z16" i="7"/>
  <c r="Y65" i="9"/>
  <c r="Y16" i="2"/>
  <c r="Y16" i="7"/>
  <c r="X65" i="9"/>
  <c r="X16" i="2"/>
  <c r="X16" i="7"/>
  <c r="W65" i="9"/>
  <c r="W16" i="2"/>
  <c r="W16" i="7"/>
  <c r="V65" i="9"/>
  <c r="V16" i="2"/>
  <c r="V16" i="7"/>
  <c r="U65" i="9"/>
  <c r="U16" i="2"/>
  <c r="U16" i="7"/>
  <c r="T65" i="9"/>
  <c r="T16" i="2"/>
  <c r="T16" i="7"/>
  <c r="S65" i="9"/>
  <c r="S16" i="2"/>
  <c r="S16" i="7"/>
  <c r="R65" i="9"/>
  <c r="R16" i="2"/>
  <c r="R16" i="7"/>
  <c r="Q65" i="9"/>
  <c r="Q16" i="2"/>
  <c r="Q16" i="7"/>
  <c r="P65" i="9"/>
  <c r="P16" i="2"/>
  <c r="P16" i="7"/>
  <c r="O65" i="9"/>
  <c r="O16" i="2"/>
  <c r="O16" i="7"/>
  <c r="N65" i="9"/>
  <c r="N16" i="2"/>
  <c r="N16" i="7"/>
  <c r="M65" i="9"/>
  <c r="M16" i="2"/>
  <c r="M16" i="7"/>
  <c r="L65" i="9"/>
  <c r="L16" i="2"/>
  <c r="L16" i="7"/>
  <c r="K65" i="9"/>
  <c r="K16" i="2"/>
  <c r="K16" i="7"/>
  <c r="J65" i="9"/>
  <c r="J16" i="2"/>
  <c r="J16" i="7"/>
  <c r="I65" i="9"/>
  <c r="I16" i="2"/>
  <c r="I16" i="7"/>
  <c r="H65" i="9"/>
  <c r="H16" i="2"/>
  <c r="H16" i="7"/>
  <c r="G65" i="9"/>
  <c r="G16" i="2"/>
  <c r="G16" i="7"/>
  <c r="F65" i="9"/>
  <c r="F16" i="2"/>
  <c r="F16" i="7"/>
  <c r="E65" i="9"/>
  <c r="E16" i="2"/>
  <c r="E16" i="7"/>
  <c r="D16" i="7"/>
  <c r="D16" i="2"/>
  <c r="D65" i="9"/>
  <c r="B16" i="8"/>
  <c r="B17" i="6"/>
  <c r="B16" i="6"/>
  <c r="D67" i="10"/>
  <c r="E67" i="10"/>
  <c r="D66" i="10"/>
  <c r="A16" i="10"/>
  <c r="A17" i="10" s="1"/>
  <c r="B16" i="10"/>
  <c r="B15" i="10"/>
  <c r="D67" i="9"/>
  <c r="D66" i="9" s="1"/>
  <c r="E67" i="9"/>
  <c r="F67" i="9" s="1"/>
  <c r="A16" i="9"/>
  <c r="B16" i="9" s="1"/>
  <c r="A17" i="9"/>
  <c r="A18" i="9" s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B15" i="9"/>
  <c r="D66" i="1"/>
  <c r="D67" i="7"/>
  <c r="D66" i="7" s="1"/>
  <c r="E67" i="7"/>
  <c r="B16" i="7"/>
  <c r="B15" i="7"/>
  <c r="D67" i="6"/>
  <c r="D66" i="6" s="1"/>
  <c r="E67" i="6"/>
  <c r="B15" i="6"/>
  <c r="D67" i="2"/>
  <c r="E67" i="2"/>
  <c r="F67" i="2"/>
  <c r="E66" i="2"/>
  <c r="D66" i="2"/>
  <c r="B16" i="2"/>
  <c r="B15" i="2"/>
  <c r="F67" i="6" l="1"/>
  <c r="E66" i="6"/>
  <c r="F67" i="7"/>
  <c r="E66" i="7"/>
  <c r="G67" i="2"/>
  <c r="F66" i="2"/>
  <c r="B18" i="9"/>
  <c r="A19" i="9"/>
  <c r="G67" i="9"/>
  <c r="F66" i="9"/>
  <c r="A18" i="10"/>
  <c r="B17" i="10"/>
  <c r="F67" i="10"/>
  <c r="E66" i="10"/>
  <c r="B17" i="9"/>
  <c r="E66" i="9"/>
  <c r="A17" i="8"/>
  <c r="A21" i="1"/>
  <c r="A22" i="1" s="1"/>
  <c r="A23" i="1" s="1"/>
  <c r="A24" i="1" s="1"/>
  <c r="B20" i="1"/>
  <c r="BA20" i="1" s="1"/>
  <c r="C15" i="8"/>
  <c r="D15" i="8"/>
  <c r="AY17" i="6"/>
  <c r="AX17" i="6"/>
  <c r="AS17" i="6"/>
  <c r="AO17" i="6"/>
  <c r="AV17" i="6"/>
  <c r="AT17" i="6"/>
  <c r="AN17" i="6"/>
  <c r="AZ17" i="6"/>
  <c r="AR17" i="6"/>
  <c r="AU17" i="6"/>
  <c r="AJ17" i="6"/>
  <c r="AF17" i="6"/>
  <c r="AW17" i="6"/>
  <c r="AI17" i="6"/>
  <c r="AE17" i="6"/>
  <c r="AP17" i="6"/>
  <c r="AM17" i="6"/>
  <c r="AH17" i="6"/>
  <c r="AD17" i="6"/>
  <c r="AQ17" i="6"/>
  <c r="Z17" i="6"/>
  <c r="V17" i="6"/>
  <c r="R17" i="6"/>
  <c r="N17" i="6"/>
  <c r="J17" i="6"/>
  <c r="F17" i="6"/>
  <c r="AK17" i="6"/>
  <c r="Y17" i="6"/>
  <c r="U17" i="6"/>
  <c r="Q17" i="6"/>
  <c r="M17" i="6"/>
  <c r="I17" i="6"/>
  <c r="AL17" i="6"/>
  <c r="AG17" i="6"/>
  <c r="AB17" i="6"/>
  <c r="X17" i="6"/>
  <c r="T17" i="6"/>
  <c r="P17" i="6"/>
  <c r="L17" i="6"/>
  <c r="H17" i="6"/>
  <c r="D17" i="6"/>
  <c r="AA17" i="6"/>
  <c r="K17" i="6"/>
  <c r="A18" i="6"/>
  <c r="W17" i="6"/>
  <c r="G17" i="6"/>
  <c r="AC17" i="6"/>
  <c r="S17" i="6"/>
  <c r="E17" i="6"/>
  <c r="C17" i="6"/>
  <c r="B21" i="1"/>
  <c r="BA21" i="1" s="1"/>
  <c r="B17" i="1"/>
  <c r="BA17" i="1" s="1"/>
  <c r="AZ16" i="8" s="1"/>
  <c r="B22" i="1"/>
  <c r="BA22" i="1" s="1"/>
  <c r="B18" i="1"/>
  <c r="BA18" i="1" s="1"/>
  <c r="B23" i="1"/>
  <c r="BA23" i="1" s="1"/>
  <c r="B19" i="1"/>
  <c r="BA19" i="1" s="1"/>
  <c r="B15" i="1"/>
  <c r="BA15" i="1" s="1"/>
  <c r="A17" i="7"/>
  <c r="AZ16" i="6"/>
  <c r="AY16" i="6"/>
  <c r="AW16" i="6"/>
  <c r="AT16" i="6"/>
  <c r="AP16" i="6"/>
  <c r="AL16" i="6"/>
  <c r="AS16" i="6"/>
  <c r="AU16" i="6"/>
  <c r="AO16" i="6"/>
  <c r="AV16" i="6"/>
  <c r="AQ16" i="6"/>
  <c r="AK16" i="6"/>
  <c r="AG16" i="6"/>
  <c r="AC16" i="6"/>
  <c r="AR16" i="6"/>
  <c r="AJ16" i="6"/>
  <c r="AF16" i="6"/>
  <c r="AI16" i="6"/>
  <c r="AE16" i="6"/>
  <c r="AX16" i="6"/>
  <c r="AA16" i="6"/>
  <c r="W16" i="6"/>
  <c r="S16" i="6"/>
  <c r="O16" i="6"/>
  <c r="K16" i="6"/>
  <c r="G16" i="6"/>
  <c r="AM16" i="6"/>
  <c r="Z16" i="6"/>
  <c r="V16" i="6"/>
  <c r="R16" i="6"/>
  <c r="N16" i="6"/>
  <c r="J16" i="6"/>
  <c r="F16" i="6"/>
  <c r="AN16" i="6"/>
  <c r="AH16" i="6"/>
  <c r="Y16" i="6"/>
  <c r="U16" i="6"/>
  <c r="Q16" i="6"/>
  <c r="M16" i="6"/>
  <c r="I16" i="6"/>
  <c r="E16" i="6"/>
  <c r="A17" i="2"/>
  <c r="T16" i="6"/>
  <c r="H16" i="6"/>
  <c r="X16" i="6"/>
  <c r="L16" i="6"/>
  <c r="AB16" i="6"/>
  <c r="E66" i="8"/>
  <c r="E15" i="8" s="1"/>
  <c r="F67" i="8"/>
  <c r="H9" i="12"/>
  <c r="I9" i="12" s="1"/>
  <c r="H21" i="12"/>
  <c r="I21" i="12" s="1"/>
  <c r="H5" i="12"/>
  <c r="I5" i="12" s="1"/>
  <c r="H17" i="12"/>
  <c r="I17" i="12" s="1"/>
  <c r="H24" i="12"/>
  <c r="I24" i="12" s="1"/>
  <c r="H20" i="12"/>
  <c r="I20" i="12" s="1"/>
  <c r="H16" i="12"/>
  <c r="I16" i="12" s="1"/>
  <c r="H12" i="12"/>
  <c r="I12" i="12" s="1"/>
  <c r="H8" i="12"/>
  <c r="I8" i="12" s="1"/>
  <c r="H4" i="12"/>
  <c r="I4" i="12" s="1"/>
  <c r="H23" i="12"/>
  <c r="I23" i="12" s="1"/>
  <c r="H19" i="12"/>
  <c r="I19" i="12" s="1"/>
  <c r="H15" i="12"/>
  <c r="I15" i="12" s="1"/>
  <c r="H11" i="12"/>
  <c r="I11" i="12" s="1"/>
  <c r="H7" i="12"/>
  <c r="I7" i="12" s="1"/>
  <c r="H3" i="12"/>
  <c r="I3" i="12" s="1"/>
  <c r="H2" i="12"/>
  <c r="I2" i="12" s="1"/>
  <c r="H22" i="12"/>
  <c r="I22" i="12" s="1"/>
  <c r="H18" i="12"/>
  <c r="I18" i="12" s="1"/>
  <c r="H14" i="12"/>
  <c r="I14" i="12" s="1"/>
  <c r="H10" i="12"/>
  <c r="I10" i="12" s="1"/>
  <c r="AZ17" i="2" l="1"/>
  <c r="AV17" i="2"/>
  <c r="C17" i="2"/>
  <c r="AW17" i="2"/>
  <c r="AX17" i="2"/>
  <c r="AS17" i="2"/>
  <c r="AO17" i="2"/>
  <c r="AK17" i="2"/>
  <c r="AT17" i="2"/>
  <c r="AP17" i="2"/>
  <c r="AL17" i="2"/>
  <c r="A18" i="2"/>
  <c r="AU17" i="2"/>
  <c r="AQ17" i="2"/>
  <c r="AM17" i="2"/>
  <c r="AI17" i="2"/>
  <c r="AY17" i="2"/>
  <c r="AJ17" i="2"/>
  <c r="AF17" i="2"/>
  <c r="AR17" i="2"/>
  <c r="AN17" i="2"/>
  <c r="AG17" i="2"/>
  <c r="AE17" i="2"/>
  <c r="AC17" i="2"/>
  <c r="AD17" i="2"/>
  <c r="AH17" i="2"/>
  <c r="Y17" i="2"/>
  <c r="U17" i="2"/>
  <c r="Q17" i="2"/>
  <c r="M17" i="2"/>
  <c r="Z17" i="2"/>
  <c r="V17" i="2"/>
  <c r="R17" i="2"/>
  <c r="N17" i="2"/>
  <c r="J17" i="2"/>
  <c r="F17" i="2"/>
  <c r="AA17" i="2"/>
  <c r="W17" i="2"/>
  <c r="S17" i="2"/>
  <c r="O17" i="2"/>
  <c r="K17" i="2"/>
  <c r="AB17" i="2"/>
  <c r="E17" i="2"/>
  <c r="G17" i="2"/>
  <c r="D17" i="2"/>
  <c r="B17" i="2"/>
  <c r="I17" i="2"/>
  <c r="X17" i="2"/>
  <c r="T17" i="2"/>
  <c r="P17" i="2"/>
  <c r="L17" i="2"/>
  <c r="H17" i="2"/>
  <c r="G67" i="8"/>
  <c r="F66" i="8"/>
  <c r="F15" i="8" s="1"/>
  <c r="A25" i="1"/>
  <c r="B24" i="1"/>
  <c r="BA24" i="1" s="1"/>
  <c r="A19" i="10"/>
  <c r="B18" i="10"/>
  <c r="G67" i="7"/>
  <c r="F66" i="7"/>
  <c r="C17" i="7"/>
  <c r="AZ17" i="7"/>
  <c r="AV17" i="7"/>
  <c r="AW17" i="7"/>
  <c r="AX17" i="7"/>
  <c r="AS17" i="7"/>
  <c r="AO17" i="7"/>
  <c r="AK17" i="7"/>
  <c r="AY17" i="7"/>
  <c r="AT17" i="7"/>
  <c r="AP17" i="7"/>
  <c r="AL17" i="7"/>
  <c r="A18" i="7"/>
  <c r="AU17" i="7"/>
  <c r="AQ17" i="7"/>
  <c r="AM17" i="7"/>
  <c r="AI17" i="7"/>
  <c r="AR17" i="7"/>
  <c r="AN17" i="7"/>
  <c r="AJ17" i="7"/>
  <c r="AF17" i="7"/>
  <c r="AH17" i="7"/>
  <c r="AE17" i="7"/>
  <c r="AC17" i="7"/>
  <c r="AG17" i="7"/>
  <c r="AD17" i="7"/>
  <c r="Y17" i="7"/>
  <c r="U17" i="7"/>
  <c r="Q17" i="7"/>
  <c r="M17" i="7"/>
  <c r="AB17" i="7"/>
  <c r="Z17" i="7"/>
  <c r="V17" i="7"/>
  <c r="R17" i="7"/>
  <c r="N17" i="7"/>
  <c r="J17" i="7"/>
  <c r="F17" i="7"/>
  <c r="AA17" i="7"/>
  <c r="W17" i="7"/>
  <c r="S17" i="7"/>
  <c r="O17" i="7"/>
  <c r="K17" i="7"/>
  <c r="X17" i="7"/>
  <c r="T17" i="7"/>
  <c r="P17" i="7"/>
  <c r="L17" i="7"/>
  <c r="G17" i="7"/>
  <c r="D17" i="7"/>
  <c r="I17" i="7"/>
  <c r="H17" i="7"/>
  <c r="E17" i="7"/>
  <c r="B17" i="7"/>
  <c r="AX18" i="6"/>
  <c r="AZ18" i="6"/>
  <c r="AW18" i="6"/>
  <c r="AV18" i="6"/>
  <c r="AR18" i="6"/>
  <c r="AN18" i="6"/>
  <c r="AU18" i="6"/>
  <c r="AS18" i="6"/>
  <c r="AM18" i="6"/>
  <c r="AY18" i="6"/>
  <c r="AQ18" i="6"/>
  <c r="AT18" i="6"/>
  <c r="AO18" i="6"/>
  <c r="AI18" i="6"/>
  <c r="AE18" i="6"/>
  <c r="AP18" i="6"/>
  <c r="AH18" i="6"/>
  <c r="AD18" i="6"/>
  <c r="AL18" i="6"/>
  <c r="AK18" i="6"/>
  <c r="AG18" i="6"/>
  <c r="AC18" i="6"/>
  <c r="Y18" i="6"/>
  <c r="U18" i="6"/>
  <c r="Q18" i="6"/>
  <c r="M18" i="6"/>
  <c r="I18" i="6"/>
  <c r="E18" i="6"/>
  <c r="AJ18" i="6"/>
  <c r="AB18" i="6"/>
  <c r="X18" i="6"/>
  <c r="T18" i="6"/>
  <c r="P18" i="6"/>
  <c r="L18" i="6"/>
  <c r="H18" i="6"/>
  <c r="AF18" i="6"/>
  <c r="AA18" i="6"/>
  <c r="W18" i="6"/>
  <c r="S18" i="6"/>
  <c r="O18" i="6"/>
  <c r="K18" i="6"/>
  <c r="G18" i="6"/>
  <c r="Z18" i="6"/>
  <c r="J18" i="6"/>
  <c r="V18" i="6"/>
  <c r="F18" i="6"/>
  <c r="C18" i="6"/>
  <c r="A19" i="6"/>
  <c r="R18" i="6"/>
  <c r="D18" i="6"/>
  <c r="N18" i="6"/>
  <c r="B18" i="6"/>
  <c r="AZ17" i="8"/>
  <c r="A18" i="8"/>
  <c r="B17" i="8"/>
  <c r="A20" i="9"/>
  <c r="B19" i="9"/>
  <c r="G67" i="10"/>
  <c r="F66" i="10"/>
  <c r="H67" i="9"/>
  <c r="G66" i="9"/>
  <c r="H67" i="2"/>
  <c r="G66" i="2"/>
  <c r="G67" i="6"/>
  <c r="F66" i="6"/>
  <c r="H66" i="9" l="1"/>
  <c r="I67" i="9"/>
  <c r="B20" i="9"/>
  <c r="A21" i="9"/>
  <c r="AZ19" i="6"/>
  <c r="AW19" i="6"/>
  <c r="AU19" i="6"/>
  <c r="AQ19" i="6"/>
  <c r="AM19" i="6"/>
  <c r="AY19" i="6"/>
  <c r="AT19" i="6"/>
  <c r="AR19" i="6"/>
  <c r="AX19" i="6"/>
  <c r="AP19" i="6"/>
  <c r="AS19" i="6"/>
  <c r="AH19" i="6"/>
  <c r="AD19" i="6"/>
  <c r="AL19" i="6"/>
  <c r="AK19" i="6"/>
  <c r="AG19" i="6"/>
  <c r="AC19" i="6"/>
  <c r="AN19" i="6"/>
  <c r="AJ19" i="6"/>
  <c r="AF19" i="6"/>
  <c r="AB19" i="6"/>
  <c r="X19" i="6"/>
  <c r="T19" i="6"/>
  <c r="P19" i="6"/>
  <c r="L19" i="6"/>
  <c r="H19" i="6"/>
  <c r="D19" i="6"/>
  <c r="AO19" i="6"/>
  <c r="AI19" i="6"/>
  <c r="AA19" i="6"/>
  <c r="W19" i="6"/>
  <c r="S19" i="6"/>
  <c r="O19" i="6"/>
  <c r="K19" i="6"/>
  <c r="G19" i="6"/>
  <c r="AE19" i="6"/>
  <c r="Z19" i="6"/>
  <c r="V19" i="6"/>
  <c r="R19" i="6"/>
  <c r="N19" i="6"/>
  <c r="J19" i="6"/>
  <c r="F19" i="6"/>
  <c r="Y19" i="6"/>
  <c r="I19" i="6"/>
  <c r="C19" i="6"/>
  <c r="U19" i="6"/>
  <c r="E19" i="6"/>
  <c r="Q19" i="6"/>
  <c r="A20" i="6"/>
  <c r="AV19" i="6"/>
  <c r="M19" i="6"/>
  <c r="B19" i="6"/>
  <c r="C18" i="2"/>
  <c r="A19" i="2"/>
  <c r="AX18" i="2"/>
  <c r="AZ18" i="2"/>
  <c r="AY18" i="2"/>
  <c r="AV18" i="2"/>
  <c r="AU18" i="2"/>
  <c r="AQ18" i="2"/>
  <c r="AM18" i="2"/>
  <c r="AW18" i="2"/>
  <c r="AR18" i="2"/>
  <c r="AN18" i="2"/>
  <c r="AS18" i="2"/>
  <c r="AO18" i="2"/>
  <c r="AK18" i="2"/>
  <c r="AG18" i="2"/>
  <c r="AT18" i="2"/>
  <c r="AP18" i="2"/>
  <c r="AL18" i="2"/>
  <c r="AH18" i="2"/>
  <c r="AC18" i="2"/>
  <c r="AE18" i="2"/>
  <c r="AJ18" i="2"/>
  <c r="AF18" i="2"/>
  <c r="AB18" i="2"/>
  <c r="AA18" i="2"/>
  <c r="W18" i="2"/>
  <c r="S18" i="2"/>
  <c r="O18" i="2"/>
  <c r="K18" i="2"/>
  <c r="AI18" i="2"/>
  <c r="AD18" i="2"/>
  <c r="X18" i="2"/>
  <c r="T18" i="2"/>
  <c r="P18" i="2"/>
  <c r="L18" i="2"/>
  <c r="H18" i="2"/>
  <c r="Y18" i="2"/>
  <c r="U18" i="2"/>
  <c r="Q18" i="2"/>
  <c r="M18" i="2"/>
  <c r="Z18" i="2"/>
  <c r="V18" i="2"/>
  <c r="R18" i="2"/>
  <c r="N18" i="2"/>
  <c r="G18" i="2"/>
  <c r="I18" i="2"/>
  <c r="E18" i="2"/>
  <c r="B18" i="2"/>
  <c r="F18" i="2"/>
  <c r="D18" i="2"/>
  <c r="J18" i="2"/>
  <c r="AZ18" i="8"/>
  <c r="A19" i="8"/>
  <c r="B18" i="8"/>
  <c r="H67" i="6"/>
  <c r="G66" i="6"/>
  <c r="H67" i="7"/>
  <c r="G66" i="7"/>
  <c r="A26" i="1"/>
  <c r="B25" i="1"/>
  <c r="BA25" i="1" s="1"/>
  <c r="H66" i="2"/>
  <c r="I67" i="2"/>
  <c r="H67" i="10"/>
  <c r="G66" i="10"/>
  <c r="A19" i="7"/>
  <c r="AW18" i="7"/>
  <c r="AX18" i="7"/>
  <c r="AZ18" i="7"/>
  <c r="AY18" i="7"/>
  <c r="AT18" i="7"/>
  <c r="AP18" i="7"/>
  <c r="AL18" i="7"/>
  <c r="AU18" i="7"/>
  <c r="AQ18" i="7"/>
  <c r="AM18" i="7"/>
  <c r="AV18" i="7"/>
  <c r="AR18" i="7"/>
  <c r="AN18" i="7"/>
  <c r="AJ18" i="7"/>
  <c r="AF18" i="7"/>
  <c r="C18" i="7"/>
  <c r="AG18" i="7"/>
  <c r="AS18" i="7"/>
  <c r="AO18" i="7"/>
  <c r="AI18" i="7"/>
  <c r="AB18" i="7"/>
  <c r="AD18" i="7"/>
  <c r="AH18" i="7"/>
  <c r="AE18" i="7"/>
  <c r="Z18" i="7"/>
  <c r="V18" i="7"/>
  <c r="R18" i="7"/>
  <c r="N18" i="7"/>
  <c r="AA18" i="7"/>
  <c r="W18" i="7"/>
  <c r="S18" i="7"/>
  <c r="O18" i="7"/>
  <c r="K18" i="7"/>
  <c r="G18" i="7"/>
  <c r="AK18" i="7"/>
  <c r="AC18" i="7"/>
  <c r="X18" i="7"/>
  <c r="T18" i="7"/>
  <c r="P18" i="7"/>
  <c r="L18" i="7"/>
  <c r="B18" i="7"/>
  <c r="J18" i="7"/>
  <c r="F18" i="7"/>
  <c r="Y18" i="7"/>
  <c r="U18" i="7"/>
  <c r="Q18" i="7"/>
  <c r="M18" i="7"/>
  <c r="I18" i="7"/>
  <c r="H18" i="7"/>
  <c r="E18" i="7"/>
  <c r="D18" i="7"/>
  <c r="A20" i="10"/>
  <c r="B19" i="10"/>
  <c r="G66" i="8"/>
  <c r="G15" i="8" s="1"/>
  <c r="H67" i="8"/>
  <c r="A27" i="1" l="1"/>
  <c r="B26" i="1"/>
  <c r="BA26" i="1" s="1"/>
  <c r="H66" i="6"/>
  <c r="I67" i="6"/>
  <c r="J67" i="2"/>
  <c r="I66" i="2"/>
  <c r="H66" i="10"/>
  <c r="I67" i="10"/>
  <c r="A22" i="9"/>
  <c r="B21" i="9"/>
  <c r="A21" i="10"/>
  <c r="B20" i="10"/>
  <c r="AY19" i="7"/>
  <c r="A20" i="7"/>
  <c r="AZ19" i="7"/>
  <c r="C19" i="7"/>
  <c r="AW19" i="7"/>
  <c r="AV19" i="7"/>
  <c r="AR19" i="7"/>
  <c r="AN19" i="7"/>
  <c r="AS19" i="7"/>
  <c r="AO19" i="7"/>
  <c r="AK19" i="7"/>
  <c r="AT19" i="7"/>
  <c r="AP19" i="7"/>
  <c r="AL19" i="7"/>
  <c r="AH19" i="7"/>
  <c r="AI19" i="7"/>
  <c r="AU19" i="7"/>
  <c r="AQ19" i="7"/>
  <c r="AM19" i="7"/>
  <c r="AJ19" i="7"/>
  <c r="AF19" i="7"/>
  <c r="AD19" i="7"/>
  <c r="AB19" i="7"/>
  <c r="AX19" i="7"/>
  <c r="AC19" i="7"/>
  <c r="X19" i="7"/>
  <c r="T19" i="7"/>
  <c r="P19" i="7"/>
  <c r="L19" i="7"/>
  <c r="Y19" i="7"/>
  <c r="U19" i="7"/>
  <c r="Q19" i="7"/>
  <c r="M19" i="7"/>
  <c r="I19" i="7"/>
  <c r="E19" i="7"/>
  <c r="D19" i="7"/>
  <c r="Z19" i="7"/>
  <c r="V19" i="7"/>
  <c r="R19" i="7"/>
  <c r="N19" i="7"/>
  <c r="AG19" i="7"/>
  <c r="AE19" i="7"/>
  <c r="J19" i="7"/>
  <c r="F19" i="7"/>
  <c r="B19" i="7"/>
  <c r="AA19" i="7"/>
  <c r="W19" i="7"/>
  <c r="S19" i="7"/>
  <c r="O19" i="7"/>
  <c r="K19" i="7"/>
  <c r="G19" i="7"/>
  <c r="H19" i="7"/>
  <c r="H66" i="7"/>
  <c r="I67" i="7"/>
  <c r="AZ19" i="8"/>
  <c r="A20" i="8"/>
  <c r="B19" i="8"/>
  <c r="AV19" i="2"/>
  <c r="A20" i="2"/>
  <c r="AW19" i="2"/>
  <c r="AZ19" i="2"/>
  <c r="AX19" i="2"/>
  <c r="AS19" i="2"/>
  <c r="AO19" i="2"/>
  <c r="AK19" i="2"/>
  <c r="AT19" i="2"/>
  <c r="AP19" i="2"/>
  <c r="AL19" i="2"/>
  <c r="AY19" i="2"/>
  <c r="AU19" i="2"/>
  <c r="AQ19" i="2"/>
  <c r="AM19" i="2"/>
  <c r="C19" i="2"/>
  <c r="AI19" i="2"/>
  <c r="AJ19" i="2"/>
  <c r="AF19" i="2"/>
  <c r="AR19" i="2"/>
  <c r="AN19" i="2"/>
  <c r="AE19" i="2"/>
  <c r="AG19" i="2"/>
  <c r="AC19" i="2"/>
  <c r="AH19" i="2"/>
  <c r="AD19" i="2"/>
  <c r="Y19" i="2"/>
  <c r="U19" i="2"/>
  <c r="Q19" i="2"/>
  <c r="M19" i="2"/>
  <c r="Z19" i="2"/>
  <c r="V19" i="2"/>
  <c r="R19" i="2"/>
  <c r="N19" i="2"/>
  <c r="J19" i="2"/>
  <c r="F19" i="2"/>
  <c r="D19" i="2"/>
  <c r="AB19" i="2"/>
  <c r="AA19" i="2"/>
  <c r="W19" i="2"/>
  <c r="S19" i="2"/>
  <c r="O19" i="2"/>
  <c r="K19" i="2"/>
  <c r="I19" i="2"/>
  <c r="E19" i="2"/>
  <c r="B19" i="2"/>
  <c r="X19" i="2"/>
  <c r="T19" i="2"/>
  <c r="P19" i="2"/>
  <c r="L19" i="2"/>
  <c r="H19" i="2"/>
  <c r="G19" i="2"/>
  <c r="J67" i="9"/>
  <c r="I66" i="9"/>
  <c r="I67" i="8"/>
  <c r="H66" i="8"/>
  <c r="H15" i="8" s="1"/>
  <c r="AV20" i="6"/>
  <c r="AY20" i="6"/>
  <c r="AZ20" i="6"/>
  <c r="AT20" i="6"/>
  <c r="AP20" i="6"/>
  <c r="AL20" i="6"/>
  <c r="AX20" i="6"/>
  <c r="AS20" i="6"/>
  <c r="AQ20" i="6"/>
  <c r="AW20" i="6"/>
  <c r="AO20" i="6"/>
  <c r="AR20" i="6"/>
  <c r="AK20" i="6"/>
  <c r="AG20" i="6"/>
  <c r="AC20" i="6"/>
  <c r="AN20" i="6"/>
  <c r="AM20" i="6"/>
  <c r="AJ20" i="6"/>
  <c r="AF20" i="6"/>
  <c r="AI20" i="6"/>
  <c r="AE20" i="6"/>
  <c r="AA20" i="6"/>
  <c r="W20" i="6"/>
  <c r="S20" i="6"/>
  <c r="O20" i="6"/>
  <c r="K20" i="6"/>
  <c r="G20" i="6"/>
  <c r="AH20" i="6"/>
  <c r="Z20" i="6"/>
  <c r="V20" i="6"/>
  <c r="R20" i="6"/>
  <c r="N20" i="6"/>
  <c r="J20" i="6"/>
  <c r="F20" i="6"/>
  <c r="AU20" i="6"/>
  <c r="AD20" i="6"/>
  <c r="Y20" i="6"/>
  <c r="U20" i="6"/>
  <c r="Q20" i="6"/>
  <c r="M20" i="6"/>
  <c r="I20" i="6"/>
  <c r="E20" i="6"/>
  <c r="X20" i="6"/>
  <c r="H20" i="6"/>
  <c r="T20" i="6"/>
  <c r="D20" i="6"/>
  <c r="P20" i="6"/>
  <c r="AB20" i="6"/>
  <c r="C20" i="6"/>
  <c r="A21" i="6"/>
  <c r="L20" i="6"/>
  <c r="B20" i="6"/>
  <c r="J67" i="10" l="1"/>
  <c r="I66" i="10"/>
  <c r="AX20" i="2"/>
  <c r="AY20" i="2"/>
  <c r="C20" i="2"/>
  <c r="A21" i="2"/>
  <c r="AV20" i="2"/>
  <c r="AW20" i="2"/>
  <c r="AU20" i="2"/>
  <c r="AQ20" i="2"/>
  <c r="AM20" i="2"/>
  <c r="AZ20" i="2"/>
  <c r="AR20" i="2"/>
  <c r="AN20" i="2"/>
  <c r="AS20" i="2"/>
  <c r="AO20" i="2"/>
  <c r="AK20" i="2"/>
  <c r="AT20" i="2"/>
  <c r="AP20" i="2"/>
  <c r="AL20" i="2"/>
  <c r="AG20" i="2"/>
  <c r="AH20" i="2"/>
  <c r="AC20" i="2"/>
  <c r="AE20" i="2"/>
  <c r="AA20" i="2"/>
  <c r="AI20" i="2"/>
  <c r="AB20" i="2"/>
  <c r="AD20" i="2"/>
  <c r="W20" i="2"/>
  <c r="S20" i="2"/>
  <c r="O20" i="2"/>
  <c r="K20" i="2"/>
  <c r="AF20" i="2"/>
  <c r="X20" i="2"/>
  <c r="T20" i="2"/>
  <c r="P20" i="2"/>
  <c r="L20" i="2"/>
  <c r="H20" i="2"/>
  <c r="AJ20" i="2"/>
  <c r="Y20" i="2"/>
  <c r="U20" i="2"/>
  <c r="Q20" i="2"/>
  <c r="M20" i="2"/>
  <c r="J20" i="2"/>
  <c r="F20" i="2"/>
  <c r="N20" i="2"/>
  <c r="G20" i="2"/>
  <c r="Z20" i="2"/>
  <c r="V20" i="2"/>
  <c r="R20" i="2"/>
  <c r="D20" i="2"/>
  <c r="I20" i="2"/>
  <c r="E20" i="2"/>
  <c r="B20" i="2"/>
  <c r="A22" i="10"/>
  <c r="B21" i="10"/>
  <c r="J66" i="9"/>
  <c r="K67" i="9"/>
  <c r="J67" i="7"/>
  <c r="I66" i="7"/>
  <c r="AW20" i="7"/>
  <c r="C20" i="7"/>
  <c r="AX20" i="7"/>
  <c r="A21" i="7"/>
  <c r="AZ20" i="7"/>
  <c r="AY20" i="7"/>
  <c r="AT20" i="7"/>
  <c r="AP20" i="7"/>
  <c r="AL20" i="7"/>
  <c r="AU20" i="7"/>
  <c r="AQ20" i="7"/>
  <c r="AM20" i="7"/>
  <c r="AR20" i="7"/>
  <c r="AN20" i="7"/>
  <c r="AS20" i="7"/>
  <c r="AO20" i="7"/>
  <c r="AK20" i="7"/>
  <c r="AJ20" i="7"/>
  <c r="AF20" i="7"/>
  <c r="AG20" i="7"/>
  <c r="AH20" i="7"/>
  <c r="AB20" i="7"/>
  <c r="AI20" i="7"/>
  <c r="AD20" i="7"/>
  <c r="AE20" i="7"/>
  <c r="AC20" i="7"/>
  <c r="Z20" i="7"/>
  <c r="V20" i="7"/>
  <c r="R20" i="7"/>
  <c r="N20" i="7"/>
  <c r="AA20" i="7"/>
  <c r="W20" i="7"/>
  <c r="S20" i="7"/>
  <c r="O20" i="7"/>
  <c r="K20" i="7"/>
  <c r="G20" i="7"/>
  <c r="X20" i="7"/>
  <c r="T20" i="7"/>
  <c r="P20" i="7"/>
  <c r="L20" i="7"/>
  <c r="J20" i="7"/>
  <c r="F20" i="7"/>
  <c r="B20" i="7"/>
  <c r="AV20" i="7"/>
  <c r="Y20" i="7"/>
  <c r="U20" i="7"/>
  <c r="D20" i="7"/>
  <c r="H20" i="7"/>
  <c r="Q20" i="7"/>
  <c r="I20" i="7"/>
  <c r="E20" i="7"/>
  <c r="M20" i="7"/>
  <c r="I66" i="8"/>
  <c r="I15" i="8" s="1"/>
  <c r="J67" i="8"/>
  <c r="AZ20" i="8"/>
  <c r="A21" i="8"/>
  <c r="B20" i="8"/>
  <c r="J67" i="6"/>
  <c r="I66" i="6"/>
  <c r="AY21" i="6"/>
  <c r="AX21" i="6"/>
  <c r="AS21" i="6"/>
  <c r="AO21" i="6"/>
  <c r="AW21" i="6"/>
  <c r="AR21" i="6"/>
  <c r="AZ21" i="6"/>
  <c r="AP21" i="6"/>
  <c r="AV21" i="6"/>
  <c r="AU21" i="6"/>
  <c r="AN21" i="6"/>
  <c r="AM21" i="6"/>
  <c r="AL21" i="6"/>
  <c r="AJ21" i="6"/>
  <c r="AF21" i="6"/>
  <c r="AI21" i="6"/>
  <c r="AE21" i="6"/>
  <c r="AQ21" i="6"/>
  <c r="AH21" i="6"/>
  <c r="AD21" i="6"/>
  <c r="AK21" i="6"/>
  <c r="Z21" i="6"/>
  <c r="V21" i="6"/>
  <c r="R21" i="6"/>
  <c r="N21" i="6"/>
  <c r="J21" i="6"/>
  <c r="F21" i="6"/>
  <c r="AT21" i="6"/>
  <c r="AG21" i="6"/>
  <c r="Y21" i="6"/>
  <c r="U21" i="6"/>
  <c r="Q21" i="6"/>
  <c r="M21" i="6"/>
  <c r="I21" i="6"/>
  <c r="E21" i="6"/>
  <c r="AC21" i="6"/>
  <c r="AB21" i="6"/>
  <c r="X21" i="6"/>
  <c r="T21" i="6"/>
  <c r="P21" i="6"/>
  <c r="L21" i="6"/>
  <c r="H21" i="6"/>
  <c r="D21" i="6"/>
  <c r="W21" i="6"/>
  <c r="G21" i="6"/>
  <c r="A22" i="6"/>
  <c r="S21" i="6"/>
  <c r="O21" i="6"/>
  <c r="C21" i="6"/>
  <c r="AA21" i="6"/>
  <c r="K21" i="6"/>
  <c r="B21" i="6"/>
  <c r="B22" i="9"/>
  <c r="A23" i="9"/>
  <c r="K67" i="2"/>
  <c r="J66" i="2"/>
  <c r="A28" i="1"/>
  <c r="B27" i="1"/>
  <c r="BA27" i="1" s="1"/>
  <c r="AZ21" i="8" l="1"/>
  <c r="A22" i="8"/>
  <c r="B21" i="8"/>
  <c r="C21" i="7"/>
  <c r="AY21" i="7"/>
  <c r="AW21" i="7"/>
  <c r="AR21" i="7"/>
  <c r="AN21" i="7"/>
  <c r="AS21" i="7"/>
  <c r="AO21" i="7"/>
  <c r="AK21" i="7"/>
  <c r="AZ21" i="7"/>
  <c r="AX21" i="7"/>
  <c r="AV21" i="7"/>
  <c r="AT21" i="7"/>
  <c r="AP21" i="7"/>
  <c r="AL21" i="7"/>
  <c r="AH21" i="7"/>
  <c r="AI21" i="7"/>
  <c r="A22" i="7"/>
  <c r="AD21" i="7"/>
  <c r="AJ21" i="7"/>
  <c r="AF21" i="7"/>
  <c r="AB21" i="7"/>
  <c r="AG21" i="7"/>
  <c r="AC21" i="7"/>
  <c r="AU21" i="7"/>
  <c r="X21" i="7"/>
  <c r="T21" i="7"/>
  <c r="P21" i="7"/>
  <c r="L21" i="7"/>
  <c r="Y21" i="7"/>
  <c r="U21" i="7"/>
  <c r="Q21" i="7"/>
  <c r="M21" i="7"/>
  <c r="I21" i="7"/>
  <c r="E21" i="7"/>
  <c r="AM21" i="7"/>
  <c r="AE21" i="7"/>
  <c r="Z21" i="7"/>
  <c r="V21" i="7"/>
  <c r="R21" i="7"/>
  <c r="N21" i="7"/>
  <c r="AQ21" i="7"/>
  <c r="H21" i="7"/>
  <c r="D21" i="7"/>
  <c r="AA21" i="7"/>
  <c r="W21" i="7"/>
  <c r="S21" i="7"/>
  <c r="O21" i="7"/>
  <c r="K21" i="7"/>
  <c r="J21" i="7"/>
  <c r="F21" i="7"/>
  <c r="G21" i="7"/>
  <c r="B21" i="7"/>
  <c r="L67" i="2"/>
  <c r="K66" i="2"/>
  <c r="K67" i="6"/>
  <c r="J66" i="6"/>
  <c r="K67" i="8"/>
  <c r="J66" i="8"/>
  <c r="J15" i="8" s="1"/>
  <c r="K66" i="9"/>
  <c r="L67" i="9"/>
  <c r="AZ21" i="2"/>
  <c r="AV21" i="2"/>
  <c r="C21" i="2"/>
  <c r="AW21" i="2"/>
  <c r="AX21" i="2"/>
  <c r="AS21" i="2"/>
  <c r="AO21" i="2"/>
  <c r="AK21" i="2"/>
  <c r="AY21" i="2"/>
  <c r="AT21" i="2"/>
  <c r="AP21" i="2"/>
  <c r="AL21" i="2"/>
  <c r="AU21" i="2"/>
  <c r="AQ21" i="2"/>
  <c r="AM21" i="2"/>
  <c r="AI21" i="2"/>
  <c r="A22" i="2"/>
  <c r="AR21" i="2"/>
  <c r="AN21" i="2"/>
  <c r="AJ21" i="2"/>
  <c r="AF21" i="2"/>
  <c r="AG21" i="2"/>
  <c r="AE21" i="2"/>
  <c r="AC21" i="2"/>
  <c r="AD21" i="2"/>
  <c r="Y21" i="2"/>
  <c r="U21" i="2"/>
  <c r="Q21" i="2"/>
  <c r="M21" i="2"/>
  <c r="AB21" i="2"/>
  <c r="Z21" i="2"/>
  <c r="V21" i="2"/>
  <c r="R21" i="2"/>
  <c r="N21" i="2"/>
  <c r="J21" i="2"/>
  <c r="F21" i="2"/>
  <c r="W21" i="2"/>
  <c r="S21" i="2"/>
  <c r="O21" i="2"/>
  <c r="K21" i="2"/>
  <c r="AA21" i="2"/>
  <c r="X21" i="2"/>
  <c r="T21" i="2"/>
  <c r="P21" i="2"/>
  <c r="L21" i="2"/>
  <c r="H21" i="2"/>
  <c r="D21" i="2"/>
  <c r="B21" i="2"/>
  <c r="G21" i="2"/>
  <c r="I21" i="2"/>
  <c r="E21" i="2"/>
  <c r="AH21" i="2"/>
  <c r="A29" i="1"/>
  <c r="B28" i="1"/>
  <c r="BA28" i="1" s="1"/>
  <c r="K67" i="7"/>
  <c r="J66" i="7"/>
  <c r="A23" i="10"/>
  <c r="B22" i="10"/>
  <c r="A24" i="9"/>
  <c r="B23" i="9"/>
  <c r="AX22" i="6"/>
  <c r="AZ22" i="6"/>
  <c r="AW22" i="6"/>
  <c r="AY22" i="6"/>
  <c r="AR22" i="6"/>
  <c r="AN22" i="6"/>
  <c r="AV22" i="6"/>
  <c r="AU22" i="6"/>
  <c r="AO22" i="6"/>
  <c r="AT22" i="6"/>
  <c r="AP22" i="6"/>
  <c r="AI22" i="6"/>
  <c r="AE22" i="6"/>
  <c r="AQ22" i="6"/>
  <c r="AH22" i="6"/>
  <c r="AD22" i="6"/>
  <c r="AK22" i="6"/>
  <c r="AG22" i="6"/>
  <c r="AC22" i="6"/>
  <c r="AS22" i="6"/>
  <c r="AM22" i="6"/>
  <c r="AJ22" i="6"/>
  <c r="Y22" i="6"/>
  <c r="U22" i="6"/>
  <c r="Q22" i="6"/>
  <c r="M22" i="6"/>
  <c r="I22" i="6"/>
  <c r="E22" i="6"/>
  <c r="AL22" i="6"/>
  <c r="AF22" i="6"/>
  <c r="AB22" i="6"/>
  <c r="X22" i="6"/>
  <c r="T22" i="6"/>
  <c r="P22" i="6"/>
  <c r="L22" i="6"/>
  <c r="H22" i="6"/>
  <c r="AA22" i="6"/>
  <c r="W22" i="6"/>
  <c r="S22" i="6"/>
  <c r="O22" i="6"/>
  <c r="K22" i="6"/>
  <c r="G22" i="6"/>
  <c r="V22" i="6"/>
  <c r="F22" i="6"/>
  <c r="D22" i="6"/>
  <c r="R22" i="6"/>
  <c r="C22" i="6"/>
  <c r="A23" i="6"/>
  <c r="N22" i="6"/>
  <c r="J22" i="6"/>
  <c r="Z22" i="6"/>
  <c r="B22" i="6"/>
  <c r="J66" i="10"/>
  <c r="K67" i="10"/>
  <c r="A23" i="7" l="1"/>
  <c r="AZ22" i="7"/>
  <c r="AW22" i="7"/>
  <c r="AX22" i="7"/>
  <c r="AY22" i="7"/>
  <c r="AT22" i="7"/>
  <c r="AP22" i="7"/>
  <c r="AL22" i="7"/>
  <c r="AV22" i="7"/>
  <c r="AU22" i="7"/>
  <c r="AQ22" i="7"/>
  <c r="AM22" i="7"/>
  <c r="C22" i="7"/>
  <c r="AR22" i="7"/>
  <c r="AN22" i="7"/>
  <c r="AJ22" i="7"/>
  <c r="AF22" i="7"/>
  <c r="AG22" i="7"/>
  <c r="AS22" i="7"/>
  <c r="AO22" i="7"/>
  <c r="AI22" i="7"/>
  <c r="AB22" i="7"/>
  <c r="AH22" i="7"/>
  <c r="AD22" i="7"/>
  <c r="AK22" i="7"/>
  <c r="AE22" i="7"/>
  <c r="Z22" i="7"/>
  <c r="V22" i="7"/>
  <c r="R22" i="7"/>
  <c r="N22" i="7"/>
  <c r="AA22" i="7"/>
  <c r="W22" i="7"/>
  <c r="S22" i="7"/>
  <c r="O22" i="7"/>
  <c r="K22" i="7"/>
  <c r="G22" i="7"/>
  <c r="X22" i="7"/>
  <c r="T22" i="7"/>
  <c r="P22" i="7"/>
  <c r="L22" i="7"/>
  <c r="I22" i="7"/>
  <c r="J22" i="7"/>
  <c r="F22" i="7"/>
  <c r="D22" i="7"/>
  <c r="B22" i="7"/>
  <c r="AC22" i="7"/>
  <c r="E22" i="7"/>
  <c r="Y22" i="7"/>
  <c r="U22" i="7"/>
  <c r="Q22" i="7"/>
  <c r="M22" i="7"/>
  <c r="H22" i="7"/>
  <c r="AZ23" i="6"/>
  <c r="AW23" i="6"/>
  <c r="AV23" i="6"/>
  <c r="AX23" i="6"/>
  <c r="AU23" i="6"/>
  <c r="AQ23" i="6"/>
  <c r="AM23" i="6"/>
  <c r="AT23" i="6"/>
  <c r="AY23" i="6"/>
  <c r="AN23" i="6"/>
  <c r="AS23" i="6"/>
  <c r="AH23" i="6"/>
  <c r="AD23" i="6"/>
  <c r="AK23" i="6"/>
  <c r="AG23" i="6"/>
  <c r="AC23" i="6"/>
  <c r="AO23" i="6"/>
  <c r="AL23" i="6"/>
  <c r="AJ23" i="6"/>
  <c r="AF23" i="6"/>
  <c r="AP23" i="6"/>
  <c r="AI23" i="6"/>
  <c r="AB23" i="6"/>
  <c r="X23" i="6"/>
  <c r="T23" i="6"/>
  <c r="P23" i="6"/>
  <c r="L23" i="6"/>
  <c r="H23" i="6"/>
  <c r="D23" i="6"/>
  <c r="AE23" i="6"/>
  <c r="AA23" i="6"/>
  <c r="W23" i="6"/>
  <c r="S23" i="6"/>
  <c r="O23" i="6"/>
  <c r="K23" i="6"/>
  <c r="G23" i="6"/>
  <c r="Z23" i="6"/>
  <c r="V23" i="6"/>
  <c r="R23" i="6"/>
  <c r="N23" i="6"/>
  <c r="J23" i="6"/>
  <c r="F23" i="6"/>
  <c r="U23" i="6"/>
  <c r="E23" i="6"/>
  <c r="C23" i="6"/>
  <c r="Q23" i="6"/>
  <c r="AR23" i="6"/>
  <c r="M23" i="6"/>
  <c r="A24" i="6"/>
  <c r="Y23" i="6"/>
  <c r="I23" i="6"/>
  <c r="B23" i="6"/>
  <c r="L66" i="9"/>
  <c r="M67" i="9"/>
  <c r="B23" i="10"/>
  <c r="A24" i="10"/>
  <c r="C22" i="2"/>
  <c r="A23" i="2"/>
  <c r="AX22" i="2"/>
  <c r="AZ22" i="2"/>
  <c r="AY22" i="2"/>
  <c r="AV22" i="2"/>
  <c r="AU22" i="2"/>
  <c r="AQ22" i="2"/>
  <c r="AM22" i="2"/>
  <c r="AR22" i="2"/>
  <c r="AN22" i="2"/>
  <c r="AS22" i="2"/>
  <c r="AO22" i="2"/>
  <c r="AK22" i="2"/>
  <c r="AG22" i="2"/>
  <c r="AH22" i="2"/>
  <c r="AW22" i="2"/>
  <c r="AT22" i="2"/>
  <c r="AP22" i="2"/>
  <c r="AL22" i="2"/>
  <c r="AC22" i="2"/>
  <c r="AE22" i="2"/>
  <c r="AA22" i="2"/>
  <c r="AJ22" i="2"/>
  <c r="AF22" i="2"/>
  <c r="AB22" i="2"/>
  <c r="AI22" i="2"/>
  <c r="W22" i="2"/>
  <c r="S22" i="2"/>
  <c r="O22" i="2"/>
  <c r="K22" i="2"/>
  <c r="X22" i="2"/>
  <c r="T22" i="2"/>
  <c r="P22" i="2"/>
  <c r="L22" i="2"/>
  <c r="H22" i="2"/>
  <c r="Y22" i="2"/>
  <c r="U22" i="2"/>
  <c r="Q22" i="2"/>
  <c r="M22" i="2"/>
  <c r="E22" i="2"/>
  <c r="J22" i="2"/>
  <c r="F22" i="2"/>
  <c r="D22" i="2"/>
  <c r="B22" i="2"/>
  <c r="AD22" i="2"/>
  <c r="Z22" i="2"/>
  <c r="V22" i="2"/>
  <c r="R22" i="2"/>
  <c r="N22" i="2"/>
  <c r="G22" i="2"/>
  <c r="I22" i="2"/>
  <c r="K66" i="8"/>
  <c r="K15" i="8" s="1"/>
  <c r="L67" i="8"/>
  <c r="B24" i="9"/>
  <c r="A25" i="9"/>
  <c r="L67" i="7"/>
  <c r="K66" i="7"/>
  <c r="L67" i="6"/>
  <c r="K66" i="6"/>
  <c r="AZ22" i="8"/>
  <c r="A23" i="8"/>
  <c r="B22" i="8"/>
  <c r="A30" i="1"/>
  <c r="B29" i="1"/>
  <c r="BA29" i="1" s="1"/>
  <c r="L66" i="2"/>
  <c r="M67" i="2"/>
  <c r="K66" i="10"/>
  <c r="L67" i="10"/>
  <c r="M66" i="2" l="1"/>
  <c r="N67" i="2"/>
  <c r="L66" i="6"/>
  <c r="M67" i="6"/>
  <c r="A31" i="1"/>
  <c r="B30" i="1"/>
  <c r="BA30" i="1" s="1"/>
  <c r="A26" i="9"/>
  <c r="B25" i="9"/>
  <c r="AZ23" i="8"/>
  <c r="A24" i="8"/>
  <c r="B23" i="8"/>
  <c r="M67" i="8"/>
  <c r="L66" i="8"/>
  <c r="L15" i="8" s="1"/>
  <c r="AV23" i="2"/>
  <c r="A24" i="2"/>
  <c r="AW23" i="2"/>
  <c r="AZ23" i="2"/>
  <c r="AX23" i="2"/>
  <c r="AY23" i="2"/>
  <c r="AS23" i="2"/>
  <c r="AO23" i="2"/>
  <c r="AK23" i="2"/>
  <c r="AT23" i="2"/>
  <c r="AP23" i="2"/>
  <c r="AL23" i="2"/>
  <c r="C23" i="2"/>
  <c r="AU23" i="2"/>
  <c r="AQ23" i="2"/>
  <c r="AM23" i="2"/>
  <c r="AR23" i="2"/>
  <c r="AN23" i="2"/>
  <c r="AI23" i="2"/>
  <c r="AJ23" i="2"/>
  <c r="AF23" i="2"/>
  <c r="AE23" i="2"/>
  <c r="AG23" i="2"/>
  <c r="AC23" i="2"/>
  <c r="AH23" i="2"/>
  <c r="AD23" i="2"/>
  <c r="AB23" i="2"/>
  <c r="AA23" i="2"/>
  <c r="Y23" i="2"/>
  <c r="U23" i="2"/>
  <c r="Q23" i="2"/>
  <c r="M23" i="2"/>
  <c r="Z23" i="2"/>
  <c r="V23" i="2"/>
  <c r="R23" i="2"/>
  <c r="N23" i="2"/>
  <c r="J23" i="2"/>
  <c r="F23" i="2"/>
  <c r="D23" i="2"/>
  <c r="W23" i="2"/>
  <c r="S23" i="2"/>
  <c r="O23" i="2"/>
  <c r="K23" i="2"/>
  <c r="G23" i="2"/>
  <c r="B23" i="2"/>
  <c r="X23" i="2"/>
  <c r="P23" i="2"/>
  <c r="H23" i="2"/>
  <c r="I23" i="2"/>
  <c r="E23" i="2"/>
  <c r="T23" i="2"/>
  <c r="L23" i="2"/>
  <c r="N67" i="9"/>
  <c r="M66" i="9"/>
  <c r="B24" i="10"/>
  <c r="A25" i="10"/>
  <c r="M67" i="10"/>
  <c r="L66" i="10"/>
  <c r="L66" i="7"/>
  <c r="M67" i="7"/>
  <c r="AV24" i="6"/>
  <c r="AY24" i="6"/>
  <c r="AW24" i="6"/>
  <c r="AT24" i="6"/>
  <c r="AP24" i="6"/>
  <c r="AL24" i="6"/>
  <c r="AS24" i="6"/>
  <c r="AX24" i="6"/>
  <c r="AU24" i="6"/>
  <c r="AM24" i="6"/>
  <c r="AR24" i="6"/>
  <c r="AQ24" i="6"/>
  <c r="AN24" i="6"/>
  <c r="AK24" i="6"/>
  <c r="AG24" i="6"/>
  <c r="AC24" i="6"/>
  <c r="AO24" i="6"/>
  <c r="AJ24" i="6"/>
  <c r="AF24" i="6"/>
  <c r="AI24" i="6"/>
  <c r="AE24" i="6"/>
  <c r="AH24" i="6"/>
  <c r="AA24" i="6"/>
  <c r="W24" i="6"/>
  <c r="S24" i="6"/>
  <c r="O24" i="6"/>
  <c r="K24" i="6"/>
  <c r="G24" i="6"/>
  <c r="AD24" i="6"/>
  <c r="Z24" i="6"/>
  <c r="V24" i="6"/>
  <c r="R24" i="6"/>
  <c r="N24" i="6"/>
  <c r="J24" i="6"/>
  <c r="F24" i="6"/>
  <c r="AZ24" i="6"/>
  <c r="Y24" i="6"/>
  <c r="U24" i="6"/>
  <c r="Q24" i="6"/>
  <c r="M24" i="6"/>
  <c r="I24" i="6"/>
  <c r="E24" i="6"/>
  <c r="T24" i="6"/>
  <c r="P24" i="6"/>
  <c r="AB24" i="6"/>
  <c r="L24" i="6"/>
  <c r="C24" i="6"/>
  <c r="X24" i="6"/>
  <c r="D24" i="6"/>
  <c r="H24" i="6"/>
  <c r="A25" i="6"/>
  <c r="B24" i="6"/>
  <c r="AY23" i="7"/>
  <c r="A24" i="7"/>
  <c r="AZ23" i="7"/>
  <c r="C23" i="7"/>
  <c r="AW23" i="7"/>
  <c r="AV23" i="7"/>
  <c r="AR23" i="7"/>
  <c r="AN23" i="7"/>
  <c r="AX23" i="7"/>
  <c r="AS23" i="7"/>
  <c r="AO23" i="7"/>
  <c r="AK23" i="7"/>
  <c r="AT23" i="7"/>
  <c r="AP23" i="7"/>
  <c r="AL23" i="7"/>
  <c r="AH23" i="7"/>
  <c r="AU23" i="7"/>
  <c r="AQ23" i="7"/>
  <c r="AM23" i="7"/>
  <c r="AI23" i="7"/>
  <c r="AJ23" i="7"/>
  <c r="AF23" i="7"/>
  <c r="AD23" i="7"/>
  <c r="AB23" i="7"/>
  <c r="AC23" i="7"/>
  <c r="AA23" i="7"/>
  <c r="X23" i="7"/>
  <c r="T23" i="7"/>
  <c r="P23" i="7"/>
  <c r="L23" i="7"/>
  <c r="AE23" i="7"/>
  <c r="Y23" i="7"/>
  <c r="U23" i="7"/>
  <c r="Q23" i="7"/>
  <c r="M23" i="7"/>
  <c r="I23" i="7"/>
  <c r="E23" i="7"/>
  <c r="D23" i="7"/>
  <c r="AG23" i="7"/>
  <c r="Z23" i="7"/>
  <c r="V23" i="7"/>
  <c r="R23" i="7"/>
  <c r="N23" i="7"/>
  <c r="W23" i="7"/>
  <c r="S23" i="7"/>
  <c r="O23" i="7"/>
  <c r="K23" i="7"/>
  <c r="G23" i="7"/>
  <c r="J23" i="7"/>
  <c r="F23" i="7"/>
  <c r="H23" i="7"/>
  <c r="B23" i="7"/>
  <c r="M66" i="8" l="1"/>
  <c r="M15" i="8" s="1"/>
  <c r="N67" i="8"/>
  <c r="N67" i="6"/>
  <c r="M66" i="6"/>
  <c r="AW24" i="7"/>
  <c r="C24" i="7"/>
  <c r="AX24" i="7"/>
  <c r="A25" i="7"/>
  <c r="AZ24" i="7"/>
  <c r="AY24" i="7"/>
  <c r="AT24" i="7"/>
  <c r="AP24" i="7"/>
  <c r="AL24" i="7"/>
  <c r="AU24" i="7"/>
  <c r="AQ24" i="7"/>
  <c r="AM24" i="7"/>
  <c r="AR24" i="7"/>
  <c r="AN24" i="7"/>
  <c r="AJ24" i="7"/>
  <c r="AF24" i="7"/>
  <c r="AV24" i="7"/>
  <c r="AG24" i="7"/>
  <c r="AH24" i="7"/>
  <c r="AB24" i="7"/>
  <c r="AS24" i="7"/>
  <c r="AO24" i="7"/>
  <c r="AK24" i="7"/>
  <c r="AI24" i="7"/>
  <c r="AD24" i="7"/>
  <c r="AE24" i="7"/>
  <c r="Z24" i="7"/>
  <c r="V24" i="7"/>
  <c r="R24" i="7"/>
  <c r="N24" i="7"/>
  <c r="W24" i="7"/>
  <c r="S24" i="7"/>
  <c r="O24" i="7"/>
  <c r="K24" i="7"/>
  <c r="G24" i="7"/>
  <c r="AC24" i="7"/>
  <c r="AA24" i="7"/>
  <c r="X24" i="7"/>
  <c r="T24" i="7"/>
  <c r="P24" i="7"/>
  <c r="L24" i="7"/>
  <c r="I24" i="7"/>
  <c r="E24" i="7"/>
  <c r="B24" i="7"/>
  <c r="H24" i="7"/>
  <c r="Y24" i="7"/>
  <c r="U24" i="7"/>
  <c r="Q24" i="7"/>
  <c r="M24" i="7"/>
  <c r="J24" i="7"/>
  <c r="F24" i="7"/>
  <c r="D24" i="7"/>
  <c r="AX24" i="2"/>
  <c r="AY24" i="2"/>
  <c r="C24" i="2"/>
  <c r="A25" i="2"/>
  <c r="AV24" i="2"/>
  <c r="AU24" i="2"/>
  <c r="AQ24" i="2"/>
  <c r="AM24" i="2"/>
  <c r="AR24" i="2"/>
  <c r="AN24" i="2"/>
  <c r="AZ24" i="2"/>
  <c r="AW24" i="2"/>
  <c r="AS24" i="2"/>
  <c r="AO24" i="2"/>
  <c r="AK24" i="2"/>
  <c r="AG24" i="2"/>
  <c r="AH24" i="2"/>
  <c r="AC24" i="2"/>
  <c r="AE24" i="2"/>
  <c r="AA24" i="2"/>
  <c r="AI24" i="2"/>
  <c r="AB24" i="2"/>
  <c r="AP24" i="2"/>
  <c r="AF24" i="2"/>
  <c r="W24" i="2"/>
  <c r="S24" i="2"/>
  <c r="O24" i="2"/>
  <c r="K24" i="2"/>
  <c r="AT24" i="2"/>
  <c r="AJ24" i="2"/>
  <c r="X24" i="2"/>
  <c r="T24" i="2"/>
  <c r="P24" i="2"/>
  <c r="L24" i="2"/>
  <c r="H24" i="2"/>
  <c r="AD24" i="2"/>
  <c r="Y24" i="2"/>
  <c r="U24" i="2"/>
  <c r="Q24" i="2"/>
  <c r="M24" i="2"/>
  <c r="I24" i="2"/>
  <c r="E24" i="2"/>
  <c r="D24" i="2"/>
  <c r="AL24" i="2"/>
  <c r="Z24" i="2"/>
  <c r="V24" i="2"/>
  <c r="R24" i="2"/>
  <c r="N24" i="2"/>
  <c r="G24" i="2"/>
  <c r="J24" i="2"/>
  <c r="F24" i="2"/>
  <c r="B24" i="2"/>
  <c r="B26" i="9"/>
  <c r="A27" i="9"/>
  <c r="AZ25" i="6"/>
  <c r="AY25" i="6"/>
  <c r="AX25" i="6"/>
  <c r="AV25" i="6"/>
  <c r="AS25" i="6"/>
  <c r="AO25" i="6"/>
  <c r="AR25" i="6"/>
  <c r="AW25" i="6"/>
  <c r="AT25" i="6"/>
  <c r="AQ25" i="6"/>
  <c r="AP25" i="6"/>
  <c r="AJ25" i="6"/>
  <c r="AF25" i="6"/>
  <c r="AL25" i="6"/>
  <c r="AI25" i="6"/>
  <c r="AE25" i="6"/>
  <c r="AU25" i="6"/>
  <c r="AM25" i="6"/>
  <c r="AH25" i="6"/>
  <c r="AD25" i="6"/>
  <c r="AG25" i="6"/>
  <c r="Z25" i="6"/>
  <c r="V25" i="6"/>
  <c r="R25" i="6"/>
  <c r="N25" i="6"/>
  <c r="J25" i="6"/>
  <c r="F25" i="6"/>
  <c r="AN25" i="6"/>
  <c r="AC25" i="6"/>
  <c r="Y25" i="6"/>
  <c r="U25" i="6"/>
  <c r="Q25" i="6"/>
  <c r="M25" i="6"/>
  <c r="I25" i="6"/>
  <c r="E25" i="6"/>
  <c r="AB25" i="6"/>
  <c r="X25" i="6"/>
  <c r="T25" i="6"/>
  <c r="P25" i="6"/>
  <c r="L25" i="6"/>
  <c r="H25" i="6"/>
  <c r="D25" i="6"/>
  <c r="S25" i="6"/>
  <c r="A26" i="6"/>
  <c r="AK25" i="6"/>
  <c r="O25" i="6"/>
  <c r="AA25" i="6"/>
  <c r="K25" i="6"/>
  <c r="C25" i="6"/>
  <c r="W25" i="6"/>
  <c r="G25" i="6"/>
  <c r="B25" i="6"/>
  <c r="N67" i="10"/>
  <c r="M66" i="10"/>
  <c r="O67" i="9"/>
  <c r="N66" i="9"/>
  <c r="AZ24" i="8"/>
  <c r="A25" i="8"/>
  <c r="B24" i="8"/>
  <c r="O67" i="2"/>
  <c r="N66" i="2"/>
  <c r="N67" i="7"/>
  <c r="M66" i="7"/>
  <c r="A26" i="10"/>
  <c r="B25" i="10"/>
  <c r="A32" i="1"/>
  <c r="B31" i="1"/>
  <c r="BA31" i="1" s="1"/>
  <c r="O67" i="6" l="1"/>
  <c r="N66" i="6"/>
  <c r="A33" i="1"/>
  <c r="B32" i="1"/>
  <c r="BA32" i="1" s="1"/>
  <c r="AZ25" i="2"/>
  <c r="AV25" i="2"/>
  <c r="C25" i="2"/>
  <c r="AW25" i="2"/>
  <c r="AX25" i="2"/>
  <c r="A26" i="2"/>
  <c r="AS25" i="2"/>
  <c r="AO25" i="2"/>
  <c r="AK25" i="2"/>
  <c r="AT25" i="2"/>
  <c r="AP25" i="2"/>
  <c r="AL25" i="2"/>
  <c r="AU25" i="2"/>
  <c r="AQ25" i="2"/>
  <c r="AM25" i="2"/>
  <c r="AY25" i="2"/>
  <c r="AI25" i="2"/>
  <c r="AJ25" i="2"/>
  <c r="AF25" i="2"/>
  <c r="AR25" i="2"/>
  <c r="AN25" i="2"/>
  <c r="AG25" i="2"/>
  <c r="AE25" i="2"/>
  <c r="AC25" i="2"/>
  <c r="AD25" i="2"/>
  <c r="Y25" i="2"/>
  <c r="U25" i="2"/>
  <c r="Q25" i="2"/>
  <c r="M25" i="2"/>
  <c r="AA25" i="2"/>
  <c r="Z25" i="2"/>
  <c r="V25" i="2"/>
  <c r="R25" i="2"/>
  <c r="N25" i="2"/>
  <c r="J25" i="2"/>
  <c r="F25" i="2"/>
  <c r="AH25" i="2"/>
  <c r="W25" i="2"/>
  <c r="S25" i="2"/>
  <c r="O25" i="2"/>
  <c r="K25" i="2"/>
  <c r="D25" i="2"/>
  <c r="G25" i="2"/>
  <c r="AB25" i="2"/>
  <c r="I25" i="2"/>
  <c r="E25" i="2"/>
  <c r="X25" i="2"/>
  <c r="T25" i="2"/>
  <c r="P25" i="2"/>
  <c r="L25" i="2"/>
  <c r="H25" i="2"/>
  <c r="B25" i="2"/>
  <c r="C25" i="7"/>
  <c r="AY25" i="7"/>
  <c r="AW25" i="7"/>
  <c r="A26" i="7"/>
  <c r="AX25" i="7"/>
  <c r="AR25" i="7"/>
  <c r="AN25" i="7"/>
  <c r="AS25" i="7"/>
  <c r="AO25" i="7"/>
  <c r="AK25" i="7"/>
  <c r="AV25" i="7"/>
  <c r="AT25" i="7"/>
  <c r="AP25" i="7"/>
  <c r="AL25" i="7"/>
  <c r="AU25" i="7"/>
  <c r="AQ25" i="7"/>
  <c r="AM25" i="7"/>
  <c r="AH25" i="7"/>
  <c r="AZ25" i="7"/>
  <c r="AI25" i="7"/>
  <c r="AD25" i="7"/>
  <c r="AJ25" i="7"/>
  <c r="AF25" i="7"/>
  <c r="AB25" i="7"/>
  <c r="AG25" i="7"/>
  <c r="AC25" i="7"/>
  <c r="AE25" i="7"/>
  <c r="X25" i="7"/>
  <c r="T25" i="7"/>
  <c r="P25" i="7"/>
  <c r="L25" i="7"/>
  <c r="AA25" i="7"/>
  <c r="Y25" i="7"/>
  <c r="U25" i="7"/>
  <c r="Q25" i="7"/>
  <c r="M25" i="7"/>
  <c r="I25" i="7"/>
  <c r="E25" i="7"/>
  <c r="Z25" i="7"/>
  <c r="V25" i="7"/>
  <c r="R25" i="7"/>
  <c r="N25" i="7"/>
  <c r="J25" i="7"/>
  <c r="F25" i="7"/>
  <c r="O25" i="7"/>
  <c r="G25" i="7"/>
  <c r="W25" i="7"/>
  <c r="S25" i="7"/>
  <c r="K25" i="7"/>
  <c r="D25" i="7"/>
  <c r="H25" i="7"/>
  <c r="B25" i="7"/>
  <c r="A27" i="10"/>
  <c r="B26" i="10"/>
  <c r="P67" i="2"/>
  <c r="O66" i="2"/>
  <c r="AZ26" i="6"/>
  <c r="AX26" i="6"/>
  <c r="AW26" i="6"/>
  <c r="AR26" i="6"/>
  <c r="AN26" i="6"/>
  <c r="AU26" i="6"/>
  <c r="AV26" i="6"/>
  <c r="AS26" i="6"/>
  <c r="AP26" i="6"/>
  <c r="AO26" i="6"/>
  <c r="AQ26" i="6"/>
  <c r="AL26" i="6"/>
  <c r="AI26" i="6"/>
  <c r="AE26" i="6"/>
  <c r="AM26" i="6"/>
  <c r="AH26" i="6"/>
  <c r="AD26" i="6"/>
  <c r="AY26" i="6"/>
  <c r="AT26" i="6"/>
  <c r="AK26" i="6"/>
  <c r="AG26" i="6"/>
  <c r="AC26" i="6"/>
  <c r="AF26" i="6"/>
  <c r="Y26" i="6"/>
  <c r="U26" i="6"/>
  <c r="Q26" i="6"/>
  <c r="M26" i="6"/>
  <c r="I26" i="6"/>
  <c r="E26" i="6"/>
  <c r="AB26" i="6"/>
  <c r="X26" i="6"/>
  <c r="T26" i="6"/>
  <c r="P26" i="6"/>
  <c r="L26" i="6"/>
  <c r="H26" i="6"/>
  <c r="AA26" i="6"/>
  <c r="W26" i="6"/>
  <c r="S26" i="6"/>
  <c r="O26" i="6"/>
  <c r="K26" i="6"/>
  <c r="G26" i="6"/>
  <c r="AJ26" i="6"/>
  <c r="R26" i="6"/>
  <c r="N26" i="6"/>
  <c r="C26" i="6"/>
  <c r="A27" i="6"/>
  <c r="Z26" i="6"/>
  <c r="J26" i="6"/>
  <c r="D26" i="6"/>
  <c r="F26" i="6"/>
  <c r="V26" i="6"/>
  <c r="B26" i="6"/>
  <c r="B27" i="9"/>
  <c r="A28" i="9"/>
  <c r="O67" i="8"/>
  <c r="N66" i="8"/>
  <c r="N15" i="8" s="1"/>
  <c r="O67" i="7"/>
  <c r="N66" i="7"/>
  <c r="AZ25" i="8"/>
  <c r="A26" i="8"/>
  <c r="B25" i="8"/>
  <c r="N66" i="10"/>
  <c r="O67" i="10"/>
  <c r="P67" i="9"/>
  <c r="O66" i="9"/>
  <c r="A27" i="7" l="1"/>
  <c r="AZ26" i="7"/>
  <c r="AW26" i="7"/>
  <c r="AX26" i="7"/>
  <c r="AY26" i="7"/>
  <c r="AT26" i="7"/>
  <c r="AP26" i="7"/>
  <c r="AL26" i="7"/>
  <c r="C26" i="7"/>
  <c r="AV26" i="7"/>
  <c r="AU26" i="7"/>
  <c r="AQ26" i="7"/>
  <c r="AM26" i="7"/>
  <c r="AR26" i="7"/>
  <c r="AN26" i="7"/>
  <c r="AJ26" i="7"/>
  <c r="AF26" i="7"/>
  <c r="AS26" i="7"/>
  <c r="AO26" i="7"/>
  <c r="AK26" i="7"/>
  <c r="AG26" i="7"/>
  <c r="AI26" i="7"/>
  <c r="AB26" i="7"/>
  <c r="AH26" i="7"/>
  <c r="AD26" i="7"/>
  <c r="AE26" i="7"/>
  <c r="Z26" i="7"/>
  <c r="V26" i="7"/>
  <c r="R26" i="7"/>
  <c r="N26" i="7"/>
  <c r="AC26" i="7"/>
  <c r="W26" i="7"/>
  <c r="S26" i="7"/>
  <c r="O26" i="7"/>
  <c r="K26" i="7"/>
  <c r="G26" i="7"/>
  <c r="X26" i="7"/>
  <c r="T26" i="7"/>
  <c r="P26" i="7"/>
  <c r="L26" i="7"/>
  <c r="Y26" i="7"/>
  <c r="U26" i="7"/>
  <c r="Q26" i="7"/>
  <c r="M26" i="7"/>
  <c r="H26" i="7"/>
  <c r="D26" i="7"/>
  <c r="B26" i="7"/>
  <c r="AA26" i="7"/>
  <c r="I26" i="7"/>
  <c r="E26" i="7"/>
  <c r="J26" i="7"/>
  <c r="F26" i="7"/>
  <c r="O66" i="8"/>
  <c r="O15" i="8" s="1"/>
  <c r="P67" i="8"/>
  <c r="P66" i="2"/>
  <c r="Q67" i="2"/>
  <c r="A34" i="1"/>
  <c r="B33" i="1"/>
  <c r="BA33" i="1" s="1"/>
  <c r="C26" i="2"/>
  <c r="A27" i="2"/>
  <c r="AX26" i="2"/>
  <c r="AZ26" i="2"/>
  <c r="AY26" i="2"/>
  <c r="AV26" i="2"/>
  <c r="AU26" i="2"/>
  <c r="AQ26" i="2"/>
  <c r="AM26" i="2"/>
  <c r="AW26" i="2"/>
  <c r="AR26" i="2"/>
  <c r="AN26" i="2"/>
  <c r="AS26" i="2"/>
  <c r="AO26" i="2"/>
  <c r="AK26" i="2"/>
  <c r="AG26" i="2"/>
  <c r="AT26" i="2"/>
  <c r="AP26" i="2"/>
  <c r="AL26" i="2"/>
  <c r="AH26" i="2"/>
  <c r="AC26" i="2"/>
  <c r="AE26" i="2"/>
  <c r="AA26" i="2"/>
  <c r="AJ26" i="2"/>
  <c r="AF26" i="2"/>
  <c r="AB26" i="2"/>
  <c r="W26" i="2"/>
  <c r="S26" i="2"/>
  <c r="O26" i="2"/>
  <c r="K26" i="2"/>
  <c r="AD26" i="2"/>
  <c r="X26" i="2"/>
  <c r="T26" i="2"/>
  <c r="P26" i="2"/>
  <c r="L26" i="2"/>
  <c r="H26" i="2"/>
  <c r="Y26" i="2"/>
  <c r="U26" i="2"/>
  <c r="Q26" i="2"/>
  <c r="M26" i="2"/>
  <c r="AI26" i="2"/>
  <c r="Z26" i="2"/>
  <c r="V26" i="2"/>
  <c r="R26" i="2"/>
  <c r="N26" i="2"/>
  <c r="G26" i="2"/>
  <c r="D26" i="2"/>
  <c r="F26" i="2"/>
  <c r="I26" i="2"/>
  <c r="E26" i="2"/>
  <c r="B26" i="2"/>
  <c r="J26" i="2"/>
  <c r="Q67" i="9"/>
  <c r="P66" i="9"/>
  <c r="AZ26" i="8"/>
  <c r="A27" i="8"/>
  <c r="B26" i="8"/>
  <c r="P67" i="10"/>
  <c r="O66" i="10"/>
  <c r="B28" i="9"/>
  <c r="A29" i="9"/>
  <c r="AW27" i="6"/>
  <c r="AV27" i="6"/>
  <c r="AU27" i="6"/>
  <c r="AQ27" i="6"/>
  <c r="AM27" i="6"/>
  <c r="AZ27" i="6"/>
  <c r="AY27" i="6"/>
  <c r="AT27" i="6"/>
  <c r="AR27" i="6"/>
  <c r="AO27" i="6"/>
  <c r="AN27" i="6"/>
  <c r="AH27" i="6"/>
  <c r="AD27" i="6"/>
  <c r="AK27" i="6"/>
  <c r="AG27" i="6"/>
  <c r="AC27" i="6"/>
  <c r="AX27" i="6"/>
  <c r="AS27" i="6"/>
  <c r="AP27" i="6"/>
  <c r="AJ27" i="6"/>
  <c r="AF27" i="6"/>
  <c r="AL27" i="6"/>
  <c r="AE27" i="6"/>
  <c r="AB27" i="6"/>
  <c r="X27" i="6"/>
  <c r="T27" i="6"/>
  <c r="P27" i="6"/>
  <c r="L27" i="6"/>
  <c r="H27" i="6"/>
  <c r="D27" i="6"/>
  <c r="AA27" i="6"/>
  <c r="W27" i="6"/>
  <c r="S27" i="6"/>
  <c r="O27" i="6"/>
  <c r="K27" i="6"/>
  <c r="G27" i="6"/>
  <c r="Z27" i="6"/>
  <c r="V27" i="6"/>
  <c r="R27" i="6"/>
  <c r="N27" i="6"/>
  <c r="J27" i="6"/>
  <c r="F27" i="6"/>
  <c r="Q27" i="6"/>
  <c r="C27" i="6"/>
  <c r="M27" i="6"/>
  <c r="Y27" i="6"/>
  <c r="I27" i="6"/>
  <c r="A28" i="6"/>
  <c r="U27" i="6"/>
  <c r="AI27" i="6"/>
  <c r="E27" i="6"/>
  <c r="B27" i="6"/>
  <c r="P67" i="7"/>
  <c r="O66" i="7"/>
  <c r="A28" i="10"/>
  <c r="B27" i="10"/>
  <c r="P67" i="6"/>
  <c r="O66" i="6"/>
  <c r="P66" i="6" l="1"/>
  <c r="Q67" i="6"/>
  <c r="P66" i="7"/>
  <c r="Q67" i="7"/>
  <c r="AV27" i="2"/>
  <c r="A28" i="2"/>
  <c r="AW27" i="2"/>
  <c r="AZ27" i="2"/>
  <c r="AX27" i="2"/>
  <c r="AS27" i="2"/>
  <c r="AO27" i="2"/>
  <c r="AK27" i="2"/>
  <c r="C27" i="2"/>
  <c r="AT27" i="2"/>
  <c r="AP27" i="2"/>
  <c r="AL27" i="2"/>
  <c r="AY27" i="2"/>
  <c r="AU27" i="2"/>
  <c r="AQ27" i="2"/>
  <c r="AM27" i="2"/>
  <c r="AI27" i="2"/>
  <c r="AE27" i="2"/>
  <c r="AJ27" i="2"/>
  <c r="AF27" i="2"/>
  <c r="AG27" i="2"/>
  <c r="AC27" i="2"/>
  <c r="AR27" i="2"/>
  <c r="AN27" i="2"/>
  <c r="AH27" i="2"/>
  <c r="AD27" i="2"/>
  <c r="Y27" i="2"/>
  <c r="U27" i="2"/>
  <c r="Q27" i="2"/>
  <c r="M27" i="2"/>
  <c r="Z27" i="2"/>
  <c r="V27" i="2"/>
  <c r="R27" i="2"/>
  <c r="N27" i="2"/>
  <c r="J27" i="2"/>
  <c r="F27" i="2"/>
  <c r="D27" i="2"/>
  <c r="AB27" i="2"/>
  <c r="AA27" i="2"/>
  <c r="W27" i="2"/>
  <c r="S27" i="2"/>
  <c r="O27" i="2"/>
  <c r="K27" i="2"/>
  <c r="I27" i="2"/>
  <c r="E27" i="2"/>
  <c r="B27" i="2"/>
  <c r="X27" i="2"/>
  <c r="T27" i="2"/>
  <c r="P27" i="2"/>
  <c r="L27" i="2"/>
  <c r="H27" i="2"/>
  <c r="G27" i="2"/>
  <c r="P66" i="10"/>
  <c r="Q67" i="10"/>
  <c r="Q66" i="2"/>
  <c r="R67" i="2"/>
  <c r="A30" i="9"/>
  <c r="B29" i="9"/>
  <c r="B28" i="10"/>
  <c r="A29" i="10"/>
  <c r="AZ27" i="8"/>
  <c r="A28" i="8"/>
  <c r="B27" i="8"/>
  <c r="Q67" i="8"/>
  <c r="P66" i="8"/>
  <c r="P15" i="8" s="1"/>
  <c r="AV28" i="6"/>
  <c r="AZ28" i="6"/>
  <c r="AY28" i="6"/>
  <c r="AT28" i="6"/>
  <c r="AP28" i="6"/>
  <c r="AL28" i="6"/>
  <c r="AX28" i="6"/>
  <c r="AS28" i="6"/>
  <c r="AN28" i="6"/>
  <c r="AW28" i="6"/>
  <c r="AO28" i="6"/>
  <c r="AM28" i="6"/>
  <c r="AK28" i="6"/>
  <c r="AG28" i="6"/>
  <c r="AC28" i="6"/>
  <c r="AU28" i="6"/>
  <c r="AJ28" i="6"/>
  <c r="AF28" i="6"/>
  <c r="AR28" i="6"/>
  <c r="AI28" i="6"/>
  <c r="AE28" i="6"/>
  <c r="AD28" i="6"/>
  <c r="AA28" i="6"/>
  <c r="W28" i="6"/>
  <c r="S28" i="6"/>
  <c r="O28" i="6"/>
  <c r="K28" i="6"/>
  <c r="G28" i="6"/>
  <c r="Z28" i="6"/>
  <c r="V28" i="6"/>
  <c r="R28" i="6"/>
  <c r="N28" i="6"/>
  <c r="J28" i="6"/>
  <c r="F28" i="6"/>
  <c r="Y28" i="6"/>
  <c r="U28" i="6"/>
  <c r="Q28" i="6"/>
  <c r="M28" i="6"/>
  <c r="I28" i="6"/>
  <c r="E28" i="6"/>
  <c r="P28" i="6"/>
  <c r="AB28" i="6"/>
  <c r="L28" i="6"/>
  <c r="D28" i="6"/>
  <c r="AH28" i="6"/>
  <c r="X28" i="6"/>
  <c r="H28" i="6"/>
  <c r="T28" i="6"/>
  <c r="C28" i="6"/>
  <c r="AQ28" i="6"/>
  <c r="A29" i="6"/>
  <c r="B28" i="6"/>
  <c r="R67" i="9"/>
  <c r="Q66" i="9"/>
  <c r="A35" i="1"/>
  <c r="B34" i="1"/>
  <c r="BA34" i="1" s="1"/>
  <c r="AY27" i="7"/>
  <c r="A28" i="7"/>
  <c r="AZ27" i="7"/>
  <c r="C27" i="7"/>
  <c r="AW27" i="7"/>
  <c r="AV27" i="7"/>
  <c r="AR27" i="7"/>
  <c r="AN27" i="7"/>
  <c r="AS27" i="7"/>
  <c r="AO27" i="7"/>
  <c r="AK27" i="7"/>
  <c r="AT27" i="7"/>
  <c r="AP27" i="7"/>
  <c r="AL27" i="7"/>
  <c r="AH27" i="7"/>
  <c r="AX27" i="7"/>
  <c r="AI27" i="7"/>
  <c r="AU27" i="7"/>
  <c r="AQ27" i="7"/>
  <c r="AM27" i="7"/>
  <c r="AJ27" i="7"/>
  <c r="AF27" i="7"/>
  <c r="AD27" i="7"/>
  <c r="AB27" i="7"/>
  <c r="AC27" i="7"/>
  <c r="X27" i="7"/>
  <c r="T27" i="7"/>
  <c r="P27" i="7"/>
  <c r="L27" i="7"/>
  <c r="AG27" i="7"/>
  <c r="Y27" i="7"/>
  <c r="U27" i="7"/>
  <c r="Q27" i="7"/>
  <c r="M27" i="7"/>
  <c r="I27" i="7"/>
  <c r="E27" i="7"/>
  <c r="D27" i="7"/>
  <c r="AA27" i="7"/>
  <c r="Z27" i="7"/>
  <c r="V27" i="7"/>
  <c r="R27" i="7"/>
  <c r="N27" i="7"/>
  <c r="AE27" i="7"/>
  <c r="J27" i="7"/>
  <c r="F27" i="7"/>
  <c r="B27" i="7"/>
  <c r="W27" i="7"/>
  <c r="S27" i="7"/>
  <c r="O27" i="7"/>
  <c r="K27" i="7"/>
  <c r="G27" i="7"/>
  <c r="H27" i="7"/>
  <c r="AZ29" i="6" l="1"/>
  <c r="AY29" i="6"/>
  <c r="AX29" i="6"/>
  <c r="AS29" i="6"/>
  <c r="AO29" i="6"/>
  <c r="AW29" i="6"/>
  <c r="AR29" i="6"/>
  <c r="AM29" i="6"/>
  <c r="AU29" i="6"/>
  <c r="AQ29" i="6"/>
  <c r="AJ29" i="6"/>
  <c r="AF29" i="6"/>
  <c r="AT29" i="6"/>
  <c r="AP29" i="6"/>
  <c r="AI29" i="6"/>
  <c r="AE29" i="6"/>
  <c r="AV29" i="6"/>
  <c r="AN29" i="6"/>
  <c r="AL29" i="6"/>
  <c r="AH29" i="6"/>
  <c r="AD29" i="6"/>
  <c r="AC29" i="6"/>
  <c r="Z29" i="6"/>
  <c r="V29" i="6"/>
  <c r="R29" i="6"/>
  <c r="N29" i="6"/>
  <c r="J29" i="6"/>
  <c r="F29" i="6"/>
  <c r="Y29" i="6"/>
  <c r="U29" i="6"/>
  <c r="Q29" i="6"/>
  <c r="M29" i="6"/>
  <c r="I29" i="6"/>
  <c r="E29" i="6"/>
  <c r="AK29" i="6"/>
  <c r="AB29" i="6"/>
  <c r="X29" i="6"/>
  <c r="T29" i="6"/>
  <c r="P29" i="6"/>
  <c r="L29" i="6"/>
  <c r="H29" i="6"/>
  <c r="D29" i="6"/>
  <c r="O29" i="6"/>
  <c r="A30" i="6"/>
  <c r="AG29" i="6"/>
  <c r="AA29" i="6"/>
  <c r="K29" i="6"/>
  <c r="W29" i="6"/>
  <c r="G29" i="6"/>
  <c r="C29" i="6"/>
  <c r="S29" i="6"/>
  <c r="B29" i="6"/>
  <c r="Q66" i="8"/>
  <c r="Q15" i="8" s="1"/>
  <c r="R67" i="8"/>
  <c r="A30" i="10"/>
  <c r="B29" i="10"/>
  <c r="S67" i="2"/>
  <c r="R66" i="2"/>
  <c r="R67" i="7"/>
  <c r="Q66" i="7"/>
  <c r="AW28" i="7"/>
  <c r="C28" i="7"/>
  <c r="AX28" i="7"/>
  <c r="A29" i="7"/>
  <c r="AZ28" i="7"/>
  <c r="AY28" i="7"/>
  <c r="AT28" i="7"/>
  <c r="AP28" i="7"/>
  <c r="AL28" i="7"/>
  <c r="AU28" i="7"/>
  <c r="AQ28" i="7"/>
  <c r="AM28" i="7"/>
  <c r="AR28" i="7"/>
  <c r="AN28" i="7"/>
  <c r="AV28" i="7"/>
  <c r="AS28" i="7"/>
  <c r="AO28" i="7"/>
  <c r="AK28" i="7"/>
  <c r="AJ28" i="7"/>
  <c r="AF28" i="7"/>
  <c r="AG28" i="7"/>
  <c r="AH28" i="7"/>
  <c r="AB28" i="7"/>
  <c r="AI28" i="7"/>
  <c r="AD28" i="7"/>
  <c r="AE28" i="7"/>
  <c r="AC28" i="7"/>
  <c r="AA28" i="7"/>
  <c r="Z28" i="7"/>
  <c r="V28" i="7"/>
  <c r="R28" i="7"/>
  <c r="N28" i="7"/>
  <c r="W28" i="7"/>
  <c r="S28" i="7"/>
  <c r="O28" i="7"/>
  <c r="K28" i="7"/>
  <c r="G28" i="7"/>
  <c r="X28" i="7"/>
  <c r="T28" i="7"/>
  <c r="P28" i="7"/>
  <c r="L28" i="7"/>
  <c r="J28" i="7"/>
  <c r="F28" i="7"/>
  <c r="B28" i="7"/>
  <c r="Q28" i="7"/>
  <c r="H28" i="7"/>
  <c r="D28" i="7"/>
  <c r="Y28" i="7"/>
  <c r="U28" i="7"/>
  <c r="M28" i="7"/>
  <c r="I28" i="7"/>
  <c r="E28" i="7"/>
  <c r="A36" i="1"/>
  <c r="B35" i="1"/>
  <c r="BA35" i="1" s="1"/>
  <c r="R66" i="9"/>
  <c r="S67" i="9"/>
  <c r="AZ28" i="8"/>
  <c r="A29" i="8"/>
  <c r="B28" i="8"/>
  <c r="R67" i="10"/>
  <c r="Q66" i="10"/>
  <c r="AX28" i="2"/>
  <c r="AY28" i="2"/>
  <c r="C28" i="2"/>
  <c r="A29" i="2"/>
  <c r="AV28" i="2"/>
  <c r="AW28" i="2"/>
  <c r="AU28" i="2"/>
  <c r="AQ28" i="2"/>
  <c r="AM28" i="2"/>
  <c r="AR28" i="2"/>
  <c r="AN28" i="2"/>
  <c r="AS28" i="2"/>
  <c r="AO28" i="2"/>
  <c r="AK28" i="2"/>
  <c r="AZ28" i="2"/>
  <c r="AT28" i="2"/>
  <c r="AP28" i="2"/>
  <c r="AL28" i="2"/>
  <c r="AG28" i="2"/>
  <c r="AH28" i="2"/>
  <c r="AC28" i="2"/>
  <c r="AA28" i="2"/>
  <c r="AI28" i="2"/>
  <c r="AE28" i="2"/>
  <c r="AB28" i="2"/>
  <c r="AJ28" i="2"/>
  <c r="AD28" i="2"/>
  <c r="W28" i="2"/>
  <c r="S28" i="2"/>
  <c r="O28" i="2"/>
  <c r="K28" i="2"/>
  <c r="X28" i="2"/>
  <c r="T28" i="2"/>
  <c r="P28" i="2"/>
  <c r="L28" i="2"/>
  <c r="H28" i="2"/>
  <c r="Y28" i="2"/>
  <c r="U28" i="2"/>
  <c r="Q28" i="2"/>
  <c r="M28" i="2"/>
  <c r="J28" i="2"/>
  <c r="F28" i="2"/>
  <c r="Z28" i="2"/>
  <c r="V28" i="2"/>
  <c r="R28" i="2"/>
  <c r="G28" i="2"/>
  <c r="D28" i="2"/>
  <c r="AF28" i="2"/>
  <c r="I28" i="2"/>
  <c r="E28" i="2"/>
  <c r="N28" i="2"/>
  <c r="B28" i="2"/>
  <c r="R67" i="6"/>
  <c r="Q66" i="6"/>
  <c r="B30" i="9"/>
  <c r="A31" i="9"/>
  <c r="S67" i="10" l="1"/>
  <c r="R66" i="10"/>
  <c r="S66" i="9"/>
  <c r="T67" i="9"/>
  <c r="B30" i="10"/>
  <c r="A31" i="10"/>
  <c r="S67" i="6"/>
  <c r="R66" i="6"/>
  <c r="AZ29" i="8"/>
  <c r="A30" i="8"/>
  <c r="B29" i="8"/>
  <c r="S67" i="8"/>
  <c r="R66" i="8"/>
  <c r="R15" i="8" s="1"/>
  <c r="C29" i="7"/>
  <c r="AY29" i="7"/>
  <c r="AW29" i="7"/>
  <c r="AZ29" i="7"/>
  <c r="AR29" i="7"/>
  <c r="AN29" i="7"/>
  <c r="A30" i="7"/>
  <c r="AS29" i="7"/>
  <c r="AO29" i="7"/>
  <c r="AK29" i="7"/>
  <c r="AX29" i="7"/>
  <c r="AV29" i="7"/>
  <c r="AT29" i="7"/>
  <c r="AP29" i="7"/>
  <c r="AL29" i="7"/>
  <c r="AH29" i="7"/>
  <c r="AI29" i="7"/>
  <c r="AU29" i="7"/>
  <c r="AQ29" i="7"/>
  <c r="AM29" i="7"/>
  <c r="AD29" i="7"/>
  <c r="AJ29" i="7"/>
  <c r="AF29" i="7"/>
  <c r="AB29" i="7"/>
  <c r="AG29" i="7"/>
  <c r="AC29" i="7"/>
  <c r="X29" i="7"/>
  <c r="T29" i="7"/>
  <c r="P29" i="7"/>
  <c r="L29" i="7"/>
  <c r="Y29" i="7"/>
  <c r="U29" i="7"/>
  <c r="Q29" i="7"/>
  <c r="M29" i="7"/>
  <c r="I29" i="7"/>
  <c r="E29" i="7"/>
  <c r="AE29" i="7"/>
  <c r="Z29" i="7"/>
  <c r="V29" i="7"/>
  <c r="R29" i="7"/>
  <c r="N29" i="7"/>
  <c r="H29" i="7"/>
  <c r="W29" i="7"/>
  <c r="S29" i="7"/>
  <c r="O29" i="7"/>
  <c r="K29" i="7"/>
  <c r="AA29" i="7"/>
  <c r="J29" i="7"/>
  <c r="F29" i="7"/>
  <c r="D29" i="7"/>
  <c r="G29" i="7"/>
  <c r="B29" i="7"/>
  <c r="AZ30" i="6"/>
  <c r="AX30" i="6"/>
  <c r="AW30" i="6"/>
  <c r="AY30" i="6"/>
  <c r="AR30" i="6"/>
  <c r="AN30" i="6"/>
  <c r="AV30" i="6"/>
  <c r="AU30" i="6"/>
  <c r="AQ30" i="6"/>
  <c r="AT30" i="6"/>
  <c r="AP30" i="6"/>
  <c r="AI30" i="6"/>
  <c r="AE30" i="6"/>
  <c r="AS30" i="6"/>
  <c r="AL30" i="6"/>
  <c r="AH30" i="6"/>
  <c r="AD30" i="6"/>
  <c r="AK30" i="6"/>
  <c r="AG30" i="6"/>
  <c r="AC30" i="6"/>
  <c r="AO30" i="6"/>
  <c r="Y30" i="6"/>
  <c r="U30" i="6"/>
  <c r="Q30" i="6"/>
  <c r="M30" i="6"/>
  <c r="I30" i="6"/>
  <c r="E30" i="6"/>
  <c r="AB30" i="6"/>
  <c r="X30" i="6"/>
  <c r="T30" i="6"/>
  <c r="P30" i="6"/>
  <c r="L30" i="6"/>
  <c r="H30" i="6"/>
  <c r="AJ30" i="6"/>
  <c r="AA30" i="6"/>
  <c r="W30" i="6"/>
  <c r="S30" i="6"/>
  <c r="O30" i="6"/>
  <c r="K30" i="6"/>
  <c r="G30" i="6"/>
  <c r="AM30" i="6"/>
  <c r="AF30" i="6"/>
  <c r="N30" i="6"/>
  <c r="D30" i="6"/>
  <c r="Z30" i="6"/>
  <c r="J30" i="6"/>
  <c r="C30" i="6"/>
  <c r="A31" i="6"/>
  <c r="V30" i="6"/>
  <c r="F30" i="6"/>
  <c r="R30" i="6"/>
  <c r="B30" i="6"/>
  <c r="S67" i="7"/>
  <c r="R66" i="7"/>
  <c r="A32" i="9"/>
  <c r="B31" i="9"/>
  <c r="AZ29" i="2"/>
  <c r="AV29" i="2"/>
  <c r="C29" i="2"/>
  <c r="AW29" i="2"/>
  <c r="AX29" i="2"/>
  <c r="AS29" i="2"/>
  <c r="AO29" i="2"/>
  <c r="AK29" i="2"/>
  <c r="A30" i="2"/>
  <c r="AY29" i="2"/>
  <c r="AT29" i="2"/>
  <c r="AP29" i="2"/>
  <c r="AL29" i="2"/>
  <c r="AU29" i="2"/>
  <c r="AQ29" i="2"/>
  <c r="AM29" i="2"/>
  <c r="AI29" i="2"/>
  <c r="AE29" i="2"/>
  <c r="AR29" i="2"/>
  <c r="AN29" i="2"/>
  <c r="AJ29" i="2"/>
  <c r="AF29" i="2"/>
  <c r="AG29" i="2"/>
  <c r="AC29" i="2"/>
  <c r="AD29" i="2"/>
  <c r="Y29" i="2"/>
  <c r="U29" i="2"/>
  <c r="Q29" i="2"/>
  <c r="M29" i="2"/>
  <c r="AH29" i="2"/>
  <c r="AB29" i="2"/>
  <c r="Z29" i="2"/>
  <c r="V29" i="2"/>
  <c r="R29" i="2"/>
  <c r="N29" i="2"/>
  <c r="J29" i="2"/>
  <c r="F29" i="2"/>
  <c r="W29" i="2"/>
  <c r="S29" i="2"/>
  <c r="O29" i="2"/>
  <c r="K29" i="2"/>
  <c r="X29" i="2"/>
  <c r="T29" i="2"/>
  <c r="P29" i="2"/>
  <c r="L29" i="2"/>
  <c r="H29" i="2"/>
  <c r="G29" i="2"/>
  <c r="AA29" i="2"/>
  <c r="I29" i="2"/>
  <c r="E29" i="2"/>
  <c r="D29" i="2"/>
  <c r="B29" i="2"/>
  <c r="A37" i="1"/>
  <c r="B36" i="1"/>
  <c r="BA36" i="1" s="1"/>
  <c r="T67" i="2"/>
  <c r="S66" i="2"/>
  <c r="B32" i="9" l="1"/>
  <c r="A33" i="9"/>
  <c r="A31" i="7"/>
  <c r="AZ30" i="7"/>
  <c r="AW30" i="7"/>
  <c r="AX30" i="7"/>
  <c r="AY30" i="7"/>
  <c r="C30" i="7"/>
  <c r="AT30" i="7"/>
  <c r="AP30" i="7"/>
  <c r="AL30" i="7"/>
  <c r="AV30" i="7"/>
  <c r="AU30" i="7"/>
  <c r="AQ30" i="7"/>
  <c r="AM30" i="7"/>
  <c r="AR30" i="7"/>
  <c r="AN30" i="7"/>
  <c r="AJ30" i="7"/>
  <c r="AF30" i="7"/>
  <c r="AG30" i="7"/>
  <c r="AS30" i="7"/>
  <c r="AO30" i="7"/>
  <c r="AK30" i="7"/>
  <c r="AI30" i="7"/>
  <c r="AE30" i="7"/>
  <c r="AB30" i="7"/>
  <c r="AH30" i="7"/>
  <c r="AD30" i="7"/>
  <c r="Z30" i="7"/>
  <c r="V30" i="7"/>
  <c r="R30" i="7"/>
  <c r="N30" i="7"/>
  <c r="AA30" i="7"/>
  <c r="W30" i="7"/>
  <c r="S30" i="7"/>
  <c r="O30" i="7"/>
  <c r="K30" i="7"/>
  <c r="G30" i="7"/>
  <c r="X30" i="7"/>
  <c r="T30" i="7"/>
  <c r="P30" i="7"/>
  <c r="L30" i="7"/>
  <c r="I30" i="7"/>
  <c r="E30" i="7"/>
  <c r="D30" i="7"/>
  <c r="J30" i="7"/>
  <c r="F30" i="7"/>
  <c r="B30" i="7"/>
  <c r="AC30" i="7"/>
  <c r="Y30" i="7"/>
  <c r="U30" i="7"/>
  <c r="Q30" i="7"/>
  <c r="M30" i="7"/>
  <c r="H30" i="7"/>
  <c r="S66" i="8"/>
  <c r="S15" i="8" s="1"/>
  <c r="T67" i="8"/>
  <c r="T66" i="9"/>
  <c r="U67" i="9"/>
  <c r="T67" i="6"/>
  <c r="S66" i="6"/>
  <c r="A38" i="1"/>
  <c r="B37" i="1"/>
  <c r="BA37" i="1" s="1"/>
  <c r="C30" i="2"/>
  <c r="A31" i="2"/>
  <c r="AX30" i="2"/>
  <c r="AZ30" i="2"/>
  <c r="AY30" i="2"/>
  <c r="AV30" i="2"/>
  <c r="AU30" i="2"/>
  <c r="AQ30" i="2"/>
  <c r="AM30" i="2"/>
  <c r="AR30" i="2"/>
  <c r="AN30" i="2"/>
  <c r="AS30" i="2"/>
  <c r="AO30" i="2"/>
  <c r="AK30" i="2"/>
  <c r="AG30" i="2"/>
  <c r="AH30" i="2"/>
  <c r="AT30" i="2"/>
  <c r="AP30" i="2"/>
  <c r="AL30" i="2"/>
  <c r="AW30" i="2"/>
  <c r="AC30" i="2"/>
  <c r="AA30" i="2"/>
  <c r="AJ30" i="2"/>
  <c r="AF30" i="2"/>
  <c r="AB30" i="2"/>
  <c r="W30" i="2"/>
  <c r="S30" i="2"/>
  <c r="O30" i="2"/>
  <c r="K30" i="2"/>
  <c r="AE30" i="2"/>
  <c r="X30" i="2"/>
  <c r="T30" i="2"/>
  <c r="P30" i="2"/>
  <c r="L30" i="2"/>
  <c r="H30" i="2"/>
  <c r="AI30" i="2"/>
  <c r="Y30" i="2"/>
  <c r="U30" i="2"/>
  <c r="Q30" i="2"/>
  <c r="M30" i="2"/>
  <c r="AD30" i="2"/>
  <c r="J30" i="2"/>
  <c r="F30" i="2"/>
  <c r="B30" i="2"/>
  <c r="E30" i="2"/>
  <c r="D30" i="2"/>
  <c r="Z30" i="2"/>
  <c r="V30" i="2"/>
  <c r="R30" i="2"/>
  <c r="N30" i="2"/>
  <c r="G30" i="2"/>
  <c r="I30" i="2"/>
  <c r="S66" i="7"/>
  <c r="T67" i="7"/>
  <c r="AZ30" i="8"/>
  <c r="A31" i="8"/>
  <c r="B30" i="8"/>
  <c r="A32" i="10"/>
  <c r="B31" i="10"/>
  <c r="T66" i="2"/>
  <c r="U67" i="2"/>
  <c r="AZ31" i="6"/>
  <c r="AW31" i="6"/>
  <c r="AV31" i="6"/>
  <c r="AX31" i="6"/>
  <c r="AU31" i="6"/>
  <c r="AQ31" i="6"/>
  <c r="AM31" i="6"/>
  <c r="AT31" i="6"/>
  <c r="AP31" i="6"/>
  <c r="AS31" i="6"/>
  <c r="AO31" i="6"/>
  <c r="AY31" i="6"/>
  <c r="AL31" i="6"/>
  <c r="AH31" i="6"/>
  <c r="AD31" i="6"/>
  <c r="AR31" i="6"/>
  <c r="AN31" i="6"/>
  <c r="AK31" i="6"/>
  <c r="AG31" i="6"/>
  <c r="AC31" i="6"/>
  <c r="AJ31" i="6"/>
  <c r="AF31" i="6"/>
  <c r="AB31" i="6"/>
  <c r="X31" i="6"/>
  <c r="T31" i="6"/>
  <c r="P31" i="6"/>
  <c r="L31" i="6"/>
  <c r="H31" i="6"/>
  <c r="D31" i="6"/>
  <c r="AA31" i="6"/>
  <c r="W31" i="6"/>
  <c r="S31" i="6"/>
  <c r="O31" i="6"/>
  <c r="K31" i="6"/>
  <c r="G31" i="6"/>
  <c r="AI31" i="6"/>
  <c r="Z31" i="6"/>
  <c r="V31" i="6"/>
  <c r="R31" i="6"/>
  <c r="N31" i="6"/>
  <c r="J31" i="6"/>
  <c r="F31" i="6"/>
  <c r="M31" i="6"/>
  <c r="C31" i="6"/>
  <c r="Y31" i="6"/>
  <c r="I31" i="6"/>
  <c r="U31" i="6"/>
  <c r="E31" i="6"/>
  <c r="A32" i="6"/>
  <c r="AE31" i="6"/>
  <c r="Q31" i="6"/>
  <c r="B31" i="6"/>
  <c r="S66" i="10"/>
  <c r="T67" i="10"/>
  <c r="T66" i="7" l="1"/>
  <c r="U67" i="7"/>
  <c r="V67" i="2"/>
  <c r="U66" i="2"/>
  <c r="T66" i="6"/>
  <c r="U67" i="6"/>
  <c r="B32" i="10"/>
  <c r="A33" i="10"/>
  <c r="AY31" i="7"/>
  <c r="A32" i="7"/>
  <c r="AZ31" i="7"/>
  <c r="C31" i="7"/>
  <c r="AW31" i="7"/>
  <c r="AV31" i="7"/>
  <c r="AR31" i="7"/>
  <c r="AN31" i="7"/>
  <c r="AX31" i="7"/>
  <c r="AS31" i="7"/>
  <c r="AO31" i="7"/>
  <c r="AK31" i="7"/>
  <c r="AT31" i="7"/>
  <c r="AP31" i="7"/>
  <c r="AL31" i="7"/>
  <c r="AH31" i="7"/>
  <c r="AU31" i="7"/>
  <c r="AQ31" i="7"/>
  <c r="AM31" i="7"/>
  <c r="AI31" i="7"/>
  <c r="AE31" i="7"/>
  <c r="AJ31" i="7"/>
  <c r="AF31" i="7"/>
  <c r="AD31" i="7"/>
  <c r="AB31" i="7"/>
  <c r="AC31" i="7"/>
  <c r="AG31" i="7"/>
  <c r="AA31" i="7"/>
  <c r="X31" i="7"/>
  <c r="T31" i="7"/>
  <c r="P31" i="7"/>
  <c r="L31" i="7"/>
  <c r="Y31" i="7"/>
  <c r="U31" i="7"/>
  <c r="Q31" i="7"/>
  <c r="M31" i="7"/>
  <c r="I31" i="7"/>
  <c r="E31" i="7"/>
  <c r="D31" i="7"/>
  <c r="Z31" i="7"/>
  <c r="V31" i="7"/>
  <c r="R31" i="7"/>
  <c r="N31" i="7"/>
  <c r="W31" i="7"/>
  <c r="S31" i="7"/>
  <c r="O31" i="7"/>
  <c r="K31" i="7"/>
  <c r="G31" i="7"/>
  <c r="J31" i="7"/>
  <c r="H31" i="7"/>
  <c r="B31" i="7"/>
  <c r="F31" i="7"/>
  <c r="AZ31" i="8"/>
  <c r="A32" i="8"/>
  <c r="B31" i="8"/>
  <c r="V67" i="9"/>
  <c r="U66" i="9"/>
  <c r="A34" i="9"/>
  <c r="B33" i="9"/>
  <c r="AV32" i="6"/>
  <c r="AY32" i="6"/>
  <c r="AZ32" i="6"/>
  <c r="AW32" i="6"/>
  <c r="AT32" i="6"/>
  <c r="AP32" i="6"/>
  <c r="AL32" i="6"/>
  <c r="AS32" i="6"/>
  <c r="AU32" i="6"/>
  <c r="AO32" i="6"/>
  <c r="AR32" i="6"/>
  <c r="AN32" i="6"/>
  <c r="AK32" i="6"/>
  <c r="AG32" i="6"/>
  <c r="AC32" i="6"/>
  <c r="AX32" i="6"/>
  <c r="AJ32" i="6"/>
  <c r="AF32" i="6"/>
  <c r="AB32" i="6"/>
  <c r="AQ32" i="6"/>
  <c r="AM32" i="6"/>
  <c r="AI32" i="6"/>
  <c r="AE32" i="6"/>
  <c r="AA32" i="6"/>
  <c r="W32" i="6"/>
  <c r="S32" i="6"/>
  <c r="O32" i="6"/>
  <c r="K32" i="6"/>
  <c r="G32" i="6"/>
  <c r="Z32" i="6"/>
  <c r="V32" i="6"/>
  <c r="R32" i="6"/>
  <c r="N32" i="6"/>
  <c r="J32" i="6"/>
  <c r="F32" i="6"/>
  <c r="AH32" i="6"/>
  <c r="Y32" i="6"/>
  <c r="U32" i="6"/>
  <c r="Q32" i="6"/>
  <c r="M32" i="6"/>
  <c r="I32" i="6"/>
  <c r="E32" i="6"/>
  <c r="L32" i="6"/>
  <c r="X32" i="6"/>
  <c r="H32" i="6"/>
  <c r="AD32" i="6"/>
  <c r="T32" i="6"/>
  <c r="D32" i="6"/>
  <c r="A33" i="6"/>
  <c r="P32" i="6"/>
  <c r="C32" i="6"/>
  <c r="B32" i="6"/>
  <c r="AV31" i="2"/>
  <c r="A32" i="2"/>
  <c r="AW31" i="2"/>
  <c r="AZ31" i="2"/>
  <c r="AX31" i="2"/>
  <c r="C31" i="2"/>
  <c r="AY31" i="2"/>
  <c r="AS31" i="2"/>
  <c r="AO31" i="2"/>
  <c r="AK31" i="2"/>
  <c r="AT31" i="2"/>
  <c r="AP31" i="2"/>
  <c r="AL31" i="2"/>
  <c r="AU31" i="2"/>
  <c r="AQ31" i="2"/>
  <c r="AM31" i="2"/>
  <c r="AR31" i="2"/>
  <c r="AN31" i="2"/>
  <c r="AI31" i="2"/>
  <c r="AE31" i="2"/>
  <c r="AJ31" i="2"/>
  <c r="AF31" i="2"/>
  <c r="AG31" i="2"/>
  <c r="AC31" i="2"/>
  <c r="AH31" i="2"/>
  <c r="AD31" i="2"/>
  <c r="AB31" i="2"/>
  <c r="AA31" i="2"/>
  <c r="Y31" i="2"/>
  <c r="U31" i="2"/>
  <c r="Q31" i="2"/>
  <c r="M31" i="2"/>
  <c r="Z31" i="2"/>
  <c r="V31" i="2"/>
  <c r="R31" i="2"/>
  <c r="N31" i="2"/>
  <c r="J31" i="2"/>
  <c r="F31" i="2"/>
  <c r="D31" i="2"/>
  <c r="W31" i="2"/>
  <c r="S31" i="2"/>
  <c r="O31" i="2"/>
  <c r="K31" i="2"/>
  <c r="G31" i="2"/>
  <c r="B31" i="2"/>
  <c r="H31" i="2"/>
  <c r="X31" i="2"/>
  <c r="T31" i="2"/>
  <c r="P31" i="2"/>
  <c r="L31" i="2"/>
  <c r="I31" i="2"/>
  <c r="E31" i="2"/>
  <c r="U67" i="8"/>
  <c r="T66" i="8"/>
  <c r="T15" i="8" s="1"/>
  <c r="U67" i="10"/>
  <c r="T66" i="10"/>
  <c r="A39" i="1"/>
  <c r="B38" i="1"/>
  <c r="BA38" i="1" s="1"/>
  <c r="A40" i="1" l="1"/>
  <c r="B39" i="1"/>
  <c r="BA39" i="1" s="1"/>
  <c r="AZ33" i="6"/>
  <c r="AY33" i="6"/>
  <c r="AX33" i="6"/>
  <c r="AV33" i="6"/>
  <c r="AS33" i="6"/>
  <c r="AO33" i="6"/>
  <c r="AR33" i="6"/>
  <c r="AT33" i="6"/>
  <c r="AN33" i="6"/>
  <c r="AU33" i="6"/>
  <c r="AP33" i="6"/>
  <c r="AJ33" i="6"/>
  <c r="AF33" i="6"/>
  <c r="AB33" i="6"/>
  <c r="AQ33" i="6"/>
  <c r="AM33" i="6"/>
  <c r="AI33" i="6"/>
  <c r="AE33" i="6"/>
  <c r="AH33" i="6"/>
  <c r="AD33" i="6"/>
  <c r="Z33" i="6"/>
  <c r="V33" i="6"/>
  <c r="R33" i="6"/>
  <c r="N33" i="6"/>
  <c r="J33" i="6"/>
  <c r="F33" i="6"/>
  <c r="AW33" i="6"/>
  <c r="AK33" i="6"/>
  <c r="Y33" i="6"/>
  <c r="U33" i="6"/>
  <c r="Q33" i="6"/>
  <c r="M33" i="6"/>
  <c r="I33" i="6"/>
  <c r="E33" i="6"/>
  <c r="AG33" i="6"/>
  <c r="X33" i="6"/>
  <c r="T33" i="6"/>
  <c r="P33" i="6"/>
  <c r="L33" i="6"/>
  <c r="H33" i="6"/>
  <c r="D33" i="6"/>
  <c r="AA33" i="6"/>
  <c r="K33" i="6"/>
  <c r="A34" i="6"/>
  <c r="AC33" i="6"/>
  <c r="W33" i="6"/>
  <c r="G33" i="6"/>
  <c r="AL33" i="6"/>
  <c r="S33" i="6"/>
  <c r="C33" i="6"/>
  <c r="O33" i="6"/>
  <c r="B33" i="6"/>
  <c r="W67" i="9"/>
  <c r="V66" i="9"/>
  <c r="A34" i="10"/>
  <c r="B33" i="10"/>
  <c r="W67" i="2"/>
  <c r="V66" i="2"/>
  <c r="V67" i="10"/>
  <c r="U66" i="10"/>
  <c r="B34" i="9"/>
  <c r="A35" i="9"/>
  <c r="AZ32" i="8"/>
  <c r="A33" i="8"/>
  <c r="B32" i="8"/>
  <c r="AW32" i="7"/>
  <c r="C32" i="7"/>
  <c r="AX32" i="7"/>
  <c r="A33" i="7"/>
  <c r="AZ32" i="7"/>
  <c r="AY32" i="7"/>
  <c r="AT32" i="7"/>
  <c r="AP32" i="7"/>
  <c r="AL32" i="7"/>
  <c r="AU32" i="7"/>
  <c r="AQ32" i="7"/>
  <c r="AM32" i="7"/>
  <c r="AR32" i="7"/>
  <c r="AN32" i="7"/>
  <c r="AJ32" i="7"/>
  <c r="AF32" i="7"/>
  <c r="AG32" i="7"/>
  <c r="AV32" i="7"/>
  <c r="AH32" i="7"/>
  <c r="AB32" i="7"/>
  <c r="AI32" i="7"/>
  <c r="AE32" i="7"/>
  <c r="AD32" i="7"/>
  <c r="AK32" i="7"/>
  <c r="Z32" i="7"/>
  <c r="V32" i="7"/>
  <c r="R32" i="7"/>
  <c r="N32" i="7"/>
  <c r="AO32" i="7"/>
  <c r="W32" i="7"/>
  <c r="S32" i="7"/>
  <c r="O32" i="7"/>
  <c r="K32" i="7"/>
  <c r="G32" i="7"/>
  <c r="AS32" i="7"/>
  <c r="AC32" i="7"/>
  <c r="AA32" i="7"/>
  <c r="X32" i="7"/>
  <c r="T32" i="7"/>
  <c r="P32" i="7"/>
  <c r="L32" i="7"/>
  <c r="I32" i="7"/>
  <c r="E32" i="7"/>
  <c r="D32" i="7"/>
  <c r="B32" i="7"/>
  <c r="H32" i="7"/>
  <c r="Y32" i="7"/>
  <c r="U32" i="7"/>
  <c r="Q32" i="7"/>
  <c r="M32" i="7"/>
  <c r="J32" i="7"/>
  <c r="F32" i="7"/>
  <c r="V67" i="6"/>
  <c r="U66" i="6"/>
  <c r="V67" i="7"/>
  <c r="U66" i="7"/>
  <c r="U66" i="8"/>
  <c r="U15" i="8" s="1"/>
  <c r="V67" i="8"/>
  <c r="AX32" i="2"/>
  <c r="AY32" i="2"/>
  <c r="C32" i="2"/>
  <c r="A33" i="2"/>
  <c r="AV32" i="2"/>
  <c r="AZ32" i="2"/>
  <c r="AU32" i="2"/>
  <c r="AQ32" i="2"/>
  <c r="AM32" i="2"/>
  <c r="AR32" i="2"/>
  <c r="AN32" i="2"/>
  <c r="AW32" i="2"/>
  <c r="AS32" i="2"/>
  <c r="AO32" i="2"/>
  <c r="AK32" i="2"/>
  <c r="AG32" i="2"/>
  <c r="AH32" i="2"/>
  <c r="AT32" i="2"/>
  <c r="AP32" i="2"/>
  <c r="AL32" i="2"/>
  <c r="AC32" i="2"/>
  <c r="AA32" i="2"/>
  <c r="AI32" i="2"/>
  <c r="AE32" i="2"/>
  <c r="AB32" i="2"/>
  <c r="W32" i="2"/>
  <c r="S32" i="2"/>
  <c r="O32" i="2"/>
  <c r="K32" i="2"/>
  <c r="X32" i="2"/>
  <c r="T32" i="2"/>
  <c r="P32" i="2"/>
  <c r="L32" i="2"/>
  <c r="H32" i="2"/>
  <c r="AF32" i="2"/>
  <c r="AD32" i="2"/>
  <c r="Y32" i="2"/>
  <c r="U32" i="2"/>
  <c r="Q32" i="2"/>
  <c r="M32" i="2"/>
  <c r="I32" i="2"/>
  <c r="E32" i="2"/>
  <c r="D32" i="2"/>
  <c r="Z32" i="2"/>
  <c r="V32" i="2"/>
  <c r="R32" i="2"/>
  <c r="N32" i="2"/>
  <c r="J32" i="2"/>
  <c r="AJ32" i="2"/>
  <c r="F32" i="2"/>
  <c r="G32" i="2"/>
  <c r="B32" i="2"/>
  <c r="W67" i="6" l="1"/>
  <c r="V66" i="6"/>
  <c r="A36" i="9"/>
  <c r="B35" i="9"/>
  <c r="C33" i="7"/>
  <c r="AY33" i="7"/>
  <c r="AW33" i="7"/>
  <c r="AX33" i="7"/>
  <c r="AR33" i="7"/>
  <c r="AN33" i="7"/>
  <c r="AZ33" i="7"/>
  <c r="AS33" i="7"/>
  <c r="AO33" i="7"/>
  <c r="AK33" i="7"/>
  <c r="A34" i="7"/>
  <c r="AV33" i="7"/>
  <c r="AT33" i="7"/>
  <c r="AP33" i="7"/>
  <c r="AL33" i="7"/>
  <c r="AU33" i="7"/>
  <c r="AQ33" i="7"/>
  <c r="AM33" i="7"/>
  <c r="AH33" i="7"/>
  <c r="AI33" i="7"/>
  <c r="AE33" i="7"/>
  <c r="AD33" i="7"/>
  <c r="AJ33" i="7"/>
  <c r="AF33" i="7"/>
  <c r="AB33" i="7"/>
  <c r="AG33" i="7"/>
  <c r="AC33" i="7"/>
  <c r="X33" i="7"/>
  <c r="T33" i="7"/>
  <c r="P33" i="7"/>
  <c r="L33" i="7"/>
  <c r="AA33" i="7"/>
  <c r="Y33" i="7"/>
  <c r="U33" i="7"/>
  <c r="Q33" i="7"/>
  <c r="M33" i="7"/>
  <c r="I33" i="7"/>
  <c r="E33" i="7"/>
  <c r="Z33" i="7"/>
  <c r="V33" i="7"/>
  <c r="R33" i="7"/>
  <c r="N33" i="7"/>
  <c r="J33" i="7"/>
  <c r="F33" i="7"/>
  <c r="W33" i="7"/>
  <c r="S33" i="7"/>
  <c r="K33" i="7"/>
  <c r="G33" i="7"/>
  <c r="D33" i="7"/>
  <c r="O33" i="7"/>
  <c r="H33" i="7"/>
  <c r="B33" i="7"/>
  <c r="X67" i="2"/>
  <c r="W66" i="2"/>
  <c r="X67" i="9"/>
  <c r="W66" i="9"/>
  <c r="W67" i="7"/>
  <c r="V66" i="7"/>
  <c r="AZ33" i="8"/>
  <c r="A34" i="8"/>
  <c r="B33" i="8"/>
  <c r="AZ34" i="6"/>
  <c r="AX34" i="6"/>
  <c r="AW34" i="6"/>
  <c r="AR34" i="6"/>
  <c r="AN34" i="6"/>
  <c r="AU34" i="6"/>
  <c r="AS34" i="6"/>
  <c r="AM34" i="6"/>
  <c r="AY34" i="6"/>
  <c r="AQ34" i="6"/>
  <c r="AT34" i="6"/>
  <c r="AI34" i="6"/>
  <c r="AE34" i="6"/>
  <c r="AV34" i="6"/>
  <c r="AH34" i="6"/>
  <c r="AD34" i="6"/>
  <c r="AO34" i="6"/>
  <c r="AL34" i="6"/>
  <c r="AK34" i="6"/>
  <c r="AG34" i="6"/>
  <c r="AC34" i="6"/>
  <c r="Y34" i="6"/>
  <c r="U34" i="6"/>
  <c r="Q34" i="6"/>
  <c r="M34" i="6"/>
  <c r="I34" i="6"/>
  <c r="E34" i="6"/>
  <c r="AJ34" i="6"/>
  <c r="X34" i="6"/>
  <c r="T34" i="6"/>
  <c r="P34" i="6"/>
  <c r="L34" i="6"/>
  <c r="H34" i="6"/>
  <c r="AF34" i="6"/>
  <c r="AA34" i="6"/>
  <c r="W34" i="6"/>
  <c r="S34" i="6"/>
  <c r="O34" i="6"/>
  <c r="K34" i="6"/>
  <c r="G34" i="6"/>
  <c r="AP34" i="6"/>
  <c r="AB34" i="6"/>
  <c r="Z34" i="6"/>
  <c r="J34" i="6"/>
  <c r="V34" i="6"/>
  <c r="F34" i="6"/>
  <c r="C34" i="6"/>
  <c r="A35" i="6"/>
  <c r="R34" i="6"/>
  <c r="D34" i="6"/>
  <c r="N34" i="6"/>
  <c r="B34" i="6"/>
  <c r="AZ33" i="2"/>
  <c r="AV33" i="2"/>
  <c r="C33" i="2"/>
  <c r="AW33" i="2"/>
  <c r="AX33" i="2"/>
  <c r="AS33" i="2"/>
  <c r="AO33" i="2"/>
  <c r="AK33" i="2"/>
  <c r="AT33" i="2"/>
  <c r="AP33" i="2"/>
  <c r="AL33" i="2"/>
  <c r="A34" i="2"/>
  <c r="AU33" i="2"/>
  <c r="AQ33" i="2"/>
  <c r="AM33" i="2"/>
  <c r="AI33" i="2"/>
  <c r="AE33" i="2"/>
  <c r="AJ33" i="2"/>
  <c r="AF33" i="2"/>
  <c r="AY33" i="2"/>
  <c r="AR33" i="2"/>
  <c r="AN33" i="2"/>
  <c r="AG33" i="2"/>
  <c r="AC33" i="2"/>
  <c r="AD33" i="2"/>
  <c r="AH33" i="2"/>
  <c r="Y33" i="2"/>
  <c r="U33" i="2"/>
  <c r="Q33" i="2"/>
  <c r="M33" i="2"/>
  <c r="AA33" i="2"/>
  <c r="Z33" i="2"/>
  <c r="V33" i="2"/>
  <c r="R33" i="2"/>
  <c r="N33" i="2"/>
  <c r="J33" i="2"/>
  <c r="F33" i="2"/>
  <c r="W33" i="2"/>
  <c r="S33" i="2"/>
  <c r="O33" i="2"/>
  <c r="K33" i="2"/>
  <c r="B33" i="2"/>
  <c r="I33" i="2"/>
  <c r="E33" i="2"/>
  <c r="G33" i="2"/>
  <c r="D33" i="2"/>
  <c r="AB33" i="2"/>
  <c r="X33" i="2"/>
  <c r="T33" i="2"/>
  <c r="P33" i="2"/>
  <c r="L33" i="2"/>
  <c r="H33" i="2"/>
  <c r="W67" i="8"/>
  <c r="V66" i="8"/>
  <c r="V15" i="8" s="1"/>
  <c r="V66" i="10"/>
  <c r="W67" i="10"/>
  <c r="A35" i="10"/>
  <c r="B34" i="10"/>
  <c r="A41" i="1"/>
  <c r="B40" i="1"/>
  <c r="BA40" i="1" s="1"/>
  <c r="A42" i="1" l="1"/>
  <c r="B41" i="1"/>
  <c r="BA41" i="1" s="1"/>
  <c r="AZ34" i="8"/>
  <c r="A35" i="8"/>
  <c r="B34" i="8"/>
  <c r="Y67" i="9"/>
  <c r="X66" i="9"/>
  <c r="A35" i="7"/>
  <c r="AZ34" i="7"/>
  <c r="AW34" i="7"/>
  <c r="AX34" i="7"/>
  <c r="AY34" i="7"/>
  <c r="AT34" i="7"/>
  <c r="AP34" i="7"/>
  <c r="AL34" i="7"/>
  <c r="AV34" i="7"/>
  <c r="AU34" i="7"/>
  <c r="AQ34" i="7"/>
  <c r="AM34" i="7"/>
  <c r="AR34" i="7"/>
  <c r="AN34" i="7"/>
  <c r="C34" i="7"/>
  <c r="AJ34" i="7"/>
  <c r="AF34" i="7"/>
  <c r="AS34" i="7"/>
  <c r="AO34" i="7"/>
  <c r="AK34" i="7"/>
  <c r="AG34" i="7"/>
  <c r="AI34" i="7"/>
  <c r="AE34" i="7"/>
  <c r="AB34" i="7"/>
  <c r="AH34" i="7"/>
  <c r="AD34" i="7"/>
  <c r="Z34" i="7"/>
  <c r="V34" i="7"/>
  <c r="R34" i="7"/>
  <c r="N34" i="7"/>
  <c r="AC34" i="7"/>
  <c r="W34" i="7"/>
  <c r="S34" i="7"/>
  <c r="O34" i="7"/>
  <c r="K34" i="7"/>
  <c r="G34" i="7"/>
  <c r="X34" i="7"/>
  <c r="T34" i="7"/>
  <c r="P34" i="7"/>
  <c r="L34" i="7"/>
  <c r="AA34" i="7"/>
  <c r="Y34" i="7"/>
  <c r="U34" i="7"/>
  <c r="Q34" i="7"/>
  <c r="M34" i="7"/>
  <c r="J34" i="7"/>
  <c r="H34" i="7"/>
  <c r="F34" i="7"/>
  <c r="I34" i="7"/>
  <c r="E34" i="7"/>
  <c r="D34" i="7"/>
  <c r="B34" i="7"/>
  <c r="B36" i="9"/>
  <c r="A37" i="9"/>
  <c r="B35" i="10"/>
  <c r="A36" i="10"/>
  <c r="W66" i="8"/>
  <c r="W15" i="8" s="1"/>
  <c r="X67" i="8"/>
  <c r="X67" i="10"/>
  <c r="W66" i="10"/>
  <c r="C34" i="2"/>
  <c r="A35" i="2"/>
  <c r="AX34" i="2"/>
  <c r="AZ34" i="2"/>
  <c r="AY34" i="2"/>
  <c r="AV34" i="2"/>
  <c r="AU34" i="2"/>
  <c r="AQ34" i="2"/>
  <c r="AM34" i="2"/>
  <c r="AW34" i="2"/>
  <c r="AR34" i="2"/>
  <c r="AN34" i="2"/>
  <c r="AS34" i="2"/>
  <c r="AO34" i="2"/>
  <c r="AK34" i="2"/>
  <c r="AG34" i="2"/>
  <c r="AT34" i="2"/>
  <c r="AP34" i="2"/>
  <c r="AL34" i="2"/>
  <c r="AH34" i="2"/>
  <c r="AC34" i="2"/>
  <c r="AA34" i="2"/>
  <c r="AJ34" i="2"/>
  <c r="AF34" i="2"/>
  <c r="AB34" i="2"/>
  <c r="AE34" i="2"/>
  <c r="W34" i="2"/>
  <c r="S34" i="2"/>
  <c r="O34" i="2"/>
  <c r="K34" i="2"/>
  <c r="AI34" i="2"/>
  <c r="AD34" i="2"/>
  <c r="X34" i="2"/>
  <c r="T34" i="2"/>
  <c r="P34" i="2"/>
  <c r="L34" i="2"/>
  <c r="H34" i="2"/>
  <c r="Y34" i="2"/>
  <c r="U34" i="2"/>
  <c r="Q34" i="2"/>
  <c r="M34" i="2"/>
  <c r="Z34" i="2"/>
  <c r="V34" i="2"/>
  <c r="R34" i="2"/>
  <c r="N34" i="2"/>
  <c r="G34" i="2"/>
  <c r="D34" i="2"/>
  <c r="J34" i="2"/>
  <c r="I34" i="2"/>
  <c r="E34" i="2"/>
  <c r="B34" i="2"/>
  <c r="F34" i="2"/>
  <c r="AW35" i="6"/>
  <c r="AV35" i="6"/>
  <c r="AU35" i="6"/>
  <c r="AQ35" i="6"/>
  <c r="AM35" i="6"/>
  <c r="AY35" i="6"/>
  <c r="AT35" i="6"/>
  <c r="AR35" i="6"/>
  <c r="AX35" i="6"/>
  <c r="AP35" i="6"/>
  <c r="AZ35" i="6"/>
  <c r="AS35" i="6"/>
  <c r="AN35" i="6"/>
  <c r="AH35" i="6"/>
  <c r="AD35" i="6"/>
  <c r="AO35" i="6"/>
  <c r="AL35" i="6"/>
  <c r="AK35" i="6"/>
  <c r="AG35" i="6"/>
  <c r="AC35" i="6"/>
  <c r="AJ35" i="6"/>
  <c r="AF35" i="6"/>
  <c r="AB35" i="6"/>
  <c r="X35" i="6"/>
  <c r="T35" i="6"/>
  <c r="P35" i="6"/>
  <c r="L35" i="6"/>
  <c r="H35" i="6"/>
  <c r="D35" i="6"/>
  <c r="AI35" i="6"/>
  <c r="AA35" i="6"/>
  <c r="W35" i="6"/>
  <c r="S35" i="6"/>
  <c r="O35" i="6"/>
  <c r="K35" i="6"/>
  <c r="G35" i="6"/>
  <c r="AE35" i="6"/>
  <c r="Z35" i="6"/>
  <c r="V35" i="6"/>
  <c r="R35" i="6"/>
  <c r="N35" i="6"/>
  <c r="J35" i="6"/>
  <c r="F35" i="6"/>
  <c r="Y35" i="6"/>
  <c r="I35" i="6"/>
  <c r="C35" i="6"/>
  <c r="U35" i="6"/>
  <c r="E35" i="6"/>
  <c r="Q35" i="6"/>
  <c r="A36" i="6"/>
  <c r="M35" i="6"/>
  <c r="B35" i="6"/>
  <c r="X67" i="7"/>
  <c r="W66" i="7"/>
  <c r="X66" i="2"/>
  <c r="Y67" i="2"/>
  <c r="X67" i="6"/>
  <c r="W66" i="6"/>
  <c r="AY35" i="7" l="1"/>
  <c r="A36" i="7"/>
  <c r="AZ35" i="7"/>
  <c r="AV35" i="7"/>
  <c r="C35" i="7"/>
  <c r="AW35" i="7"/>
  <c r="AR35" i="7"/>
  <c r="AN35" i="7"/>
  <c r="AS35" i="7"/>
  <c r="AO35" i="7"/>
  <c r="AK35" i="7"/>
  <c r="AT35" i="7"/>
  <c r="AP35" i="7"/>
  <c r="AL35" i="7"/>
  <c r="AX35" i="7"/>
  <c r="AH35" i="7"/>
  <c r="AI35" i="7"/>
  <c r="AE35" i="7"/>
  <c r="AU35" i="7"/>
  <c r="AQ35" i="7"/>
  <c r="AM35" i="7"/>
  <c r="AJ35" i="7"/>
  <c r="AF35" i="7"/>
  <c r="AD35" i="7"/>
  <c r="AB35" i="7"/>
  <c r="AC35" i="7"/>
  <c r="X35" i="7"/>
  <c r="T35" i="7"/>
  <c r="P35" i="7"/>
  <c r="L35" i="7"/>
  <c r="Y35" i="7"/>
  <c r="U35" i="7"/>
  <c r="Q35" i="7"/>
  <c r="M35" i="7"/>
  <c r="I35" i="7"/>
  <c r="E35" i="7"/>
  <c r="D35" i="7"/>
  <c r="AA35" i="7"/>
  <c r="Z35" i="7"/>
  <c r="V35" i="7"/>
  <c r="R35" i="7"/>
  <c r="N35" i="7"/>
  <c r="J35" i="7"/>
  <c r="AG35" i="7"/>
  <c r="F35" i="7"/>
  <c r="B35" i="7"/>
  <c r="W35" i="7"/>
  <c r="S35" i="7"/>
  <c r="O35" i="7"/>
  <c r="K35" i="7"/>
  <c r="G35" i="7"/>
  <c r="H35" i="7"/>
  <c r="AZ35" i="8"/>
  <c r="A36" i="8"/>
  <c r="B35" i="8"/>
  <c r="X66" i="7"/>
  <c r="Y67" i="7"/>
  <c r="Z67" i="2"/>
  <c r="Y66" i="2"/>
  <c r="A37" i="10"/>
  <c r="B36" i="10"/>
  <c r="X66" i="6"/>
  <c r="Y67" i="6"/>
  <c r="X66" i="10"/>
  <c r="Y67" i="10"/>
  <c r="Z67" i="9"/>
  <c r="Y66" i="9"/>
  <c r="AV36" i="6"/>
  <c r="AZ36" i="6"/>
  <c r="AY36" i="6"/>
  <c r="AT36" i="6"/>
  <c r="AP36" i="6"/>
  <c r="AL36" i="6"/>
  <c r="AX36" i="6"/>
  <c r="AS36" i="6"/>
  <c r="AQ36" i="6"/>
  <c r="AW36" i="6"/>
  <c r="AO36" i="6"/>
  <c r="AR36" i="6"/>
  <c r="AM36" i="6"/>
  <c r="AK36" i="6"/>
  <c r="AG36" i="6"/>
  <c r="AC36" i="6"/>
  <c r="AJ36" i="6"/>
  <c r="AF36" i="6"/>
  <c r="AB36" i="6"/>
  <c r="AI36" i="6"/>
  <c r="AE36" i="6"/>
  <c r="AN36" i="6"/>
  <c r="AA36" i="6"/>
  <c r="W36" i="6"/>
  <c r="S36" i="6"/>
  <c r="O36" i="6"/>
  <c r="K36" i="6"/>
  <c r="G36" i="6"/>
  <c r="AU36" i="6"/>
  <c r="AH36" i="6"/>
  <c r="Z36" i="6"/>
  <c r="V36" i="6"/>
  <c r="R36" i="6"/>
  <c r="N36" i="6"/>
  <c r="J36" i="6"/>
  <c r="F36" i="6"/>
  <c r="AD36" i="6"/>
  <c r="Y36" i="6"/>
  <c r="U36" i="6"/>
  <c r="Q36" i="6"/>
  <c r="M36" i="6"/>
  <c r="I36" i="6"/>
  <c r="E36" i="6"/>
  <c r="X36" i="6"/>
  <c r="H36" i="6"/>
  <c r="T36" i="6"/>
  <c r="D36" i="6"/>
  <c r="P36" i="6"/>
  <c r="L36" i="6"/>
  <c r="C36" i="6"/>
  <c r="A37" i="6"/>
  <c r="B36" i="6"/>
  <c r="AV35" i="2"/>
  <c r="A36" i="2"/>
  <c r="AW35" i="2"/>
  <c r="AZ35" i="2"/>
  <c r="AX35" i="2"/>
  <c r="AS35" i="2"/>
  <c r="AO35" i="2"/>
  <c r="AK35" i="2"/>
  <c r="AT35" i="2"/>
  <c r="AP35" i="2"/>
  <c r="AL35" i="2"/>
  <c r="AY35" i="2"/>
  <c r="AU35" i="2"/>
  <c r="AQ35" i="2"/>
  <c r="AM35" i="2"/>
  <c r="AI35" i="2"/>
  <c r="AE35" i="2"/>
  <c r="AJ35" i="2"/>
  <c r="AF35" i="2"/>
  <c r="C35" i="2"/>
  <c r="AR35" i="2"/>
  <c r="AN35" i="2"/>
  <c r="AG35" i="2"/>
  <c r="AC35" i="2"/>
  <c r="AH35" i="2"/>
  <c r="AD35" i="2"/>
  <c r="Y35" i="2"/>
  <c r="U35" i="2"/>
  <c r="Q35" i="2"/>
  <c r="M35" i="2"/>
  <c r="Z35" i="2"/>
  <c r="V35" i="2"/>
  <c r="R35" i="2"/>
  <c r="N35" i="2"/>
  <c r="J35" i="2"/>
  <c r="F35" i="2"/>
  <c r="D35" i="2"/>
  <c r="AB35" i="2"/>
  <c r="AA35" i="2"/>
  <c r="W35" i="2"/>
  <c r="S35" i="2"/>
  <c r="O35" i="2"/>
  <c r="K35" i="2"/>
  <c r="I35" i="2"/>
  <c r="E35" i="2"/>
  <c r="B35" i="2"/>
  <c r="H35" i="2"/>
  <c r="X35" i="2"/>
  <c r="T35" i="2"/>
  <c r="P35" i="2"/>
  <c r="L35" i="2"/>
  <c r="G35" i="2"/>
  <c r="Y67" i="8"/>
  <c r="X66" i="8"/>
  <c r="X15" i="8" s="1"/>
  <c r="A38" i="9"/>
  <c r="B37" i="9"/>
  <c r="A43" i="1"/>
  <c r="B42" i="1"/>
  <c r="BA42" i="1" s="1"/>
  <c r="A38" i="10" l="1"/>
  <c r="B37" i="10"/>
  <c r="A44" i="1"/>
  <c r="B43" i="1"/>
  <c r="BA43" i="1" s="1"/>
  <c r="Y66" i="8"/>
  <c r="Y15" i="8" s="1"/>
  <c r="Z67" i="8"/>
  <c r="Z67" i="6"/>
  <c r="Y66" i="6"/>
  <c r="B38" i="9"/>
  <c r="A39" i="9"/>
  <c r="AZ37" i="6"/>
  <c r="AY37" i="6"/>
  <c r="AX37" i="6"/>
  <c r="AS37" i="6"/>
  <c r="AO37" i="6"/>
  <c r="AW37" i="6"/>
  <c r="AR37" i="6"/>
  <c r="AP37" i="6"/>
  <c r="AV37" i="6"/>
  <c r="AU37" i="6"/>
  <c r="AN37" i="6"/>
  <c r="AQ37" i="6"/>
  <c r="AL37" i="6"/>
  <c r="AJ37" i="6"/>
  <c r="AF37" i="6"/>
  <c r="AB37" i="6"/>
  <c r="AI37" i="6"/>
  <c r="AE37" i="6"/>
  <c r="AH37" i="6"/>
  <c r="AD37" i="6"/>
  <c r="AT37" i="6"/>
  <c r="AK37" i="6"/>
  <c r="Z37" i="6"/>
  <c r="V37" i="6"/>
  <c r="R37" i="6"/>
  <c r="N37" i="6"/>
  <c r="J37" i="6"/>
  <c r="F37" i="6"/>
  <c r="AG37" i="6"/>
  <c r="Y37" i="6"/>
  <c r="U37" i="6"/>
  <c r="Q37" i="6"/>
  <c r="M37" i="6"/>
  <c r="I37" i="6"/>
  <c r="E37" i="6"/>
  <c r="AM37" i="6"/>
  <c r="AC37" i="6"/>
  <c r="X37" i="6"/>
  <c r="T37" i="6"/>
  <c r="P37" i="6"/>
  <c r="L37" i="6"/>
  <c r="H37" i="6"/>
  <c r="D37" i="6"/>
  <c r="W37" i="6"/>
  <c r="G37" i="6"/>
  <c r="A38" i="6"/>
  <c r="S37" i="6"/>
  <c r="O37" i="6"/>
  <c r="C37" i="6"/>
  <c r="K37" i="6"/>
  <c r="AA37" i="6"/>
  <c r="B37" i="6"/>
  <c r="Z66" i="9"/>
  <c r="AA67" i="9"/>
  <c r="AA67" i="2"/>
  <c r="Z66" i="2"/>
  <c r="AZ36" i="8"/>
  <c r="A37" i="8"/>
  <c r="B36" i="8"/>
  <c r="AW36" i="7"/>
  <c r="C36" i="7"/>
  <c r="AX36" i="7"/>
  <c r="A37" i="7"/>
  <c r="AZ36" i="7"/>
  <c r="AY36" i="7"/>
  <c r="AV36" i="7"/>
  <c r="AT36" i="7"/>
  <c r="AP36" i="7"/>
  <c r="AL36" i="7"/>
  <c r="AU36" i="7"/>
  <c r="AQ36" i="7"/>
  <c r="AM36" i="7"/>
  <c r="AR36" i="7"/>
  <c r="AN36" i="7"/>
  <c r="AS36" i="7"/>
  <c r="AO36" i="7"/>
  <c r="AK36" i="7"/>
  <c r="AJ36" i="7"/>
  <c r="AF36" i="7"/>
  <c r="AG36" i="7"/>
  <c r="AH36" i="7"/>
  <c r="AB36" i="7"/>
  <c r="AI36" i="7"/>
  <c r="AE36" i="7"/>
  <c r="AD36" i="7"/>
  <c r="AC36" i="7"/>
  <c r="AA36" i="7"/>
  <c r="Z36" i="7"/>
  <c r="V36" i="7"/>
  <c r="R36" i="7"/>
  <c r="N36" i="7"/>
  <c r="W36" i="7"/>
  <c r="S36" i="7"/>
  <c r="O36" i="7"/>
  <c r="K36" i="7"/>
  <c r="G36" i="7"/>
  <c r="X36" i="7"/>
  <c r="T36" i="7"/>
  <c r="P36" i="7"/>
  <c r="L36" i="7"/>
  <c r="F36" i="7"/>
  <c r="B36" i="7"/>
  <c r="Y36" i="7"/>
  <c r="U36" i="7"/>
  <c r="M36" i="7"/>
  <c r="H36" i="7"/>
  <c r="D36" i="7"/>
  <c r="J36" i="7"/>
  <c r="I36" i="7"/>
  <c r="E36" i="7"/>
  <c r="Q36" i="7"/>
  <c r="AX36" i="2"/>
  <c r="AY36" i="2"/>
  <c r="C36" i="2"/>
  <c r="A37" i="2"/>
  <c r="AV36" i="2"/>
  <c r="AW36" i="2"/>
  <c r="AU36" i="2"/>
  <c r="AQ36" i="2"/>
  <c r="AM36" i="2"/>
  <c r="AZ36" i="2"/>
  <c r="AR36" i="2"/>
  <c r="AN36" i="2"/>
  <c r="AS36" i="2"/>
  <c r="AO36" i="2"/>
  <c r="AK36" i="2"/>
  <c r="AT36" i="2"/>
  <c r="AP36" i="2"/>
  <c r="AL36" i="2"/>
  <c r="AG36" i="2"/>
  <c r="AH36" i="2"/>
  <c r="AC36" i="2"/>
  <c r="AA36" i="2"/>
  <c r="AI36" i="2"/>
  <c r="AE36" i="2"/>
  <c r="AB36" i="2"/>
  <c r="AD36" i="2"/>
  <c r="W36" i="2"/>
  <c r="S36" i="2"/>
  <c r="O36" i="2"/>
  <c r="K36" i="2"/>
  <c r="AF36" i="2"/>
  <c r="X36" i="2"/>
  <c r="T36" i="2"/>
  <c r="P36" i="2"/>
  <c r="L36" i="2"/>
  <c r="H36" i="2"/>
  <c r="AJ36" i="2"/>
  <c r="Y36" i="2"/>
  <c r="U36" i="2"/>
  <c r="Q36" i="2"/>
  <c r="M36" i="2"/>
  <c r="F36" i="2"/>
  <c r="D36" i="2"/>
  <c r="G36" i="2"/>
  <c r="Z36" i="2"/>
  <c r="V36" i="2"/>
  <c r="R36" i="2"/>
  <c r="N36" i="2"/>
  <c r="I36" i="2"/>
  <c r="E36" i="2"/>
  <c r="J36" i="2"/>
  <c r="B36" i="2"/>
  <c r="Z67" i="10"/>
  <c r="Y66" i="10"/>
  <c r="Z67" i="7"/>
  <c r="Y66" i="7"/>
  <c r="AA67" i="7" l="1"/>
  <c r="Z66" i="7"/>
  <c r="AZ37" i="8"/>
  <c r="A38" i="8"/>
  <c r="B37" i="8"/>
  <c r="AA66" i="9"/>
  <c r="AB67" i="9"/>
  <c r="AZ38" i="6"/>
  <c r="AX38" i="6"/>
  <c r="AW38" i="6"/>
  <c r="AY38" i="6"/>
  <c r="AR38" i="6"/>
  <c r="AN38" i="6"/>
  <c r="AV38" i="6"/>
  <c r="AU38" i="6"/>
  <c r="AO38" i="6"/>
  <c r="AT38" i="6"/>
  <c r="AI38" i="6"/>
  <c r="AE38" i="6"/>
  <c r="AH38" i="6"/>
  <c r="AD38" i="6"/>
  <c r="AP38" i="6"/>
  <c r="AM38" i="6"/>
  <c r="AK38" i="6"/>
  <c r="AG38" i="6"/>
  <c r="AC38" i="6"/>
  <c r="AJ38" i="6"/>
  <c r="Y38" i="6"/>
  <c r="U38" i="6"/>
  <c r="Q38" i="6"/>
  <c r="M38" i="6"/>
  <c r="I38" i="6"/>
  <c r="E38" i="6"/>
  <c r="AF38" i="6"/>
  <c r="X38" i="6"/>
  <c r="T38" i="6"/>
  <c r="P38" i="6"/>
  <c r="L38" i="6"/>
  <c r="H38" i="6"/>
  <c r="AQ38" i="6"/>
  <c r="AL38" i="6"/>
  <c r="AB38" i="6"/>
  <c r="AA38" i="6"/>
  <c r="W38" i="6"/>
  <c r="S38" i="6"/>
  <c r="O38" i="6"/>
  <c r="K38" i="6"/>
  <c r="G38" i="6"/>
  <c r="V38" i="6"/>
  <c r="F38" i="6"/>
  <c r="D38" i="6"/>
  <c r="AS38" i="6"/>
  <c r="R38" i="6"/>
  <c r="C38" i="6"/>
  <c r="A39" i="6"/>
  <c r="N38" i="6"/>
  <c r="Z38" i="6"/>
  <c r="J38" i="6"/>
  <c r="B38" i="6"/>
  <c r="AA67" i="6"/>
  <c r="Z66" i="6"/>
  <c r="A45" i="1"/>
  <c r="B44" i="1"/>
  <c r="BA44" i="1" s="1"/>
  <c r="AA67" i="10"/>
  <c r="Z66" i="10"/>
  <c r="A40" i="9"/>
  <c r="B39" i="9"/>
  <c r="AA67" i="8"/>
  <c r="Z66" i="8"/>
  <c r="Z15" i="8" s="1"/>
  <c r="AZ37" i="2"/>
  <c r="AV37" i="2"/>
  <c r="C37" i="2"/>
  <c r="AW37" i="2"/>
  <c r="AX37" i="2"/>
  <c r="AS37" i="2"/>
  <c r="AO37" i="2"/>
  <c r="AK37" i="2"/>
  <c r="AY37" i="2"/>
  <c r="AT37" i="2"/>
  <c r="AP37" i="2"/>
  <c r="AL37" i="2"/>
  <c r="AU37" i="2"/>
  <c r="AQ37" i="2"/>
  <c r="AM37" i="2"/>
  <c r="AI37" i="2"/>
  <c r="AE37" i="2"/>
  <c r="AR37" i="2"/>
  <c r="AN37" i="2"/>
  <c r="AJ37" i="2"/>
  <c r="AF37" i="2"/>
  <c r="A38" i="2"/>
  <c r="AG37" i="2"/>
  <c r="AC37" i="2"/>
  <c r="AD37" i="2"/>
  <c r="Y37" i="2"/>
  <c r="U37" i="2"/>
  <c r="Q37" i="2"/>
  <c r="M37" i="2"/>
  <c r="AB37" i="2"/>
  <c r="Z37" i="2"/>
  <c r="V37" i="2"/>
  <c r="R37" i="2"/>
  <c r="N37" i="2"/>
  <c r="J37" i="2"/>
  <c r="F37" i="2"/>
  <c r="W37" i="2"/>
  <c r="S37" i="2"/>
  <c r="O37" i="2"/>
  <c r="K37" i="2"/>
  <c r="X37" i="2"/>
  <c r="T37" i="2"/>
  <c r="P37" i="2"/>
  <c r="L37" i="2"/>
  <c r="H37" i="2"/>
  <c r="D37" i="2"/>
  <c r="G37" i="2"/>
  <c r="AH37" i="2"/>
  <c r="I37" i="2"/>
  <c r="E37" i="2"/>
  <c r="B37" i="2"/>
  <c r="AA37" i="2"/>
  <c r="C37" i="7"/>
  <c r="AY37" i="7"/>
  <c r="AV37" i="7"/>
  <c r="AW37" i="7"/>
  <c r="AR37" i="7"/>
  <c r="AN37" i="7"/>
  <c r="AS37" i="7"/>
  <c r="AO37" i="7"/>
  <c r="AK37" i="7"/>
  <c r="AZ37" i="7"/>
  <c r="AX37" i="7"/>
  <c r="AT37" i="7"/>
  <c r="AP37" i="7"/>
  <c r="AL37" i="7"/>
  <c r="A38" i="7"/>
  <c r="AH37" i="7"/>
  <c r="AI37" i="7"/>
  <c r="AE37" i="7"/>
  <c r="AD37" i="7"/>
  <c r="AJ37" i="7"/>
  <c r="AF37" i="7"/>
  <c r="AB37" i="7"/>
  <c r="AU37" i="7"/>
  <c r="AQ37" i="7"/>
  <c r="AM37" i="7"/>
  <c r="AG37" i="7"/>
  <c r="AC37" i="7"/>
  <c r="X37" i="7"/>
  <c r="T37" i="7"/>
  <c r="P37" i="7"/>
  <c r="L37" i="7"/>
  <c r="Y37" i="7"/>
  <c r="U37" i="7"/>
  <c r="Q37" i="7"/>
  <c r="M37" i="7"/>
  <c r="I37" i="7"/>
  <c r="E37" i="7"/>
  <c r="Z37" i="7"/>
  <c r="V37" i="7"/>
  <c r="R37" i="7"/>
  <c r="N37" i="7"/>
  <c r="J37" i="7"/>
  <c r="H37" i="7"/>
  <c r="D37" i="7"/>
  <c r="W37" i="7"/>
  <c r="S37" i="7"/>
  <c r="O37" i="7"/>
  <c r="K37" i="7"/>
  <c r="AA37" i="7"/>
  <c r="G37" i="7"/>
  <c r="F37" i="7"/>
  <c r="B37" i="7"/>
  <c r="AB67" i="2"/>
  <c r="AA66" i="2"/>
  <c r="A39" i="10"/>
  <c r="B38" i="10"/>
  <c r="B39" i="10" l="1"/>
  <c r="A40" i="10"/>
  <c r="A39" i="7"/>
  <c r="AZ38" i="7"/>
  <c r="AW38" i="7"/>
  <c r="AX38" i="7"/>
  <c r="AY38" i="7"/>
  <c r="AT38" i="7"/>
  <c r="AP38" i="7"/>
  <c r="AL38" i="7"/>
  <c r="AU38" i="7"/>
  <c r="AQ38" i="7"/>
  <c r="AM38" i="7"/>
  <c r="C38" i="7"/>
  <c r="AR38" i="7"/>
  <c r="AN38" i="7"/>
  <c r="AJ38" i="7"/>
  <c r="AF38" i="7"/>
  <c r="AG38" i="7"/>
  <c r="AS38" i="7"/>
  <c r="AO38" i="7"/>
  <c r="AK38" i="7"/>
  <c r="AV38" i="7"/>
  <c r="AI38" i="7"/>
  <c r="AE38" i="7"/>
  <c r="AB38" i="7"/>
  <c r="AH38" i="7"/>
  <c r="AD38" i="7"/>
  <c r="Z38" i="7"/>
  <c r="V38" i="7"/>
  <c r="R38" i="7"/>
  <c r="N38" i="7"/>
  <c r="AA38" i="7"/>
  <c r="W38" i="7"/>
  <c r="S38" i="7"/>
  <c r="O38" i="7"/>
  <c r="K38" i="7"/>
  <c r="G38" i="7"/>
  <c r="X38" i="7"/>
  <c r="T38" i="7"/>
  <c r="P38" i="7"/>
  <c r="L38" i="7"/>
  <c r="J38" i="7"/>
  <c r="B38" i="7"/>
  <c r="AC38" i="7"/>
  <c r="F38" i="7"/>
  <c r="D38" i="7"/>
  <c r="I38" i="7"/>
  <c r="E38" i="7"/>
  <c r="Y38" i="7"/>
  <c r="U38" i="7"/>
  <c r="Q38" i="7"/>
  <c r="M38" i="7"/>
  <c r="H38" i="7"/>
  <c r="AA66" i="8"/>
  <c r="AA15" i="8" s="1"/>
  <c r="AB67" i="8"/>
  <c r="AA66" i="10"/>
  <c r="AB67" i="10"/>
  <c r="AB67" i="6"/>
  <c r="AA66" i="6"/>
  <c r="AZ38" i="8"/>
  <c r="A39" i="8"/>
  <c r="B38" i="8"/>
  <c r="C38" i="2"/>
  <c r="A39" i="2"/>
  <c r="AX38" i="2"/>
  <c r="AZ38" i="2"/>
  <c r="AY38" i="2"/>
  <c r="AV38" i="2"/>
  <c r="AU38" i="2"/>
  <c r="AQ38" i="2"/>
  <c r="AM38" i="2"/>
  <c r="AR38" i="2"/>
  <c r="AN38" i="2"/>
  <c r="AS38" i="2"/>
  <c r="AO38" i="2"/>
  <c r="AK38" i="2"/>
  <c r="AG38" i="2"/>
  <c r="AW38" i="2"/>
  <c r="AH38" i="2"/>
  <c r="AT38" i="2"/>
  <c r="AP38" i="2"/>
  <c r="AL38" i="2"/>
  <c r="AC38" i="2"/>
  <c r="AA38" i="2"/>
  <c r="AJ38" i="2"/>
  <c r="AF38" i="2"/>
  <c r="AB38" i="2"/>
  <c r="AI38" i="2"/>
  <c r="W38" i="2"/>
  <c r="S38" i="2"/>
  <c r="O38" i="2"/>
  <c r="K38" i="2"/>
  <c r="X38" i="2"/>
  <c r="T38" i="2"/>
  <c r="P38" i="2"/>
  <c r="L38" i="2"/>
  <c r="H38" i="2"/>
  <c r="Y38" i="2"/>
  <c r="U38" i="2"/>
  <c r="Q38" i="2"/>
  <c r="M38" i="2"/>
  <c r="AD38" i="2"/>
  <c r="AE38" i="2"/>
  <c r="I38" i="2"/>
  <c r="E38" i="2"/>
  <c r="J38" i="2"/>
  <c r="F38" i="2"/>
  <c r="D38" i="2"/>
  <c r="B38" i="2"/>
  <c r="Z38" i="2"/>
  <c r="V38" i="2"/>
  <c r="R38" i="2"/>
  <c r="N38" i="2"/>
  <c r="G38" i="2"/>
  <c r="AZ39" i="6"/>
  <c r="AW39" i="6"/>
  <c r="AV39" i="6"/>
  <c r="AX39" i="6"/>
  <c r="AU39" i="6"/>
  <c r="AQ39" i="6"/>
  <c r="AM39" i="6"/>
  <c r="AT39" i="6"/>
  <c r="AY39" i="6"/>
  <c r="AN39" i="6"/>
  <c r="AS39" i="6"/>
  <c r="AO39" i="6"/>
  <c r="AH39" i="6"/>
  <c r="AD39" i="6"/>
  <c r="AP39" i="6"/>
  <c r="AK39" i="6"/>
  <c r="AG39" i="6"/>
  <c r="AC39" i="6"/>
  <c r="AL39" i="6"/>
  <c r="AJ39" i="6"/>
  <c r="AF39" i="6"/>
  <c r="AB39" i="6"/>
  <c r="AI39" i="6"/>
  <c r="X39" i="6"/>
  <c r="T39" i="6"/>
  <c r="P39" i="6"/>
  <c r="L39" i="6"/>
  <c r="H39" i="6"/>
  <c r="D39" i="6"/>
  <c r="AE39" i="6"/>
  <c r="AA39" i="6"/>
  <c r="W39" i="6"/>
  <c r="S39" i="6"/>
  <c r="O39" i="6"/>
  <c r="K39" i="6"/>
  <c r="G39" i="6"/>
  <c r="AR39" i="6"/>
  <c r="Z39" i="6"/>
  <c r="V39" i="6"/>
  <c r="R39" i="6"/>
  <c r="N39" i="6"/>
  <c r="J39" i="6"/>
  <c r="F39" i="6"/>
  <c r="U39" i="6"/>
  <c r="E39" i="6"/>
  <c r="C39" i="6"/>
  <c r="Q39" i="6"/>
  <c r="M39" i="6"/>
  <c r="A40" i="6"/>
  <c r="Y39" i="6"/>
  <c r="I39" i="6"/>
  <c r="B39" i="6"/>
  <c r="AB66" i="9"/>
  <c r="AC67" i="9"/>
  <c r="AB66" i="2"/>
  <c r="AC67" i="2"/>
  <c r="B40" i="9"/>
  <c r="A41" i="9"/>
  <c r="A46" i="1"/>
  <c r="B45" i="1"/>
  <c r="BA45" i="1" s="1"/>
  <c r="AB67" i="7"/>
  <c r="AA66" i="7"/>
  <c r="A42" i="9" l="1"/>
  <c r="B41" i="9"/>
  <c r="AD67" i="9"/>
  <c r="AC66" i="9"/>
  <c r="AB66" i="7"/>
  <c r="AC67" i="7"/>
  <c r="AV40" i="6"/>
  <c r="AY40" i="6"/>
  <c r="AW40" i="6"/>
  <c r="AT40" i="6"/>
  <c r="AP40" i="6"/>
  <c r="AL40" i="6"/>
  <c r="AS40" i="6"/>
  <c r="AX40" i="6"/>
  <c r="AU40" i="6"/>
  <c r="AM40" i="6"/>
  <c r="AZ40" i="6"/>
  <c r="AR40" i="6"/>
  <c r="AQ40" i="6"/>
  <c r="AK40" i="6"/>
  <c r="AG40" i="6"/>
  <c r="AC40" i="6"/>
  <c r="AJ40" i="6"/>
  <c r="AF40" i="6"/>
  <c r="AB40" i="6"/>
  <c r="AN40" i="6"/>
  <c r="AI40" i="6"/>
  <c r="AE40" i="6"/>
  <c r="AH40" i="6"/>
  <c r="AA40" i="6"/>
  <c r="W40" i="6"/>
  <c r="S40" i="6"/>
  <c r="O40" i="6"/>
  <c r="K40" i="6"/>
  <c r="G40" i="6"/>
  <c r="AD40" i="6"/>
  <c r="Z40" i="6"/>
  <c r="V40" i="6"/>
  <c r="R40" i="6"/>
  <c r="N40" i="6"/>
  <c r="J40" i="6"/>
  <c r="F40" i="6"/>
  <c r="Y40" i="6"/>
  <c r="U40" i="6"/>
  <c r="Q40" i="6"/>
  <c r="M40" i="6"/>
  <c r="I40" i="6"/>
  <c r="E40" i="6"/>
  <c r="T40" i="6"/>
  <c r="AO40" i="6"/>
  <c r="P40" i="6"/>
  <c r="L40" i="6"/>
  <c r="X40" i="6"/>
  <c r="C40" i="6"/>
  <c r="H40" i="6"/>
  <c r="A41" i="6"/>
  <c r="D40" i="6"/>
  <c r="B40" i="6"/>
  <c r="AC67" i="8"/>
  <c r="AB66" i="8"/>
  <c r="AB15" i="8" s="1"/>
  <c r="AB66" i="6"/>
  <c r="AC67" i="6"/>
  <c r="AY39" i="7"/>
  <c r="A40" i="7"/>
  <c r="AZ39" i="7"/>
  <c r="AV39" i="7"/>
  <c r="C39" i="7"/>
  <c r="AW39" i="7"/>
  <c r="AR39" i="7"/>
  <c r="AN39" i="7"/>
  <c r="AX39" i="7"/>
  <c r="AS39" i="7"/>
  <c r="AO39" i="7"/>
  <c r="AK39" i="7"/>
  <c r="AT39" i="7"/>
  <c r="AP39" i="7"/>
  <c r="AL39" i="7"/>
  <c r="AH39" i="7"/>
  <c r="AU39" i="7"/>
  <c r="AQ39" i="7"/>
  <c r="AM39" i="7"/>
  <c r="AI39" i="7"/>
  <c r="AE39" i="7"/>
  <c r="AJ39" i="7"/>
  <c r="AF39" i="7"/>
  <c r="AD39" i="7"/>
  <c r="AB39" i="7"/>
  <c r="AC39" i="7"/>
  <c r="AA39" i="7"/>
  <c r="X39" i="7"/>
  <c r="T39" i="7"/>
  <c r="P39" i="7"/>
  <c r="L39" i="7"/>
  <c r="Y39" i="7"/>
  <c r="U39" i="7"/>
  <c r="Q39" i="7"/>
  <c r="M39" i="7"/>
  <c r="I39" i="7"/>
  <c r="E39" i="7"/>
  <c r="D39" i="7"/>
  <c r="AG39" i="7"/>
  <c r="Z39" i="7"/>
  <c r="V39" i="7"/>
  <c r="R39" i="7"/>
  <c r="N39" i="7"/>
  <c r="J39" i="7"/>
  <c r="W39" i="7"/>
  <c r="S39" i="7"/>
  <c r="O39" i="7"/>
  <c r="K39" i="7"/>
  <c r="G39" i="7"/>
  <c r="F39" i="7"/>
  <c r="H39" i="7"/>
  <c r="B39" i="7"/>
  <c r="AD67" i="2"/>
  <c r="AC66" i="2"/>
  <c r="A47" i="1"/>
  <c r="B46" i="1"/>
  <c r="BA46" i="1" s="1"/>
  <c r="AZ39" i="8"/>
  <c r="A40" i="8"/>
  <c r="B39" i="8"/>
  <c r="AC67" i="10"/>
  <c r="AB66" i="10"/>
  <c r="B40" i="10"/>
  <c r="A41" i="10"/>
  <c r="AV39" i="2"/>
  <c r="A40" i="2"/>
  <c r="AW39" i="2"/>
  <c r="AZ39" i="2"/>
  <c r="AX39" i="2"/>
  <c r="AY39" i="2"/>
  <c r="AS39" i="2"/>
  <c r="AO39" i="2"/>
  <c r="AK39" i="2"/>
  <c r="AT39" i="2"/>
  <c r="AP39" i="2"/>
  <c r="AL39" i="2"/>
  <c r="C39" i="2"/>
  <c r="AU39" i="2"/>
  <c r="AQ39" i="2"/>
  <c r="AM39" i="2"/>
  <c r="AR39" i="2"/>
  <c r="AN39" i="2"/>
  <c r="AI39" i="2"/>
  <c r="AE39" i="2"/>
  <c r="AJ39" i="2"/>
  <c r="AF39" i="2"/>
  <c r="AG39" i="2"/>
  <c r="AC39" i="2"/>
  <c r="AH39" i="2"/>
  <c r="AD39" i="2"/>
  <c r="AB39" i="2"/>
  <c r="AA39" i="2"/>
  <c r="Y39" i="2"/>
  <c r="U39" i="2"/>
  <c r="Q39" i="2"/>
  <c r="M39" i="2"/>
  <c r="Z39" i="2"/>
  <c r="V39" i="2"/>
  <c r="R39" i="2"/>
  <c r="N39" i="2"/>
  <c r="J39" i="2"/>
  <c r="F39" i="2"/>
  <c r="D39" i="2"/>
  <c r="W39" i="2"/>
  <c r="S39" i="2"/>
  <c r="O39" i="2"/>
  <c r="K39" i="2"/>
  <c r="G39" i="2"/>
  <c r="B39" i="2"/>
  <c r="X39" i="2"/>
  <c r="T39" i="2"/>
  <c r="L39" i="2"/>
  <c r="H39" i="2"/>
  <c r="I39" i="2"/>
  <c r="E39" i="2"/>
  <c r="P39" i="2"/>
  <c r="AZ40" i="8" l="1"/>
  <c r="A41" i="8"/>
  <c r="B40" i="8"/>
  <c r="AW40" i="7"/>
  <c r="C40" i="7"/>
  <c r="AX40" i="7"/>
  <c r="A41" i="7"/>
  <c r="AZ40" i="7"/>
  <c r="AY40" i="7"/>
  <c r="AT40" i="7"/>
  <c r="AP40" i="7"/>
  <c r="AL40" i="7"/>
  <c r="AU40" i="7"/>
  <c r="AQ40" i="7"/>
  <c r="AM40" i="7"/>
  <c r="AV40" i="7"/>
  <c r="AR40" i="7"/>
  <c r="AN40" i="7"/>
  <c r="AJ40" i="7"/>
  <c r="AF40" i="7"/>
  <c r="AG40" i="7"/>
  <c r="AS40" i="7"/>
  <c r="AO40" i="7"/>
  <c r="AK40" i="7"/>
  <c r="AH40" i="7"/>
  <c r="AB40" i="7"/>
  <c r="AI40" i="7"/>
  <c r="AE40" i="7"/>
  <c r="AD40" i="7"/>
  <c r="Z40" i="7"/>
  <c r="V40" i="7"/>
  <c r="R40" i="7"/>
  <c r="N40" i="7"/>
  <c r="W40" i="7"/>
  <c r="S40" i="7"/>
  <c r="O40" i="7"/>
  <c r="K40" i="7"/>
  <c r="G40" i="7"/>
  <c r="AC40" i="7"/>
  <c r="AA40" i="7"/>
  <c r="X40" i="7"/>
  <c r="T40" i="7"/>
  <c r="P40" i="7"/>
  <c r="L40" i="7"/>
  <c r="I40" i="7"/>
  <c r="E40" i="7"/>
  <c r="B40" i="7"/>
  <c r="D40" i="7"/>
  <c r="Y40" i="7"/>
  <c r="U40" i="7"/>
  <c r="Q40" i="7"/>
  <c r="M40" i="7"/>
  <c r="H40" i="7"/>
  <c r="J40" i="7"/>
  <c r="F40" i="7"/>
  <c r="AZ41" i="6"/>
  <c r="AY41" i="6"/>
  <c r="AX41" i="6"/>
  <c r="AV41" i="6"/>
  <c r="AS41" i="6"/>
  <c r="AO41" i="6"/>
  <c r="AR41" i="6"/>
  <c r="AW41" i="6"/>
  <c r="AT41" i="6"/>
  <c r="AQ41" i="6"/>
  <c r="AP41" i="6"/>
  <c r="AJ41" i="6"/>
  <c r="AF41" i="6"/>
  <c r="AB41" i="6"/>
  <c r="AN41" i="6"/>
  <c r="AM41" i="6"/>
  <c r="AL41" i="6"/>
  <c r="AI41" i="6"/>
  <c r="AE41" i="6"/>
  <c r="AU41" i="6"/>
  <c r="AH41" i="6"/>
  <c r="AD41" i="6"/>
  <c r="AG41" i="6"/>
  <c r="Z41" i="6"/>
  <c r="V41" i="6"/>
  <c r="R41" i="6"/>
  <c r="N41" i="6"/>
  <c r="J41" i="6"/>
  <c r="F41" i="6"/>
  <c r="AC41" i="6"/>
  <c r="Y41" i="6"/>
  <c r="U41" i="6"/>
  <c r="Q41" i="6"/>
  <c r="M41" i="6"/>
  <c r="I41" i="6"/>
  <c r="E41" i="6"/>
  <c r="X41" i="6"/>
  <c r="T41" i="6"/>
  <c r="P41" i="6"/>
  <c r="L41" i="6"/>
  <c r="H41" i="6"/>
  <c r="D41" i="6"/>
  <c r="AK41" i="6"/>
  <c r="S41" i="6"/>
  <c r="A42" i="6"/>
  <c r="O41" i="6"/>
  <c r="AA41" i="6"/>
  <c r="K41" i="6"/>
  <c r="C41" i="6"/>
  <c r="G41" i="6"/>
  <c r="W41" i="6"/>
  <c r="B41" i="6"/>
  <c r="AX40" i="2"/>
  <c r="AY40" i="2"/>
  <c r="C40" i="2"/>
  <c r="A41" i="2"/>
  <c r="AV40" i="2"/>
  <c r="AU40" i="2"/>
  <c r="AQ40" i="2"/>
  <c r="AM40" i="2"/>
  <c r="AR40" i="2"/>
  <c r="AN40" i="2"/>
  <c r="AZ40" i="2"/>
  <c r="AW40" i="2"/>
  <c r="AS40" i="2"/>
  <c r="AO40" i="2"/>
  <c r="AK40" i="2"/>
  <c r="AG40" i="2"/>
  <c r="AH40" i="2"/>
  <c r="AC40" i="2"/>
  <c r="AA40" i="2"/>
  <c r="AT40" i="2"/>
  <c r="AP40" i="2"/>
  <c r="AL40" i="2"/>
  <c r="AI40" i="2"/>
  <c r="AE40" i="2"/>
  <c r="AB40" i="2"/>
  <c r="AF40" i="2"/>
  <c r="W40" i="2"/>
  <c r="S40" i="2"/>
  <c r="O40" i="2"/>
  <c r="K40" i="2"/>
  <c r="AJ40" i="2"/>
  <c r="X40" i="2"/>
  <c r="T40" i="2"/>
  <c r="P40" i="2"/>
  <c r="L40" i="2"/>
  <c r="H40" i="2"/>
  <c r="AD40" i="2"/>
  <c r="Y40" i="2"/>
  <c r="U40" i="2"/>
  <c r="Q40" i="2"/>
  <c r="M40" i="2"/>
  <c r="I40" i="2"/>
  <c r="E40" i="2"/>
  <c r="J40" i="2"/>
  <c r="Z40" i="2"/>
  <c r="V40" i="2"/>
  <c r="R40" i="2"/>
  <c r="N40" i="2"/>
  <c r="D40" i="2"/>
  <c r="F40" i="2"/>
  <c r="G40" i="2"/>
  <c r="B40" i="2"/>
  <c r="AE67" i="2"/>
  <c r="AD66" i="2"/>
  <c r="AC66" i="8"/>
  <c r="AC15" i="8" s="1"/>
  <c r="AD67" i="8"/>
  <c r="AE67" i="9"/>
  <c r="AD66" i="9"/>
  <c r="AD67" i="10"/>
  <c r="AC66" i="10"/>
  <c r="AD67" i="6"/>
  <c r="AC66" i="6"/>
  <c r="AD67" i="7"/>
  <c r="AC66" i="7"/>
  <c r="A42" i="10"/>
  <c r="B41" i="10"/>
  <c r="A48" i="1"/>
  <c r="B47" i="1"/>
  <c r="BA47" i="1" s="1"/>
  <c r="B42" i="9"/>
  <c r="A43" i="9"/>
  <c r="A43" i="10" l="1"/>
  <c r="B42" i="10"/>
  <c r="AF67" i="9"/>
  <c r="AE66" i="9"/>
  <c r="AZ42" i="6"/>
  <c r="AX42" i="6"/>
  <c r="AW42" i="6"/>
  <c r="AR42" i="6"/>
  <c r="AN42" i="6"/>
  <c r="AU42" i="6"/>
  <c r="AV42" i="6"/>
  <c r="AS42" i="6"/>
  <c r="AP42" i="6"/>
  <c r="AO42" i="6"/>
  <c r="AM42" i="6"/>
  <c r="AL42" i="6"/>
  <c r="AI42" i="6"/>
  <c r="AE42" i="6"/>
  <c r="AY42" i="6"/>
  <c r="AH42" i="6"/>
  <c r="AD42" i="6"/>
  <c r="AT42" i="6"/>
  <c r="AQ42" i="6"/>
  <c r="AK42" i="6"/>
  <c r="AG42" i="6"/>
  <c r="AC42" i="6"/>
  <c r="AF42" i="6"/>
  <c r="Y42" i="6"/>
  <c r="U42" i="6"/>
  <c r="Q42" i="6"/>
  <c r="M42" i="6"/>
  <c r="I42" i="6"/>
  <c r="E42" i="6"/>
  <c r="AB42" i="6"/>
  <c r="X42" i="6"/>
  <c r="T42" i="6"/>
  <c r="P42" i="6"/>
  <c r="L42" i="6"/>
  <c r="H42" i="6"/>
  <c r="AA42" i="6"/>
  <c r="W42" i="6"/>
  <c r="S42" i="6"/>
  <c r="O42" i="6"/>
  <c r="K42" i="6"/>
  <c r="G42" i="6"/>
  <c r="R42" i="6"/>
  <c r="N42" i="6"/>
  <c r="C42" i="6"/>
  <c r="A43" i="6"/>
  <c r="Z42" i="6"/>
  <c r="J42" i="6"/>
  <c r="D42" i="6"/>
  <c r="AJ42" i="6"/>
  <c r="V42" i="6"/>
  <c r="F42" i="6"/>
  <c r="B42" i="6"/>
  <c r="A44" i="9"/>
  <c r="B43" i="9"/>
  <c r="AE67" i="6"/>
  <c r="AD66" i="6"/>
  <c r="AF67" i="2"/>
  <c r="AE66" i="2"/>
  <c r="AE67" i="8"/>
  <c r="AD66" i="8"/>
  <c r="AD15" i="8" s="1"/>
  <c r="AZ41" i="2"/>
  <c r="AV41" i="2"/>
  <c r="C41" i="2"/>
  <c r="AW41" i="2"/>
  <c r="AX41" i="2"/>
  <c r="A42" i="2"/>
  <c r="AS41" i="2"/>
  <c r="AO41" i="2"/>
  <c r="AK41" i="2"/>
  <c r="AT41" i="2"/>
  <c r="AP41" i="2"/>
  <c r="AL41" i="2"/>
  <c r="AU41" i="2"/>
  <c r="AQ41" i="2"/>
  <c r="AM41" i="2"/>
  <c r="AI41" i="2"/>
  <c r="AE41" i="2"/>
  <c r="AJ41" i="2"/>
  <c r="AF41" i="2"/>
  <c r="AR41" i="2"/>
  <c r="AN41" i="2"/>
  <c r="AG41" i="2"/>
  <c r="AY41" i="2"/>
  <c r="AC41" i="2"/>
  <c r="AD41" i="2"/>
  <c r="Y41" i="2"/>
  <c r="U41" i="2"/>
  <c r="Q41" i="2"/>
  <c r="M41" i="2"/>
  <c r="AA41" i="2"/>
  <c r="Z41" i="2"/>
  <c r="V41" i="2"/>
  <c r="R41" i="2"/>
  <c r="N41" i="2"/>
  <c r="J41" i="2"/>
  <c r="F41" i="2"/>
  <c r="AH41" i="2"/>
  <c r="W41" i="2"/>
  <c r="S41" i="2"/>
  <c r="O41" i="2"/>
  <c r="K41" i="2"/>
  <c r="B41" i="2"/>
  <c r="AB41" i="2"/>
  <c r="G41" i="2"/>
  <c r="E41" i="2"/>
  <c r="D41" i="2"/>
  <c r="X41" i="2"/>
  <c r="T41" i="2"/>
  <c r="P41" i="2"/>
  <c r="L41" i="2"/>
  <c r="H41" i="2"/>
  <c r="I41" i="2"/>
  <c r="C41" i="7"/>
  <c r="AY41" i="7"/>
  <c r="AV41" i="7"/>
  <c r="AW41" i="7"/>
  <c r="A42" i="7"/>
  <c r="AX41" i="7"/>
  <c r="AR41" i="7"/>
  <c r="AN41" i="7"/>
  <c r="AS41" i="7"/>
  <c r="AO41" i="7"/>
  <c r="AK41" i="7"/>
  <c r="AT41" i="7"/>
  <c r="AP41" i="7"/>
  <c r="AL41" i="7"/>
  <c r="AU41" i="7"/>
  <c r="AQ41" i="7"/>
  <c r="AM41" i="7"/>
  <c r="AH41" i="7"/>
  <c r="AI41" i="7"/>
  <c r="AE41" i="7"/>
  <c r="AZ41" i="7"/>
  <c r="AD41" i="7"/>
  <c r="AJ41" i="7"/>
  <c r="AF41" i="7"/>
  <c r="AB41" i="7"/>
  <c r="AG41" i="7"/>
  <c r="AC41" i="7"/>
  <c r="X41" i="7"/>
  <c r="T41" i="7"/>
  <c r="P41" i="7"/>
  <c r="L41" i="7"/>
  <c r="AA41" i="7"/>
  <c r="Y41" i="7"/>
  <c r="U41" i="7"/>
  <c r="Q41" i="7"/>
  <c r="M41" i="7"/>
  <c r="I41" i="7"/>
  <c r="E41" i="7"/>
  <c r="Z41" i="7"/>
  <c r="V41" i="7"/>
  <c r="R41" i="7"/>
  <c r="N41" i="7"/>
  <c r="J41" i="7"/>
  <c r="F41" i="7"/>
  <c r="O41" i="7"/>
  <c r="D41" i="7"/>
  <c r="G41" i="7"/>
  <c r="W41" i="7"/>
  <c r="S41" i="7"/>
  <c r="K41" i="7"/>
  <c r="H41" i="7"/>
  <c r="B41" i="7"/>
  <c r="A49" i="1"/>
  <c r="B48" i="1"/>
  <c r="BA48" i="1" s="1"/>
  <c r="AE67" i="7"/>
  <c r="AD66" i="7"/>
  <c r="AD66" i="10"/>
  <c r="AE67" i="10"/>
  <c r="AZ41" i="8"/>
  <c r="A42" i="8"/>
  <c r="B41" i="8"/>
  <c r="AE66" i="7" l="1"/>
  <c r="AF67" i="7"/>
  <c r="AE66" i="8"/>
  <c r="AE15" i="8" s="1"/>
  <c r="AF67" i="8"/>
  <c r="AF67" i="6"/>
  <c r="AE66" i="6"/>
  <c r="AG67" i="9"/>
  <c r="AF66" i="9"/>
  <c r="AZ42" i="8"/>
  <c r="A43" i="8"/>
  <c r="B42" i="8"/>
  <c r="AE66" i="10"/>
  <c r="AF67" i="10"/>
  <c r="C42" i="2"/>
  <c r="A43" i="2"/>
  <c r="AX42" i="2"/>
  <c r="AZ42" i="2"/>
  <c r="AY42" i="2"/>
  <c r="AV42" i="2"/>
  <c r="AQ42" i="2"/>
  <c r="AM42" i="2"/>
  <c r="AW42" i="2"/>
  <c r="AU42" i="2"/>
  <c r="AR42" i="2"/>
  <c r="AN42" i="2"/>
  <c r="AS42" i="2"/>
  <c r="AO42" i="2"/>
  <c r="AK42" i="2"/>
  <c r="AG42" i="2"/>
  <c r="AT42" i="2"/>
  <c r="AP42" i="2"/>
  <c r="AL42" i="2"/>
  <c r="AH42" i="2"/>
  <c r="AC42" i="2"/>
  <c r="AA42" i="2"/>
  <c r="AJ42" i="2"/>
  <c r="AF42" i="2"/>
  <c r="AB42" i="2"/>
  <c r="W42" i="2"/>
  <c r="S42" i="2"/>
  <c r="O42" i="2"/>
  <c r="K42" i="2"/>
  <c r="AD42" i="2"/>
  <c r="X42" i="2"/>
  <c r="T42" i="2"/>
  <c r="P42" i="2"/>
  <c r="L42" i="2"/>
  <c r="H42" i="2"/>
  <c r="AE42" i="2"/>
  <c r="Y42" i="2"/>
  <c r="U42" i="2"/>
  <c r="Q42" i="2"/>
  <c r="M42" i="2"/>
  <c r="Z42" i="2"/>
  <c r="V42" i="2"/>
  <c r="R42" i="2"/>
  <c r="N42" i="2"/>
  <c r="G42" i="2"/>
  <c r="D42" i="2"/>
  <c r="AI42" i="2"/>
  <c r="F42" i="2"/>
  <c r="J42" i="2"/>
  <c r="I42" i="2"/>
  <c r="E42" i="2"/>
  <c r="B42" i="2"/>
  <c r="A50" i="1"/>
  <c r="B49" i="1"/>
  <c r="BA49" i="1" s="1"/>
  <c r="A43" i="7"/>
  <c r="AZ42" i="7"/>
  <c r="AW42" i="7"/>
  <c r="AX42" i="7"/>
  <c r="AY42" i="7"/>
  <c r="AT42" i="7"/>
  <c r="AP42" i="7"/>
  <c r="AL42" i="7"/>
  <c r="C42" i="7"/>
  <c r="AV42" i="7"/>
  <c r="AU42" i="7"/>
  <c r="AQ42" i="7"/>
  <c r="AM42" i="7"/>
  <c r="AR42" i="7"/>
  <c r="AN42" i="7"/>
  <c r="AJ42" i="7"/>
  <c r="AF42" i="7"/>
  <c r="AS42" i="7"/>
  <c r="AO42" i="7"/>
  <c r="AK42" i="7"/>
  <c r="AG42" i="7"/>
  <c r="AI42" i="7"/>
  <c r="AE42" i="7"/>
  <c r="AB42" i="7"/>
  <c r="AH42" i="7"/>
  <c r="AD42" i="7"/>
  <c r="Z42" i="7"/>
  <c r="V42" i="7"/>
  <c r="R42" i="7"/>
  <c r="N42" i="7"/>
  <c r="AC42" i="7"/>
  <c r="W42" i="7"/>
  <c r="S42" i="7"/>
  <c r="O42" i="7"/>
  <c r="K42" i="7"/>
  <c r="G42" i="7"/>
  <c r="X42" i="7"/>
  <c r="T42" i="7"/>
  <c r="P42" i="7"/>
  <c r="L42" i="7"/>
  <c r="Y42" i="7"/>
  <c r="U42" i="7"/>
  <c r="Q42" i="7"/>
  <c r="M42" i="7"/>
  <c r="J42" i="7"/>
  <c r="H42" i="7"/>
  <c r="D42" i="7"/>
  <c r="AA42" i="7"/>
  <c r="I42" i="7"/>
  <c r="E42" i="7"/>
  <c r="B42" i="7"/>
  <c r="F42" i="7"/>
  <c r="AF66" i="2"/>
  <c r="AG67" i="2"/>
  <c r="B44" i="9"/>
  <c r="A45" i="9"/>
  <c r="AW43" i="6"/>
  <c r="AV43" i="6"/>
  <c r="AU43" i="6"/>
  <c r="AQ43" i="6"/>
  <c r="AM43" i="6"/>
  <c r="AZ43" i="6"/>
  <c r="AY43" i="6"/>
  <c r="AT43" i="6"/>
  <c r="AR43" i="6"/>
  <c r="AO43" i="6"/>
  <c r="AN43" i="6"/>
  <c r="AX43" i="6"/>
  <c r="AP43" i="6"/>
  <c r="AH43" i="6"/>
  <c r="AD43" i="6"/>
  <c r="AK43" i="6"/>
  <c r="AG43" i="6"/>
  <c r="AC43" i="6"/>
  <c r="AS43" i="6"/>
  <c r="AJ43" i="6"/>
  <c r="AF43" i="6"/>
  <c r="AB43" i="6"/>
  <c r="AE43" i="6"/>
  <c r="X43" i="6"/>
  <c r="T43" i="6"/>
  <c r="P43" i="6"/>
  <c r="L43" i="6"/>
  <c r="H43" i="6"/>
  <c r="D43" i="6"/>
  <c r="AL43" i="6"/>
  <c r="AA43" i="6"/>
  <c r="W43" i="6"/>
  <c r="S43" i="6"/>
  <c r="O43" i="6"/>
  <c r="K43" i="6"/>
  <c r="G43" i="6"/>
  <c r="Z43" i="6"/>
  <c r="V43" i="6"/>
  <c r="R43" i="6"/>
  <c r="N43" i="6"/>
  <c r="J43" i="6"/>
  <c r="F43" i="6"/>
  <c r="Q43" i="6"/>
  <c r="C43" i="6"/>
  <c r="M43" i="6"/>
  <c r="AI43" i="6"/>
  <c r="Y43" i="6"/>
  <c r="I43" i="6"/>
  <c r="A44" i="6"/>
  <c r="U43" i="6"/>
  <c r="E43" i="6"/>
  <c r="B43" i="6"/>
  <c r="B43" i="10"/>
  <c r="A44" i="10"/>
  <c r="B44" i="10" l="1"/>
  <c r="A45" i="10"/>
  <c r="A46" i="9"/>
  <c r="B45" i="9"/>
  <c r="AV43" i="2"/>
  <c r="A44" i="2"/>
  <c r="AW43" i="2"/>
  <c r="AZ43" i="2"/>
  <c r="AX43" i="2"/>
  <c r="AU43" i="2"/>
  <c r="AS43" i="2"/>
  <c r="AO43" i="2"/>
  <c r="AK43" i="2"/>
  <c r="C43" i="2"/>
  <c r="AT43" i="2"/>
  <c r="AP43" i="2"/>
  <c r="AL43" i="2"/>
  <c r="AY43" i="2"/>
  <c r="AQ43" i="2"/>
  <c r="AM43" i="2"/>
  <c r="AI43" i="2"/>
  <c r="AE43" i="2"/>
  <c r="AJ43" i="2"/>
  <c r="AF43" i="2"/>
  <c r="AG43" i="2"/>
  <c r="AC43" i="2"/>
  <c r="AH43" i="2"/>
  <c r="AD43" i="2"/>
  <c r="Y43" i="2"/>
  <c r="U43" i="2"/>
  <c r="Q43" i="2"/>
  <c r="M43" i="2"/>
  <c r="AN43" i="2"/>
  <c r="Z43" i="2"/>
  <c r="V43" i="2"/>
  <c r="R43" i="2"/>
  <c r="N43" i="2"/>
  <c r="J43" i="2"/>
  <c r="F43" i="2"/>
  <c r="D43" i="2"/>
  <c r="AR43" i="2"/>
  <c r="AB43" i="2"/>
  <c r="AA43" i="2"/>
  <c r="W43" i="2"/>
  <c r="S43" i="2"/>
  <c r="O43" i="2"/>
  <c r="K43" i="2"/>
  <c r="I43" i="2"/>
  <c r="E43" i="2"/>
  <c r="B43" i="2"/>
  <c r="H43" i="2"/>
  <c r="X43" i="2"/>
  <c r="T43" i="2"/>
  <c r="P43" i="2"/>
  <c r="L43" i="2"/>
  <c r="G43" i="2"/>
  <c r="AH67" i="9"/>
  <c r="AG66" i="9"/>
  <c r="A51" i="1"/>
  <c r="B50" i="1"/>
  <c r="BA50" i="1" s="1"/>
  <c r="AZ43" i="8"/>
  <c r="A44" i="8"/>
  <c r="B43" i="8"/>
  <c r="AF66" i="7"/>
  <c r="AG67" i="7"/>
  <c r="AG66" i="2"/>
  <c r="AH67" i="2"/>
  <c r="AF66" i="10"/>
  <c r="AG67" i="10"/>
  <c r="AF66" i="6"/>
  <c r="AG67" i="6"/>
  <c r="AV44" i="6"/>
  <c r="AZ44" i="6"/>
  <c r="AY44" i="6"/>
  <c r="AT44" i="6"/>
  <c r="AP44" i="6"/>
  <c r="AL44" i="6"/>
  <c r="AX44" i="6"/>
  <c r="AS44" i="6"/>
  <c r="AN44" i="6"/>
  <c r="AK44" i="6"/>
  <c r="AG44" i="6"/>
  <c r="AC44" i="6"/>
  <c r="AU44" i="6"/>
  <c r="AQ44" i="6"/>
  <c r="AJ44" i="6"/>
  <c r="AF44" i="6"/>
  <c r="AB44" i="6"/>
  <c r="AW44" i="6"/>
  <c r="AR44" i="6"/>
  <c r="AO44" i="6"/>
  <c r="AI44" i="6"/>
  <c r="AE44" i="6"/>
  <c r="AD44" i="6"/>
  <c r="AA44" i="6"/>
  <c r="W44" i="6"/>
  <c r="S44" i="6"/>
  <c r="O44" i="6"/>
  <c r="K44" i="6"/>
  <c r="G44" i="6"/>
  <c r="AM44" i="6"/>
  <c r="Z44" i="6"/>
  <c r="V44" i="6"/>
  <c r="R44" i="6"/>
  <c r="N44" i="6"/>
  <c r="J44" i="6"/>
  <c r="F44" i="6"/>
  <c r="Y44" i="6"/>
  <c r="U44" i="6"/>
  <c r="Q44" i="6"/>
  <c r="M44" i="6"/>
  <c r="I44" i="6"/>
  <c r="E44" i="6"/>
  <c r="P44" i="6"/>
  <c r="AH44" i="6"/>
  <c r="L44" i="6"/>
  <c r="D44" i="6"/>
  <c r="X44" i="6"/>
  <c r="H44" i="6"/>
  <c r="T44" i="6"/>
  <c r="A45" i="6"/>
  <c r="C44" i="6"/>
  <c r="B44" i="6"/>
  <c r="AY43" i="7"/>
  <c r="A44" i="7"/>
  <c r="AZ43" i="7"/>
  <c r="AV43" i="7"/>
  <c r="C43" i="7"/>
  <c r="AW43" i="7"/>
  <c r="AR43" i="7"/>
  <c r="AN43" i="7"/>
  <c r="AS43" i="7"/>
  <c r="AO43" i="7"/>
  <c r="AK43" i="7"/>
  <c r="AT43" i="7"/>
  <c r="AP43" i="7"/>
  <c r="AL43" i="7"/>
  <c r="AH43" i="7"/>
  <c r="AI43" i="7"/>
  <c r="AE43" i="7"/>
  <c r="AX43" i="7"/>
  <c r="AU43" i="7"/>
  <c r="AQ43" i="7"/>
  <c r="AM43" i="7"/>
  <c r="AJ43" i="7"/>
  <c r="AF43" i="7"/>
  <c r="AD43" i="7"/>
  <c r="AB43" i="7"/>
  <c r="AC43" i="7"/>
  <c r="X43" i="7"/>
  <c r="T43" i="7"/>
  <c r="P43" i="7"/>
  <c r="L43" i="7"/>
  <c r="AG43" i="7"/>
  <c r="Y43" i="7"/>
  <c r="U43" i="7"/>
  <c r="Q43" i="7"/>
  <c r="M43" i="7"/>
  <c r="I43" i="7"/>
  <c r="E43" i="7"/>
  <c r="D43" i="7"/>
  <c r="AA43" i="7"/>
  <c r="Z43" i="7"/>
  <c r="V43" i="7"/>
  <c r="R43" i="7"/>
  <c r="N43" i="7"/>
  <c r="J43" i="7"/>
  <c r="F43" i="7"/>
  <c r="B43" i="7"/>
  <c r="W43" i="7"/>
  <c r="S43" i="7"/>
  <c r="O43" i="7"/>
  <c r="K43" i="7"/>
  <c r="G43" i="7"/>
  <c r="H43" i="7"/>
  <c r="AG67" i="8"/>
  <c r="AF66" i="8"/>
  <c r="AF15" i="8" s="1"/>
  <c r="AH67" i="6" l="1"/>
  <c r="AG66" i="6"/>
  <c r="AI67" i="2"/>
  <c r="AH66" i="2"/>
  <c r="A52" i="1"/>
  <c r="B51" i="1"/>
  <c r="BA51" i="1" s="1"/>
  <c r="B46" i="9"/>
  <c r="A47" i="9"/>
  <c r="AW44" i="7"/>
  <c r="C44" i="7"/>
  <c r="AX44" i="7"/>
  <c r="A45" i="7"/>
  <c r="AZ44" i="7"/>
  <c r="AY44" i="7"/>
  <c r="AU44" i="7"/>
  <c r="AV44" i="7"/>
  <c r="AT44" i="7"/>
  <c r="AP44" i="7"/>
  <c r="AL44" i="7"/>
  <c r="AQ44" i="7"/>
  <c r="AM44" i="7"/>
  <c r="AR44" i="7"/>
  <c r="AN44" i="7"/>
  <c r="AS44" i="7"/>
  <c r="AO44" i="7"/>
  <c r="AK44" i="7"/>
  <c r="AJ44" i="7"/>
  <c r="AF44" i="7"/>
  <c r="AG44" i="7"/>
  <c r="AH44" i="7"/>
  <c r="AB44" i="7"/>
  <c r="AI44" i="7"/>
  <c r="AE44" i="7"/>
  <c r="AD44" i="7"/>
  <c r="AC44" i="7"/>
  <c r="AA44" i="7"/>
  <c r="Z44" i="7"/>
  <c r="V44" i="7"/>
  <c r="R44" i="7"/>
  <c r="N44" i="7"/>
  <c r="W44" i="7"/>
  <c r="S44" i="7"/>
  <c r="O44" i="7"/>
  <c r="K44" i="7"/>
  <c r="G44" i="7"/>
  <c r="X44" i="7"/>
  <c r="T44" i="7"/>
  <c r="P44" i="7"/>
  <c r="L44" i="7"/>
  <c r="F44" i="7"/>
  <c r="B44" i="7"/>
  <c r="H44" i="7"/>
  <c r="D44" i="7"/>
  <c r="Y44" i="7"/>
  <c r="U44" i="7"/>
  <c r="Q44" i="7"/>
  <c r="M44" i="7"/>
  <c r="J44" i="7"/>
  <c r="I44" i="7"/>
  <c r="E44" i="7"/>
  <c r="AZ45" i="6"/>
  <c r="AY45" i="6"/>
  <c r="AX45" i="6"/>
  <c r="AS45" i="6"/>
  <c r="AO45" i="6"/>
  <c r="AW45" i="6"/>
  <c r="AR45" i="6"/>
  <c r="AM45" i="6"/>
  <c r="AU45" i="6"/>
  <c r="AQ45" i="6"/>
  <c r="AV45" i="6"/>
  <c r="AN45" i="6"/>
  <c r="AJ45" i="6"/>
  <c r="AF45" i="6"/>
  <c r="AB45" i="6"/>
  <c r="AT45" i="6"/>
  <c r="AI45" i="6"/>
  <c r="AE45" i="6"/>
  <c r="AL45" i="6"/>
  <c r="AH45" i="6"/>
  <c r="AD45" i="6"/>
  <c r="AC45" i="6"/>
  <c r="Z45" i="6"/>
  <c r="V45" i="6"/>
  <c r="R45" i="6"/>
  <c r="N45" i="6"/>
  <c r="J45" i="6"/>
  <c r="F45" i="6"/>
  <c r="Y45" i="6"/>
  <c r="U45" i="6"/>
  <c r="Q45" i="6"/>
  <c r="M45" i="6"/>
  <c r="I45" i="6"/>
  <c r="E45" i="6"/>
  <c r="AP45" i="6"/>
  <c r="AK45" i="6"/>
  <c r="X45" i="6"/>
  <c r="T45" i="6"/>
  <c r="P45" i="6"/>
  <c r="L45" i="6"/>
  <c r="H45" i="6"/>
  <c r="D45" i="6"/>
  <c r="AG45" i="6"/>
  <c r="O45" i="6"/>
  <c r="A46" i="6"/>
  <c r="AA45" i="6"/>
  <c r="K45" i="6"/>
  <c r="W45" i="6"/>
  <c r="G45" i="6"/>
  <c r="C45" i="6"/>
  <c r="S45" i="6"/>
  <c r="B45" i="6"/>
  <c r="AZ44" i="8"/>
  <c r="A45" i="8"/>
  <c r="B44" i="8"/>
  <c r="AX44" i="2"/>
  <c r="AY44" i="2"/>
  <c r="C44" i="2"/>
  <c r="A45" i="2"/>
  <c r="AV44" i="2"/>
  <c r="AW44" i="2"/>
  <c r="AQ44" i="2"/>
  <c r="AM44" i="2"/>
  <c r="AR44" i="2"/>
  <c r="AN44" i="2"/>
  <c r="AS44" i="2"/>
  <c r="AO44" i="2"/>
  <c r="AK44" i="2"/>
  <c r="AT44" i="2"/>
  <c r="AP44" i="2"/>
  <c r="AL44" i="2"/>
  <c r="AG44" i="2"/>
  <c r="AZ44" i="2"/>
  <c r="AH44" i="2"/>
  <c r="AC44" i="2"/>
  <c r="AU44" i="2"/>
  <c r="AA44" i="2"/>
  <c r="AI44" i="2"/>
  <c r="AE44" i="2"/>
  <c r="AB44" i="2"/>
  <c r="AJ44" i="2"/>
  <c r="AD44" i="2"/>
  <c r="W44" i="2"/>
  <c r="S44" i="2"/>
  <c r="O44" i="2"/>
  <c r="K44" i="2"/>
  <c r="X44" i="2"/>
  <c r="T44" i="2"/>
  <c r="P44" i="2"/>
  <c r="L44" i="2"/>
  <c r="H44" i="2"/>
  <c r="Y44" i="2"/>
  <c r="U44" i="2"/>
  <c r="Q44" i="2"/>
  <c r="M44" i="2"/>
  <c r="F44" i="2"/>
  <c r="Z44" i="2"/>
  <c r="V44" i="2"/>
  <c r="R44" i="2"/>
  <c r="N44" i="2"/>
  <c r="AF44" i="2"/>
  <c r="G44" i="2"/>
  <c r="D44" i="2"/>
  <c r="J44" i="2"/>
  <c r="I44" i="2"/>
  <c r="E44" i="2"/>
  <c r="B44" i="2"/>
  <c r="A46" i="10"/>
  <c r="B45" i="10"/>
  <c r="AG66" i="8"/>
  <c r="AG15" i="8" s="1"/>
  <c r="AH67" i="8"/>
  <c r="AH67" i="10"/>
  <c r="AG66" i="10"/>
  <c r="AH67" i="7"/>
  <c r="AG66" i="7"/>
  <c r="AH66" i="9"/>
  <c r="AI67" i="9"/>
  <c r="AI67" i="10" l="1"/>
  <c r="AH66" i="10"/>
  <c r="B46" i="10"/>
  <c r="A47" i="10"/>
  <c r="C45" i="7"/>
  <c r="AY45" i="7"/>
  <c r="AU45" i="7"/>
  <c r="AV45" i="7"/>
  <c r="AW45" i="7"/>
  <c r="AZ45" i="7"/>
  <c r="AR45" i="7"/>
  <c r="AN45" i="7"/>
  <c r="A46" i="7"/>
  <c r="AS45" i="7"/>
  <c r="AO45" i="7"/>
  <c r="AK45" i="7"/>
  <c r="AX45" i="7"/>
  <c r="AT45" i="7"/>
  <c r="AP45" i="7"/>
  <c r="AL45" i="7"/>
  <c r="AH45" i="7"/>
  <c r="AI45" i="7"/>
  <c r="AE45" i="7"/>
  <c r="AD45" i="7"/>
  <c r="AQ45" i="7"/>
  <c r="AM45" i="7"/>
  <c r="AJ45" i="7"/>
  <c r="AF45" i="7"/>
  <c r="AB45" i="7"/>
  <c r="AG45" i="7"/>
  <c r="AC45" i="7"/>
  <c r="X45" i="7"/>
  <c r="T45" i="7"/>
  <c r="P45" i="7"/>
  <c r="L45" i="7"/>
  <c r="Y45" i="7"/>
  <c r="U45" i="7"/>
  <c r="Q45" i="7"/>
  <c r="M45" i="7"/>
  <c r="I45" i="7"/>
  <c r="E45" i="7"/>
  <c r="Z45" i="7"/>
  <c r="V45" i="7"/>
  <c r="R45" i="7"/>
  <c r="N45" i="7"/>
  <c r="J45" i="7"/>
  <c r="AA45" i="7"/>
  <c r="H45" i="7"/>
  <c r="W45" i="7"/>
  <c r="S45" i="7"/>
  <c r="O45" i="7"/>
  <c r="K45" i="7"/>
  <c r="G45" i="7"/>
  <c r="F45" i="7"/>
  <c r="D45" i="7"/>
  <c r="B45" i="7"/>
  <c r="A48" i="9"/>
  <c r="B47" i="9"/>
  <c r="AI66" i="9"/>
  <c r="AJ67" i="9"/>
  <c r="AI67" i="7"/>
  <c r="AH66" i="7"/>
  <c r="AI67" i="8"/>
  <c r="AH66" i="8"/>
  <c r="AH15" i="8" s="1"/>
  <c r="AZ45" i="2"/>
  <c r="AV45" i="2"/>
  <c r="C45" i="2"/>
  <c r="AW45" i="2"/>
  <c r="AX45" i="2"/>
  <c r="AS45" i="2"/>
  <c r="AO45" i="2"/>
  <c r="AK45" i="2"/>
  <c r="A46" i="2"/>
  <c r="AY45" i="2"/>
  <c r="AT45" i="2"/>
  <c r="AP45" i="2"/>
  <c r="AL45" i="2"/>
  <c r="AU45" i="2"/>
  <c r="AQ45" i="2"/>
  <c r="AM45" i="2"/>
  <c r="AI45" i="2"/>
  <c r="AE45" i="2"/>
  <c r="AR45" i="2"/>
  <c r="AN45" i="2"/>
  <c r="AJ45" i="2"/>
  <c r="AF45" i="2"/>
  <c r="AG45" i="2"/>
  <c r="AC45" i="2"/>
  <c r="AD45" i="2"/>
  <c r="Y45" i="2"/>
  <c r="U45" i="2"/>
  <c r="Q45" i="2"/>
  <c r="M45" i="2"/>
  <c r="AH45" i="2"/>
  <c r="AB45" i="2"/>
  <c r="Z45" i="2"/>
  <c r="V45" i="2"/>
  <c r="R45" i="2"/>
  <c r="N45" i="2"/>
  <c r="J45" i="2"/>
  <c r="F45" i="2"/>
  <c r="W45" i="2"/>
  <c r="S45" i="2"/>
  <c r="O45" i="2"/>
  <c r="K45" i="2"/>
  <c r="X45" i="2"/>
  <c r="T45" i="2"/>
  <c r="P45" i="2"/>
  <c r="L45" i="2"/>
  <c r="H45" i="2"/>
  <c r="AA45" i="2"/>
  <c r="I45" i="2"/>
  <c r="E45" i="2"/>
  <c r="D45" i="2"/>
  <c r="B45" i="2"/>
  <c r="G45" i="2"/>
  <c r="AJ67" i="2"/>
  <c r="AI66" i="2"/>
  <c r="AZ45" i="8"/>
  <c r="A46" i="8"/>
  <c r="B45" i="8"/>
  <c r="AZ46" i="6"/>
  <c r="AX46" i="6"/>
  <c r="AW46" i="6"/>
  <c r="AY46" i="6"/>
  <c r="AR46" i="6"/>
  <c r="AN46" i="6"/>
  <c r="AV46" i="6"/>
  <c r="AU46" i="6"/>
  <c r="AQ46" i="6"/>
  <c r="AT46" i="6"/>
  <c r="AP46" i="6"/>
  <c r="AI46" i="6"/>
  <c r="AE46" i="6"/>
  <c r="AS46" i="6"/>
  <c r="AO46" i="6"/>
  <c r="AL46" i="6"/>
  <c r="AH46" i="6"/>
  <c r="AD46" i="6"/>
  <c r="AM46" i="6"/>
  <c r="AK46" i="6"/>
  <c r="AG46" i="6"/>
  <c r="AC46" i="6"/>
  <c r="AB46" i="6"/>
  <c r="Y46" i="6"/>
  <c r="U46" i="6"/>
  <c r="Q46" i="6"/>
  <c r="M46" i="6"/>
  <c r="I46" i="6"/>
  <c r="E46" i="6"/>
  <c r="X46" i="6"/>
  <c r="T46" i="6"/>
  <c r="P46" i="6"/>
  <c r="L46" i="6"/>
  <c r="H46" i="6"/>
  <c r="AJ46" i="6"/>
  <c r="AA46" i="6"/>
  <c r="W46" i="6"/>
  <c r="S46" i="6"/>
  <c r="O46" i="6"/>
  <c r="K46" i="6"/>
  <c r="G46" i="6"/>
  <c r="N46" i="6"/>
  <c r="D46" i="6"/>
  <c r="Z46" i="6"/>
  <c r="J46" i="6"/>
  <c r="C46" i="6"/>
  <c r="A47" i="6"/>
  <c r="V46" i="6"/>
  <c r="F46" i="6"/>
  <c r="AF46" i="6"/>
  <c r="R46" i="6"/>
  <c r="B46" i="6"/>
  <c r="A53" i="1"/>
  <c r="B52" i="1"/>
  <c r="BA52" i="1" s="1"/>
  <c r="AI67" i="6"/>
  <c r="AH66" i="6"/>
  <c r="AZ46" i="8" l="1"/>
  <c r="A47" i="8"/>
  <c r="B46" i="8"/>
  <c r="AJ66" i="9"/>
  <c r="AK67" i="9"/>
  <c r="A48" i="10"/>
  <c r="B47" i="10"/>
  <c r="AI66" i="8"/>
  <c r="AI15" i="8" s="1"/>
  <c r="AJ67" i="8"/>
  <c r="A54" i="1"/>
  <c r="B53" i="1"/>
  <c r="BA53" i="1" s="1"/>
  <c r="AJ67" i="6"/>
  <c r="AI66" i="6"/>
  <c r="AZ47" i="6"/>
  <c r="AW47" i="6"/>
  <c r="AV47" i="6"/>
  <c r="AX47" i="6"/>
  <c r="AU47" i="6"/>
  <c r="AQ47" i="6"/>
  <c r="AM47" i="6"/>
  <c r="AT47" i="6"/>
  <c r="AP47" i="6"/>
  <c r="AS47" i="6"/>
  <c r="AO47" i="6"/>
  <c r="AY47" i="6"/>
  <c r="AL47" i="6"/>
  <c r="AH47" i="6"/>
  <c r="AD47" i="6"/>
  <c r="AR47" i="6"/>
  <c r="AK47" i="6"/>
  <c r="AG47" i="6"/>
  <c r="AC47" i="6"/>
  <c r="AJ47" i="6"/>
  <c r="AF47" i="6"/>
  <c r="AB47" i="6"/>
  <c r="X47" i="6"/>
  <c r="T47" i="6"/>
  <c r="P47" i="6"/>
  <c r="L47" i="6"/>
  <c r="H47" i="6"/>
  <c r="D47" i="6"/>
  <c r="AA47" i="6"/>
  <c r="W47" i="6"/>
  <c r="S47" i="6"/>
  <c r="O47" i="6"/>
  <c r="K47" i="6"/>
  <c r="G47" i="6"/>
  <c r="AI47" i="6"/>
  <c r="Z47" i="6"/>
  <c r="V47" i="6"/>
  <c r="R47" i="6"/>
  <c r="N47" i="6"/>
  <c r="J47" i="6"/>
  <c r="F47" i="6"/>
  <c r="M47" i="6"/>
  <c r="C47" i="6"/>
  <c r="Y47" i="6"/>
  <c r="I47" i="6"/>
  <c r="AN47" i="6"/>
  <c r="AE47" i="6"/>
  <c r="U47" i="6"/>
  <c r="E47" i="6"/>
  <c r="A48" i="6"/>
  <c r="Q47" i="6"/>
  <c r="B47" i="6"/>
  <c r="AJ66" i="2"/>
  <c r="AK67" i="2"/>
  <c r="C46" i="2"/>
  <c r="A47" i="2"/>
  <c r="AX46" i="2"/>
  <c r="AZ46" i="2"/>
  <c r="AY46" i="2"/>
  <c r="AV46" i="2"/>
  <c r="AQ46" i="2"/>
  <c r="AM46" i="2"/>
  <c r="AU46" i="2"/>
  <c r="AR46" i="2"/>
  <c r="AN46" i="2"/>
  <c r="AS46" i="2"/>
  <c r="AO46" i="2"/>
  <c r="AK46" i="2"/>
  <c r="AW46" i="2"/>
  <c r="AG46" i="2"/>
  <c r="AH46" i="2"/>
  <c r="AT46" i="2"/>
  <c r="AP46" i="2"/>
  <c r="AL46" i="2"/>
  <c r="AC46" i="2"/>
  <c r="AA46" i="2"/>
  <c r="AJ46" i="2"/>
  <c r="AF46" i="2"/>
  <c r="AB46" i="2"/>
  <c r="W46" i="2"/>
  <c r="S46" i="2"/>
  <c r="O46" i="2"/>
  <c r="K46" i="2"/>
  <c r="AE46" i="2"/>
  <c r="X46" i="2"/>
  <c r="T46" i="2"/>
  <c r="P46" i="2"/>
  <c r="L46" i="2"/>
  <c r="H46" i="2"/>
  <c r="AI46" i="2"/>
  <c r="Y46" i="2"/>
  <c r="U46" i="2"/>
  <c r="Q46" i="2"/>
  <c r="M46" i="2"/>
  <c r="AD46" i="2"/>
  <c r="I46" i="2"/>
  <c r="D46" i="2"/>
  <c r="F46" i="2"/>
  <c r="B46" i="2"/>
  <c r="E46" i="2"/>
  <c r="Z46" i="2"/>
  <c r="V46" i="2"/>
  <c r="R46" i="2"/>
  <c r="N46" i="2"/>
  <c r="J46" i="2"/>
  <c r="G46" i="2"/>
  <c r="AJ67" i="7"/>
  <c r="AI66" i="7"/>
  <c r="B48" i="9"/>
  <c r="A49" i="9"/>
  <c r="A47" i="7"/>
  <c r="AZ46" i="7"/>
  <c r="AW46" i="7"/>
  <c r="AX46" i="7"/>
  <c r="AY46" i="7"/>
  <c r="AU46" i="7"/>
  <c r="C46" i="7"/>
  <c r="AT46" i="7"/>
  <c r="AP46" i="7"/>
  <c r="AL46" i="7"/>
  <c r="AQ46" i="7"/>
  <c r="AM46" i="7"/>
  <c r="AR46" i="7"/>
  <c r="AN46" i="7"/>
  <c r="AJ46" i="7"/>
  <c r="AF46" i="7"/>
  <c r="AV46" i="7"/>
  <c r="AG46" i="7"/>
  <c r="AS46" i="7"/>
  <c r="AO46" i="7"/>
  <c r="AK46" i="7"/>
  <c r="AI46" i="7"/>
  <c r="AE46" i="7"/>
  <c r="AB46" i="7"/>
  <c r="AH46" i="7"/>
  <c r="AD46" i="7"/>
  <c r="Z46" i="7"/>
  <c r="V46" i="7"/>
  <c r="R46" i="7"/>
  <c r="N46" i="7"/>
  <c r="AA46" i="7"/>
  <c r="W46" i="7"/>
  <c r="S46" i="7"/>
  <c r="O46" i="7"/>
  <c r="K46" i="7"/>
  <c r="G46" i="7"/>
  <c r="X46" i="7"/>
  <c r="T46" i="7"/>
  <c r="P46" i="7"/>
  <c r="L46" i="7"/>
  <c r="AC46" i="7"/>
  <c r="J46" i="7"/>
  <c r="B46" i="7"/>
  <c r="E46" i="7"/>
  <c r="F46" i="7"/>
  <c r="I46" i="7"/>
  <c r="D46" i="7"/>
  <c r="Y46" i="7"/>
  <c r="U46" i="7"/>
  <c r="Q46" i="7"/>
  <c r="M46" i="7"/>
  <c r="H46" i="7"/>
  <c r="AI66" i="10"/>
  <c r="AJ67" i="10"/>
  <c r="A50" i="9" l="1"/>
  <c r="B49" i="9"/>
  <c r="AL67" i="2"/>
  <c r="AK66" i="2"/>
  <c r="AV48" i="6"/>
  <c r="AY48" i="6"/>
  <c r="AZ48" i="6"/>
  <c r="AW48" i="6"/>
  <c r="AT48" i="6"/>
  <c r="AP48" i="6"/>
  <c r="AL48" i="6"/>
  <c r="AS48" i="6"/>
  <c r="AU48" i="6"/>
  <c r="AO48" i="6"/>
  <c r="AR48" i="6"/>
  <c r="AN48" i="6"/>
  <c r="AX48" i="6"/>
  <c r="AQ48" i="6"/>
  <c r="AK48" i="6"/>
  <c r="AG48" i="6"/>
  <c r="AC48" i="6"/>
  <c r="AM48" i="6"/>
  <c r="AJ48" i="6"/>
  <c r="AF48" i="6"/>
  <c r="AB48" i="6"/>
  <c r="AI48" i="6"/>
  <c r="AE48" i="6"/>
  <c r="AA48" i="6"/>
  <c r="W48" i="6"/>
  <c r="S48" i="6"/>
  <c r="O48" i="6"/>
  <c r="K48" i="6"/>
  <c r="G48" i="6"/>
  <c r="Z48" i="6"/>
  <c r="V48" i="6"/>
  <c r="R48" i="6"/>
  <c r="N48" i="6"/>
  <c r="J48" i="6"/>
  <c r="F48" i="6"/>
  <c r="AH48" i="6"/>
  <c r="Y48" i="6"/>
  <c r="U48" i="6"/>
  <c r="Q48" i="6"/>
  <c r="M48" i="6"/>
  <c r="I48" i="6"/>
  <c r="E48" i="6"/>
  <c r="L48" i="6"/>
  <c r="AD48" i="6"/>
  <c r="X48" i="6"/>
  <c r="H48" i="6"/>
  <c r="T48" i="6"/>
  <c r="P48" i="6"/>
  <c r="A49" i="6"/>
  <c r="D48" i="6"/>
  <c r="C48" i="6"/>
  <c r="B48" i="6"/>
  <c r="A55" i="1"/>
  <c r="B54" i="1"/>
  <c r="BA54" i="1" s="1"/>
  <c r="AK67" i="10"/>
  <c r="AJ66" i="10"/>
  <c r="AV47" i="2"/>
  <c r="A48" i="2"/>
  <c r="AW47" i="2"/>
  <c r="AZ47" i="2"/>
  <c r="AX47" i="2"/>
  <c r="C47" i="2"/>
  <c r="AY47" i="2"/>
  <c r="AU47" i="2"/>
  <c r="AS47" i="2"/>
  <c r="AO47" i="2"/>
  <c r="AK47" i="2"/>
  <c r="AT47" i="2"/>
  <c r="AP47" i="2"/>
  <c r="AL47" i="2"/>
  <c r="AQ47" i="2"/>
  <c r="AM47" i="2"/>
  <c r="AR47" i="2"/>
  <c r="AN47" i="2"/>
  <c r="AI47" i="2"/>
  <c r="AE47" i="2"/>
  <c r="AJ47" i="2"/>
  <c r="AF47" i="2"/>
  <c r="AG47" i="2"/>
  <c r="AC47" i="2"/>
  <c r="AH47" i="2"/>
  <c r="AD47" i="2"/>
  <c r="AB47" i="2"/>
  <c r="AA47" i="2"/>
  <c r="Y47" i="2"/>
  <c r="U47" i="2"/>
  <c r="Q47" i="2"/>
  <c r="M47" i="2"/>
  <c r="Z47" i="2"/>
  <c r="V47" i="2"/>
  <c r="R47" i="2"/>
  <c r="N47" i="2"/>
  <c r="J47" i="2"/>
  <c r="F47" i="2"/>
  <c r="D47" i="2"/>
  <c r="W47" i="2"/>
  <c r="S47" i="2"/>
  <c r="O47" i="2"/>
  <c r="K47" i="2"/>
  <c r="G47" i="2"/>
  <c r="B47" i="2"/>
  <c r="P47" i="2"/>
  <c r="H47" i="2"/>
  <c r="X47" i="2"/>
  <c r="T47" i="2"/>
  <c r="I47" i="2"/>
  <c r="E47" i="2"/>
  <c r="L47" i="2"/>
  <c r="AK67" i="8"/>
  <c r="AJ66" i="8"/>
  <c r="AJ15" i="8" s="1"/>
  <c r="B48" i="10"/>
  <c r="A49" i="10"/>
  <c r="AZ47" i="8"/>
  <c r="A48" i="8"/>
  <c r="B47" i="8"/>
  <c r="AY47" i="7"/>
  <c r="AU47" i="7"/>
  <c r="A48" i="7"/>
  <c r="AZ47" i="7"/>
  <c r="AV47" i="7"/>
  <c r="C47" i="7"/>
  <c r="AW47" i="7"/>
  <c r="AR47" i="7"/>
  <c r="AN47" i="7"/>
  <c r="AX47" i="7"/>
  <c r="AS47" i="7"/>
  <c r="AO47" i="7"/>
  <c r="AK47" i="7"/>
  <c r="AT47" i="7"/>
  <c r="AP47" i="7"/>
  <c r="AL47" i="7"/>
  <c r="AH47" i="7"/>
  <c r="AQ47" i="7"/>
  <c r="AM47" i="7"/>
  <c r="AI47" i="7"/>
  <c r="AE47" i="7"/>
  <c r="AJ47" i="7"/>
  <c r="AF47" i="7"/>
  <c r="AD47" i="7"/>
  <c r="AB47" i="7"/>
  <c r="AC47" i="7"/>
  <c r="AG47" i="7"/>
  <c r="AA47" i="7"/>
  <c r="X47" i="7"/>
  <c r="T47" i="7"/>
  <c r="P47" i="7"/>
  <c r="L47" i="7"/>
  <c r="Y47" i="7"/>
  <c r="U47" i="7"/>
  <c r="Q47" i="7"/>
  <c r="M47" i="7"/>
  <c r="I47" i="7"/>
  <c r="E47" i="7"/>
  <c r="D47" i="7"/>
  <c r="Z47" i="7"/>
  <c r="V47" i="7"/>
  <c r="R47" i="7"/>
  <c r="N47" i="7"/>
  <c r="J47" i="7"/>
  <c r="W47" i="7"/>
  <c r="S47" i="7"/>
  <c r="O47" i="7"/>
  <c r="K47" i="7"/>
  <c r="G47" i="7"/>
  <c r="F47" i="7"/>
  <c r="H47" i="7"/>
  <c r="B47" i="7"/>
  <c r="AJ66" i="7"/>
  <c r="AK67" i="7"/>
  <c r="AJ66" i="6"/>
  <c r="AK67" i="6"/>
  <c r="AL67" i="9"/>
  <c r="AK66" i="9"/>
  <c r="AM67" i="9" l="1"/>
  <c r="AL66" i="9"/>
  <c r="A50" i="10"/>
  <c r="B49" i="10"/>
  <c r="AL67" i="7"/>
  <c r="AK66" i="7"/>
  <c r="AL67" i="6"/>
  <c r="AK66" i="6"/>
  <c r="AL67" i="10"/>
  <c r="AK66" i="10"/>
  <c r="AM67" i="2"/>
  <c r="AL66" i="2"/>
  <c r="AW48" i="7"/>
  <c r="C48" i="7"/>
  <c r="AX48" i="7"/>
  <c r="A49" i="7"/>
  <c r="AZ48" i="7"/>
  <c r="AY48" i="7"/>
  <c r="AU48" i="7"/>
  <c r="AT48" i="7"/>
  <c r="AP48" i="7"/>
  <c r="AL48" i="7"/>
  <c r="AQ48" i="7"/>
  <c r="AM48" i="7"/>
  <c r="AV48" i="7"/>
  <c r="AR48" i="7"/>
  <c r="AN48" i="7"/>
  <c r="AJ48" i="7"/>
  <c r="AF48" i="7"/>
  <c r="AG48" i="7"/>
  <c r="AH48" i="7"/>
  <c r="AB48" i="7"/>
  <c r="AI48" i="7"/>
  <c r="AE48" i="7"/>
  <c r="AD48" i="7"/>
  <c r="AS48" i="7"/>
  <c r="AO48" i="7"/>
  <c r="AK48" i="7"/>
  <c r="Z48" i="7"/>
  <c r="V48" i="7"/>
  <c r="R48" i="7"/>
  <c r="N48" i="7"/>
  <c r="J48" i="7"/>
  <c r="W48" i="7"/>
  <c r="S48" i="7"/>
  <c r="O48" i="7"/>
  <c r="K48" i="7"/>
  <c r="G48" i="7"/>
  <c r="AC48" i="7"/>
  <c r="AA48" i="7"/>
  <c r="X48" i="7"/>
  <c r="T48" i="7"/>
  <c r="P48" i="7"/>
  <c r="L48" i="7"/>
  <c r="I48" i="7"/>
  <c r="E48" i="7"/>
  <c r="D48" i="7"/>
  <c r="B48" i="7"/>
  <c r="Y48" i="7"/>
  <c r="U48" i="7"/>
  <c r="Q48" i="7"/>
  <c r="M48" i="7"/>
  <c r="H48" i="7"/>
  <c r="F48" i="7"/>
  <c r="AZ48" i="8"/>
  <c r="A49" i="8"/>
  <c r="B48" i="8"/>
  <c r="AX48" i="2"/>
  <c r="AY48" i="2"/>
  <c r="C48" i="2"/>
  <c r="A49" i="2"/>
  <c r="AV48" i="2"/>
  <c r="AZ48" i="2"/>
  <c r="AQ48" i="2"/>
  <c r="AM48" i="2"/>
  <c r="AR48" i="2"/>
  <c r="AN48" i="2"/>
  <c r="AW48" i="2"/>
  <c r="AS48" i="2"/>
  <c r="AO48" i="2"/>
  <c r="AK48" i="2"/>
  <c r="AG48" i="2"/>
  <c r="AU48" i="2"/>
  <c r="AH48" i="2"/>
  <c r="AC48" i="2"/>
  <c r="AT48" i="2"/>
  <c r="AP48" i="2"/>
  <c r="AL48" i="2"/>
  <c r="AA48" i="2"/>
  <c r="AI48" i="2"/>
  <c r="AE48" i="2"/>
  <c r="AB48" i="2"/>
  <c r="W48" i="2"/>
  <c r="S48" i="2"/>
  <c r="O48" i="2"/>
  <c r="K48" i="2"/>
  <c r="X48" i="2"/>
  <c r="T48" i="2"/>
  <c r="P48" i="2"/>
  <c r="L48" i="2"/>
  <c r="H48" i="2"/>
  <c r="AF48" i="2"/>
  <c r="AD48" i="2"/>
  <c r="Y48" i="2"/>
  <c r="U48" i="2"/>
  <c r="Q48" i="2"/>
  <c r="M48" i="2"/>
  <c r="I48" i="2"/>
  <c r="E48" i="2"/>
  <c r="D48" i="2"/>
  <c r="AJ48" i="2"/>
  <c r="Z48" i="2"/>
  <c r="V48" i="2"/>
  <c r="R48" i="2"/>
  <c r="N48" i="2"/>
  <c r="J48" i="2"/>
  <c r="G48" i="2"/>
  <c r="F48" i="2"/>
  <c r="B48" i="2"/>
  <c r="AK66" i="8"/>
  <c r="AK15" i="8" s="1"/>
  <c r="AL67" i="8"/>
  <c r="A56" i="1"/>
  <c r="B55" i="1"/>
  <c r="BA55" i="1" s="1"/>
  <c r="AZ49" i="6"/>
  <c r="AY49" i="6"/>
  <c r="AX49" i="6"/>
  <c r="AV49" i="6"/>
  <c r="AS49" i="6"/>
  <c r="AO49" i="6"/>
  <c r="AK49" i="6"/>
  <c r="AR49" i="6"/>
  <c r="AT49" i="6"/>
  <c r="AN49" i="6"/>
  <c r="AU49" i="6"/>
  <c r="AM49" i="6"/>
  <c r="AJ49" i="6"/>
  <c r="AF49" i="6"/>
  <c r="AB49" i="6"/>
  <c r="AW49" i="6"/>
  <c r="AI49" i="6"/>
  <c r="AE49" i="6"/>
  <c r="AP49" i="6"/>
  <c r="AH49" i="6"/>
  <c r="AD49" i="6"/>
  <c r="AL49" i="6"/>
  <c r="Z49" i="6"/>
  <c r="V49" i="6"/>
  <c r="R49" i="6"/>
  <c r="N49" i="6"/>
  <c r="J49" i="6"/>
  <c r="F49" i="6"/>
  <c r="AQ49" i="6"/>
  <c r="Y49" i="6"/>
  <c r="U49" i="6"/>
  <c r="Q49" i="6"/>
  <c r="M49" i="6"/>
  <c r="I49" i="6"/>
  <c r="E49" i="6"/>
  <c r="AG49" i="6"/>
  <c r="X49" i="6"/>
  <c r="T49" i="6"/>
  <c r="P49" i="6"/>
  <c r="L49" i="6"/>
  <c r="H49" i="6"/>
  <c r="D49" i="6"/>
  <c r="AC49" i="6"/>
  <c r="AA49" i="6"/>
  <c r="K49" i="6"/>
  <c r="A50" i="6"/>
  <c r="W49" i="6"/>
  <c r="G49" i="6"/>
  <c r="S49" i="6"/>
  <c r="C49" i="6"/>
  <c r="O49" i="6"/>
  <c r="B49" i="6"/>
  <c r="B50" i="9"/>
  <c r="A51" i="9"/>
  <c r="C49" i="7" l="1"/>
  <c r="AY49" i="7"/>
  <c r="AU49" i="7"/>
  <c r="AV49" i="7"/>
  <c r="AW49" i="7"/>
  <c r="AX49" i="7"/>
  <c r="AR49" i="7"/>
  <c r="AN49" i="7"/>
  <c r="AZ49" i="7"/>
  <c r="AS49" i="7"/>
  <c r="AO49" i="7"/>
  <c r="AK49" i="7"/>
  <c r="A50" i="7"/>
  <c r="AT49" i="7"/>
  <c r="AP49" i="7"/>
  <c r="AL49" i="7"/>
  <c r="AQ49" i="7"/>
  <c r="AM49" i="7"/>
  <c r="AH49" i="7"/>
  <c r="AI49" i="7"/>
  <c r="AE49" i="7"/>
  <c r="AD49" i="7"/>
  <c r="AJ49" i="7"/>
  <c r="AF49" i="7"/>
  <c r="AB49" i="7"/>
  <c r="AG49" i="7"/>
  <c r="AC49" i="7"/>
  <c r="X49" i="7"/>
  <c r="T49" i="7"/>
  <c r="P49" i="7"/>
  <c r="L49" i="7"/>
  <c r="AA49" i="7"/>
  <c r="Y49" i="7"/>
  <c r="U49" i="7"/>
  <c r="Q49" i="7"/>
  <c r="M49" i="7"/>
  <c r="I49" i="7"/>
  <c r="E49" i="7"/>
  <c r="Z49" i="7"/>
  <c r="V49" i="7"/>
  <c r="R49" i="7"/>
  <c r="N49" i="7"/>
  <c r="J49" i="7"/>
  <c r="F49" i="7"/>
  <c r="W49" i="7"/>
  <c r="S49" i="7"/>
  <c r="G49" i="7"/>
  <c r="D49" i="7"/>
  <c r="H49" i="7"/>
  <c r="O49" i="7"/>
  <c r="K49" i="7"/>
  <c r="B49" i="7"/>
  <c r="A57" i="1"/>
  <c r="B56" i="1"/>
  <c r="BA56" i="1" s="1"/>
  <c r="AZ49" i="2"/>
  <c r="AV49" i="2"/>
  <c r="C49" i="2"/>
  <c r="AW49" i="2"/>
  <c r="AX49" i="2"/>
  <c r="AS49" i="2"/>
  <c r="AO49" i="2"/>
  <c r="AK49" i="2"/>
  <c r="AT49" i="2"/>
  <c r="AP49" i="2"/>
  <c r="AL49" i="2"/>
  <c r="A50" i="2"/>
  <c r="AU49" i="2"/>
  <c r="AQ49" i="2"/>
  <c r="AM49" i="2"/>
  <c r="AI49" i="2"/>
  <c r="AE49" i="2"/>
  <c r="AY49" i="2"/>
  <c r="AJ49" i="2"/>
  <c r="AF49" i="2"/>
  <c r="AR49" i="2"/>
  <c r="AN49" i="2"/>
  <c r="AG49" i="2"/>
  <c r="AC49" i="2"/>
  <c r="AD49" i="2"/>
  <c r="AH49" i="2"/>
  <c r="Y49" i="2"/>
  <c r="U49" i="2"/>
  <c r="Q49" i="2"/>
  <c r="M49" i="2"/>
  <c r="AA49" i="2"/>
  <c r="Z49" i="2"/>
  <c r="V49" i="2"/>
  <c r="R49" i="2"/>
  <c r="N49" i="2"/>
  <c r="J49" i="2"/>
  <c r="F49" i="2"/>
  <c r="W49" i="2"/>
  <c r="S49" i="2"/>
  <c r="O49" i="2"/>
  <c r="K49" i="2"/>
  <c r="AB49" i="2"/>
  <c r="E49" i="2"/>
  <c r="G49" i="2"/>
  <c r="D49" i="2"/>
  <c r="B49" i="2"/>
  <c r="I49" i="2"/>
  <c r="X49" i="2"/>
  <c r="T49" i="2"/>
  <c r="P49" i="2"/>
  <c r="L49" i="2"/>
  <c r="H49" i="2"/>
  <c r="AN67" i="2"/>
  <c r="AM66" i="2"/>
  <c r="AM67" i="6"/>
  <c r="AL66" i="6"/>
  <c r="A51" i="10"/>
  <c r="B50" i="10"/>
  <c r="A52" i="9"/>
  <c r="B51" i="9"/>
  <c r="AZ50" i="6"/>
  <c r="AX50" i="6"/>
  <c r="AW50" i="6"/>
  <c r="AR50" i="6"/>
  <c r="AN50" i="6"/>
  <c r="AU50" i="6"/>
  <c r="AS50" i="6"/>
  <c r="AM50" i="6"/>
  <c r="AY50" i="6"/>
  <c r="AQ50" i="6"/>
  <c r="AT50" i="6"/>
  <c r="AO50" i="6"/>
  <c r="AI50" i="6"/>
  <c r="AE50" i="6"/>
  <c r="AP50" i="6"/>
  <c r="AH50" i="6"/>
  <c r="AD50" i="6"/>
  <c r="AL50" i="6"/>
  <c r="AG50" i="6"/>
  <c r="AC50" i="6"/>
  <c r="Y50" i="6"/>
  <c r="U50" i="6"/>
  <c r="Q50" i="6"/>
  <c r="M50" i="6"/>
  <c r="I50" i="6"/>
  <c r="E50" i="6"/>
  <c r="AK50" i="6"/>
  <c r="AJ50" i="6"/>
  <c r="X50" i="6"/>
  <c r="T50" i="6"/>
  <c r="P50" i="6"/>
  <c r="L50" i="6"/>
  <c r="H50" i="6"/>
  <c r="AV50" i="6"/>
  <c r="AF50" i="6"/>
  <c r="AA50" i="6"/>
  <c r="W50" i="6"/>
  <c r="S50" i="6"/>
  <c r="O50" i="6"/>
  <c r="K50" i="6"/>
  <c r="G50" i="6"/>
  <c r="Z50" i="6"/>
  <c r="J50" i="6"/>
  <c r="V50" i="6"/>
  <c r="F50" i="6"/>
  <c r="C50" i="6"/>
  <c r="A51" i="6"/>
  <c r="R50" i="6"/>
  <c r="D50" i="6"/>
  <c r="AB50" i="6"/>
  <c r="N50" i="6"/>
  <c r="B50" i="6"/>
  <c r="AM67" i="8"/>
  <c r="AL66" i="8"/>
  <c r="AL15" i="8" s="1"/>
  <c r="AZ49" i="8"/>
  <c r="A50" i="8"/>
  <c r="B49" i="8"/>
  <c r="AL66" i="10"/>
  <c r="AM67" i="10"/>
  <c r="AM67" i="7"/>
  <c r="AL66" i="7"/>
  <c r="AN67" i="9"/>
  <c r="AM66" i="9"/>
  <c r="AN67" i="7" l="1"/>
  <c r="AM66" i="7"/>
  <c r="AM66" i="8"/>
  <c r="AM15" i="8" s="1"/>
  <c r="AN67" i="8"/>
  <c r="B51" i="10"/>
  <c r="A52" i="10"/>
  <c r="AN66" i="2"/>
  <c r="AO67" i="2"/>
  <c r="AN67" i="10"/>
  <c r="AM66" i="10"/>
  <c r="AZ50" i="8"/>
  <c r="A51" i="8"/>
  <c r="B50" i="8"/>
  <c r="C50" i="2"/>
  <c r="A51" i="2"/>
  <c r="AX50" i="2"/>
  <c r="AZ50" i="2"/>
  <c r="AY50" i="2"/>
  <c r="AV50" i="2"/>
  <c r="AQ50" i="2"/>
  <c r="AM50" i="2"/>
  <c r="AW50" i="2"/>
  <c r="AU50" i="2"/>
  <c r="AR50" i="2"/>
  <c r="AN50" i="2"/>
  <c r="AS50" i="2"/>
  <c r="AO50" i="2"/>
  <c r="AK50" i="2"/>
  <c r="AG50" i="2"/>
  <c r="AT50" i="2"/>
  <c r="AP50" i="2"/>
  <c r="AL50" i="2"/>
  <c r="AH50" i="2"/>
  <c r="AC50" i="2"/>
  <c r="AA50" i="2"/>
  <c r="AJ50" i="2"/>
  <c r="AF50" i="2"/>
  <c r="AB50" i="2"/>
  <c r="AE50" i="2"/>
  <c r="W50" i="2"/>
  <c r="S50" i="2"/>
  <c r="O50" i="2"/>
  <c r="K50" i="2"/>
  <c r="AI50" i="2"/>
  <c r="AD50" i="2"/>
  <c r="X50" i="2"/>
  <c r="T50" i="2"/>
  <c r="P50" i="2"/>
  <c r="L50" i="2"/>
  <c r="H50" i="2"/>
  <c r="Y50" i="2"/>
  <c r="U50" i="2"/>
  <c r="Q50" i="2"/>
  <c r="M50" i="2"/>
  <c r="Z50" i="2"/>
  <c r="V50" i="2"/>
  <c r="R50" i="2"/>
  <c r="N50" i="2"/>
  <c r="J50" i="2"/>
  <c r="G50" i="2"/>
  <c r="F50" i="2"/>
  <c r="I50" i="2"/>
  <c r="E50" i="2"/>
  <c r="B50" i="2"/>
  <c r="D50" i="2"/>
  <c r="AO67" i="9"/>
  <c r="AN66" i="9"/>
  <c r="AW51" i="6"/>
  <c r="AV51" i="6"/>
  <c r="AU51" i="6"/>
  <c r="AQ51" i="6"/>
  <c r="AM51" i="6"/>
  <c r="AY51" i="6"/>
  <c r="AT51" i="6"/>
  <c r="AZ51" i="6"/>
  <c r="AR51" i="6"/>
  <c r="AX51" i="6"/>
  <c r="AP51" i="6"/>
  <c r="AS51" i="6"/>
  <c r="AH51" i="6"/>
  <c r="AD51" i="6"/>
  <c r="AL51" i="6"/>
  <c r="AG51" i="6"/>
  <c r="AC51" i="6"/>
  <c r="AN51" i="6"/>
  <c r="AK51" i="6"/>
  <c r="AJ51" i="6"/>
  <c r="AF51" i="6"/>
  <c r="AB51" i="6"/>
  <c r="X51" i="6"/>
  <c r="T51" i="6"/>
  <c r="P51" i="6"/>
  <c r="L51" i="6"/>
  <c r="H51" i="6"/>
  <c r="D51" i="6"/>
  <c r="AI51" i="6"/>
  <c r="AA51" i="6"/>
  <c r="W51" i="6"/>
  <c r="S51" i="6"/>
  <c r="O51" i="6"/>
  <c r="K51" i="6"/>
  <c r="G51" i="6"/>
  <c r="AO51" i="6"/>
  <c r="AE51" i="6"/>
  <c r="Z51" i="6"/>
  <c r="V51" i="6"/>
  <c r="R51" i="6"/>
  <c r="N51" i="6"/>
  <c r="J51" i="6"/>
  <c r="F51" i="6"/>
  <c r="Y51" i="6"/>
  <c r="I51" i="6"/>
  <c r="C51" i="6"/>
  <c r="U51" i="6"/>
  <c r="E51" i="6"/>
  <c r="Q51" i="6"/>
  <c r="A52" i="6"/>
  <c r="M51" i="6"/>
  <c r="B51" i="6"/>
  <c r="B52" i="9"/>
  <c r="A53" i="9"/>
  <c r="AN67" i="6"/>
  <c r="AM66" i="6"/>
  <c r="A58" i="1"/>
  <c r="B57" i="1"/>
  <c r="BA57" i="1" s="1"/>
  <c r="A51" i="7"/>
  <c r="AZ50" i="7"/>
  <c r="AW50" i="7"/>
  <c r="AX50" i="7"/>
  <c r="AY50" i="7"/>
  <c r="AU50" i="7"/>
  <c r="AT50" i="7"/>
  <c r="AP50" i="7"/>
  <c r="AL50" i="7"/>
  <c r="AV50" i="7"/>
  <c r="AQ50" i="7"/>
  <c r="AM50" i="7"/>
  <c r="AR50" i="7"/>
  <c r="AN50" i="7"/>
  <c r="AJ50" i="7"/>
  <c r="AF50" i="7"/>
  <c r="AS50" i="7"/>
  <c r="AO50" i="7"/>
  <c r="AK50" i="7"/>
  <c r="AG50" i="7"/>
  <c r="C50" i="7"/>
  <c r="AI50" i="7"/>
  <c r="AE50" i="7"/>
  <c r="AB50" i="7"/>
  <c r="AH50" i="7"/>
  <c r="AD50" i="7"/>
  <c r="Z50" i="7"/>
  <c r="V50" i="7"/>
  <c r="R50" i="7"/>
  <c r="N50" i="7"/>
  <c r="J50" i="7"/>
  <c r="AC50" i="7"/>
  <c r="W50" i="7"/>
  <c r="S50" i="7"/>
  <c r="O50" i="7"/>
  <c r="K50" i="7"/>
  <c r="G50" i="7"/>
  <c r="X50" i="7"/>
  <c r="T50" i="7"/>
  <c r="P50" i="7"/>
  <c r="L50" i="7"/>
  <c r="Y50" i="7"/>
  <c r="U50" i="7"/>
  <c r="Q50" i="7"/>
  <c r="M50" i="7"/>
  <c r="H50" i="7"/>
  <c r="I50" i="7"/>
  <c r="E50" i="7"/>
  <c r="B50" i="7"/>
  <c r="F50" i="7"/>
  <c r="AA50" i="7"/>
  <c r="D50" i="7"/>
  <c r="AZ51" i="8" l="1"/>
  <c r="A52" i="8"/>
  <c r="B51" i="8"/>
  <c r="AP67" i="2"/>
  <c r="AO66" i="2"/>
  <c r="AO67" i="8"/>
  <c r="AN66" i="8"/>
  <c r="AN15" i="8" s="1"/>
  <c r="AY51" i="7"/>
  <c r="AU51" i="7"/>
  <c r="A52" i="7"/>
  <c r="AZ51" i="7"/>
  <c r="AV51" i="7"/>
  <c r="C51" i="7"/>
  <c r="AW51" i="7"/>
  <c r="AR51" i="7"/>
  <c r="AN51" i="7"/>
  <c r="AS51" i="7"/>
  <c r="AO51" i="7"/>
  <c r="AK51" i="7"/>
  <c r="AT51" i="7"/>
  <c r="AP51" i="7"/>
  <c r="AL51" i="7"/>
  <c r="AH51" i="7"/>
  <c r="AI51" i="7"/>
  <c r="AE51" i="7"/>
  <c r="AQ51" i="7"/>
  <c r="AM51" i="7"/>
  <c r="AJ51" i="7"/>
  <c r="AF51" i="7"/>
  <c r="AD51" i="7"/>
  <c r="AX51" i="7"/>
  <c r="AB51" i="7"/>
  <c r="AC51" i="7"/>
  <c r="X51" i="7"/>
  <c r="T51" i="7"/>
  <c r="P51" i="7"/>
  <c r="L51" i="7"/>
  <c r="Y51" i="7"/>
  <c r="U51" i="7"/>
  <c r="Q51" i="7"/>
  <c r="M51" i="7"/>
  <c r="I51" i="7"/>
  <c r="E51" i="7"/>
  <c r="D51" i="7"/>
  <c r="AA51" i="7"/>
  <c r="Z51" i="7"/>
  <c r="V51" i="7"/>
  <c r="R51" i="7"/>
  <c r="N51" i="7"/>
  <c r="J51" i="7"/>
  <c r="F51" i="7"/>
  <c r="B51" i="7"/>
  <c r="AG51" i="7"/>
  <c r="W51" i="7"/>
  <c r="S51" i="7"/>
  <c r="O51" i="7"/>
  <c r="K51" i="7"/>
  <c r="G51" i="7"/>
  <c r="H51" i="7"/>
  <c r="AN66" i="6"/>
  <c r="AO67" i="6"/>
  <c r="AV51" i="2"/>
  <c r="A52" i="2"/>
  <c r="AW51" i="2"/>
  <c r="AZ51" i="2"/>
  <c r="AX51" i="2"/>
  <c r="AU51" i="2"/>
  <c r="AS51" i="2"/>
  <c r="AO51" i="2"/>
  <c r="AK51" i="2"/>
  <c r="AT51" i="2"/>
  <c r="AP51" i="2"/>
  <c r="AL51" i="2"/>
  <c r="AY51" i="2"/>
  <c r="AQ51" i="2"/>
  <c r="AM51" i="2"/>
  <c r="AI51" i="2"/>
  <c r="AE51" i="2"/>
  <c r="AJ51" i="2"/>
  <c r="AF51" i="2"/>
  <c r="C51" i="2"/>
  <c r="AR51" i="2"/>
  <c r="AN51" i="2"/>
  <c r="AG51" i="2"/>
  <c r="AC51" i="2"/>
  <c r="AH51" i="2"/>
  <c r="AD51" i="2"/>
  <c r="Y51" i="2"/>
  <c r="U51" i="2"/>
  <c r="Q51" i="2"/>
  <c r="M51" i="2"/>
  <c r="Z51" i="2"/>
  <c r="V51" i="2"/>
  <c r="R51" i="2"/>
  <c r="N51" i="2"/>
  <c r="J51" i="2"/>
  <c r="F51" i="2"/>
  <c r="D51" i="2"/>
  <c r="AB51" i="2"/>
  <c r="W51" i="2"/>
  <c r="S51" i="2"/>
  <c r="O51" i="2"/>
  <c r="K51" i="2"/>
  <c r="I51" i="2"/>
  <c r="E51" i="2"/>
  <c r="B51" i="2"/>
  <c r="H51" i="2"/>
  <c r="AA51" i="2"/>
  <c r="X51" i="2"/>
  <c r="T51" i="2"/>
  <c r="P51" i="2"/>
  <c r="L51" i="2"/>
  <c r="G51" i="2"/>
  <c r="A54" i="9"/>
  <c r="B53" i="9"/>
  <c r="AV52" i="6"/>
  <c r="AZ52" i="6"/>
  <c r="AY52" i="6"/>
  <c r="AT52" i="6"/>
  <c r="AP52" i="6"/>
  <c r="AL52" i="6"/>
  <c r="AX52" i="6"/>
  <c r="AS52" i="6"/>
  <c r="AQ52" i="6"/>
  <c r="AW52" i="6"/>
  <c r="AO52" i="6"/>
  <c r="AR52" i="6"/>
  <c r="AG52" i="6"/>
  <c r="AC52" i="6"/>
  <c r="AN52" i="6"/>
  <c r="AK52" i="6"/>
  <c r="AJ52" i="6"/>
  <c r="AF52" i="6"/>
  <c r="AB52" i="6"/>
  <c r="AI52" i="6"/>
  <c r="AE52" i="6"/>
  <c r="AU52" i="6"/>
  <c r="AM52" i="6"/>
  <c r="AA52" i="6"/>
  <c r="W52" i="6"/>
  <c r="S52" i="6"/>
  <c r="O52" i="6"/>
  <c r="K52" i="6"/>
  <c r="G52" i="6"/>
  <c r="AH52" i="6"/>
  <c r="Z52" i="6"/>
  <c r="V52" i="6"/>
  <c r="R52" i="6"/>
  <c r="N52" i="6"/>
  <c r="J52" i="6"/>
  <c r="F52" i="6"/>
  <c r="AD52" i="6"/>
  <c r="Y52" i="6"/>
  <c r="U52" i="6"/>
  <c r="Q52" i="6"/>
  <c r="M52" i="6"/>
  <c r="I52" i="6"/>
  <c r="E52" i="6"/>
  <c r="X52" i="6"/>
  <c r="H52" i="6"/>
  <c r="T52" i="6"/>
  <c r="D52" i="6"/>
  <c r="P52" i="6"/>
  <c r="L52" i="6"/>
  <c r="C52" i="6"/>
  <c r="A53" i="6"/>
  <c r="B52" i="6"/>
  <c r="AP67" i="9"/>
  <c r="AO66" i="9"/>
  <c r="A53" i="10"/>
  <c r="B52" i="10"/>
  <c r="A59" i="1"/>
  <c r="B58" i="1"/>
  <c r="BA58" i="1" s="1"/>
  <c r="AN66" i="10"/>
  <c r="AO67" i="10"/>
  <c r="AN66" i="7"/>
  <c r="AO67" i="7"/>
  <c r="AP67" i="10" l="1"/>
  <c r="AO66" i="10"/>
  <c r="AQ67" i="2"/>
  <c r="AP66" i="2"/>
  <c r="B54" i="9"/>
  <c r="A55" i="9"/>
  <c r="AX52" i="2"/>
  <c r="AY52" i="2"/>
  <c r="C52" i="2"/>
  <c r="A53" i="2"/>
  <c r="AV52" i="2"/>
  <c r="AW52" i="2"/>
  <c r="AQ52" i="2"/>
  <c r="AM52" i="2"/>
  <c r="AZ52" i="2"/>
  <c r="AR52" i="2"/>
  <c r="AN52" i="2"/>
  <c r="AS52" i="2"/>
  <c r="AO52" i="2"/>
  <c r="AK52" i="2"/>
  <c r="AU52" i="2"/>
  <c r="AT52" i="2"/>
  <c r="AP52" i="2"/>
  <c r="AL52" i="2"/>
  <c r="AG52" i="2"/>
  <c r="AH52" i="2"/>
  <c r="AC52" i="2"/>
  <c r="AA52" i="2"/>
  <c r="AI52" i="2"/>
  <c r="AE52" i="2"/>
  <c r="AB52" i="2"/>
  <c r="AD52" i="2"/>
  <c r="W52" i="2"/>
  <c r="S52" i="2"/>
  <c r="O52" i="2"/>
  <c r="K52" i="2"/>
  <c r="AF52" i="2"/>
  <c r="X52" i="2"/>
  <c r="T52" i="2"/>
  <c r="P52" i="2"/>
  <c r="L52" i="2"/>
  <c r="H52" i="2"/>
  <c r="AJ52" i="2"/>
  <c r="Y52" i="2"/>
  <c r="U52" i="2"/>
  <c r="Q52" i="2"/>
  <c r="M52" i="2"/>
  <c r="F52" i="2"/>
  <c r="J52" i="2"/>
  <c r="G52" i="2"/>
  <c r="Z52" i="2"/>
  <c r="V52" i="2"/>
  <c r="R52" i="2"/>
  <c r="N52" i="2"/>
  <c r="D52" i="2"/>
  <c r="I52" i="2"/>
  <c r="E52" i="2"/>
  <c r="B52" i="2"/>
  <c r="A54" i="10"/>
  <c r="B53" i="10"/>
  <c r="AZ53" i="6"/>
  <c r="AY53" i="6"/>
  <c r="AX53" i="6"/>
  <c r="AS53" i="6"/>
  <c r="AO53" i="6"/>
  <c r="AK53" i="6"/>
  <c r="AW53" i="6"/>
  <c r="AR53" i="6"/>
  <c r="AP53" i="6"/>
  <c r="AV53" i="6"/>
  <c r="AU53" i="6"/>
  <c r="AN53" i="6"/>
  <c r="AL53" i="6"/>
  <c r="AJ53" i="6"/>
  <c r="AF53" i="6"/>
  <c r="AB53" i="6"/>
  <c r="AI53" i="6"/>
  <c r="AE53" i="6"/>
  <c r="AQ53" i="6"/>
  <c r="AM53" i="6"/>
  <c r="AH53" i="6"/>
  <c r="AD53" i="6"/>
  <c r="Z53" i="6"/>
  <c r="V53" i="6"/>
  <c r="R53" i="6"/>
  <c r="N53" i="6"/>
  <c r="J53" i="6"/>
  <c r="F53" i="6"/>
  <c r="AG53" i="6"/>
  <c r="Y53" i="6"/>
  <c r="U53" i="6"/>
  <c r="Q53" i="6"/>
  <c r="M53" i="6"/>
  <c r="I53" i="6"/>
  <c r="E53" i="6"/>
  <c r="AC53" i="6"/>
  <c r="X53" i="6"/>
  <c r="T53" i="6"/>
  <c r="P53" i="6"/>
  <c r="L53" i="6"/>
  <c r="H53" i="6"/>
  <c r="D53" i="6"/>
  <c r="AT53" i="6"/>
  <c r="W53" i="6"/>
  <c r="G53" i="6"/>
  <c r="A54" i="6"/>
  <c r="S53" i="6"/>
  <c r="O53" i="6"/>
  <c r="C53" i="6"/>
  <c r="AA53" i="6"/>
  <c r="K53" i="6"/>
  <c r="B53" i="6"/>
  <c r="AP67" i="7"/>
  <c r="AO66" i="7"/>
  <c r="AW52" i="7"/>
  <c r="C52" i="7"/>
  <c r="AX52" i="7"/>
  <c r="A53" i="7"/>
  <c r="AZ52" i="7"/>
  <c r="AY52" i="7"/>
  <c r="AU52" i="7"/>
  <c r="AV52" i="7"/>
  <c r="AT52" i="7"/>
  <c r="AP52" i="7"/>
  <c r="AL52" i="7"/>
  <c r="AQ52" i="7"/>
  <c r="AM52" i="7"/>
  <c r="AR52" i="7"/>
  <c r="AN52" i="7"/>
  <c r="AS52" i="7"/>
  <c r="AO52" i="7"/>
  <c r="AK52" i="7"/>
  <c r="AJ52" i="7"/>
  <c r="AF52" i="7"/>
  <c r="AG52" i="7"/>
  <c r="AH52" i="7"/>
  <c r="AB52" i="7"/>
  <c r="AI52" i="7"/>
  <c r="AE52" i="7"/>
  <c r="AD52" i="7"/>
  <c r="AA52" i="7"/>
  <c r="AC52" i="7"/>
  <c r="Z52" i="7"/>
  <c r="V52" i="7"/>
  <c r="R52" i="7"/>
  <c r="N52" i="7"/>
  <c r="J52" i="7"/>
  <c r="W52" i="7"/>
  <c r="S52" i="7"/>
  <c r="O52" i="7"/>
  <c r="K52" i="7"/>
  <c r="G52" i="7"/>
  <c r="X52" i="7"/>
  <c r="T52" i="7"/>
  <c r="P52" i="7"/>
  <c r="L52" i="7"/>
  <c r="F52" i="7"/>
  <c r="B52" i="7"/>
  <c r="Y52" i="7"/>
  <c r="U52" i="7"/>
  <c r="Q52" i="7"/>
  <c r="D52" i="7"/>
  <c r="H52" i="7"/>
  <c r="I52" i="7"/>
  <c r="E52" i="7"/>
  <c r="M52" i="7"/>
  <c r="AO66" i="8"/>
  <c r="AO15" i="8" s="1"/>
  <c r="AP67" i="8"/>
  <c r="AZ52" i="8"/>
  <c r="A53" i="8"/>
  <c r="B52" i="8"/>
  <c r="A60" i="1"/>
  <c r="B59" i="1"/>
  <c r="BA59" i="1" s="1"/>
  <c r="AP66" i="9"/>
  <c r="AQ67" i="9"/>
  <c r="AP67" i="6"/>
  <c r="AO66" i="6"/>
  <c r="AQ67" i="6" l="1"/>
  <c r="AP66" i="6"/>
  <c r="A61" i="1"/>
  <c r="B60" i="1"/>
  <c r="BA60" i="1" s="1"/>
  <c r="AQ67" i="8"/>
  <c r="AP66" i="8"/>
  <c r="AP15" i="8" s="1"/>
  <c r="AR67" i="9"/>
  <c r="AQ66" i="9"/>
  <c r="A55" i="10"/>
  <c r="B54" i="10"/>
  <c r="AR67" i="2"/>
  <c r="AQ66" i="2"/>
  <c r="AZ53" i="8"/>
  <c r="A54" i="8"/>
  <c r="B53" i="8"/>
  <c r="C53" i="7"/>
  <c r="AY53" i="7"/>
  <c r="AU53" i="7"/>
  <c r="AV53" i="7"/>
  <c r="AW53" i="7"/>
  <c r="AR53" i="7"/>
  <c r="AN53" i="7"/>
  <c r="AS53" i="7"/>
  <c r="AO53" i="7"/>
  <c r="AK53" i="7"/>
  <c r="AZ53" i="7"/>
  <c r="AX53" i="7"/>
  <c r="AT53" i="7"/>
  <c r="AP53" i="7"/>
  <c r="AL53" i="7"/>
  <c r="AH53" i="7"/>
  <c r="A54" i="7"/>
  <c r="AI53" i="7"/>
  <c r="AE53" i="7"/>
  <c r="AD53" i="7"/>
  <c r="AJ53" i="7"/>
  <c r="AF53" i="7"/>
  <c r="AB53" i="7"/>
  <c r="AG53" i="7"/>
  <c r="AC53" i="7"/>
  <c r="AA53" i="7"/>
  <c r="X53" i="7"/>
  <c r="T53" i="7"/>
  <c r="P53" i="7"/>
  <c r="L53" i="7"/>
  <c r="AM53" i="7"/>
  <c r="Y53" i="7"/>
  <c r="U53" i="7"/>
  <c r="Q53" i="7"/>
  <c r="M53" i="7"/>
  <c r="I53" i="7"/>
  <c r="E53" i="7"/>
  <c r="AQ53" i="7"/>
  <c r="Z53" i="7"/>
  <c r="V53" i="7"/>
  <c r="R53" i="7"/>
  <c r="N53" i="7"/>
  <c r="J53" i="7"/>
  <c r="H53" i="7"/>
  <c r="D53" i="7"/>
  <c r="W53" i="7"/>
  <c r="S53" i="7"/>
  <c r="O53" i="7"/>
  <c r="K53" i="7"/>
  <c r="G53" i="7"/>
  <c r="F53" i="7"/>
  <c r="B53" i="7"/>
  <c r="AZ54" i="6"/>
  <c r="AX54" i="6"/>
  <c r="AW54" i="6"/>
  <c r="AY54" i="6"/>
  <c r="AR54" i="6"/>
  <c r="AN54" i="6"/>
  <c r="AV54" i="6"/>
  <c r="AU54" i="6"/>
  <c r="AO54" i="6"/>
  <c r="AT54" i="6"/>
  <c r="AP54" i="6"/>
  <c r="AK54" i="6"/>
  <c r="AI54" i="6"/>
  <c r="AE54" i="6"/>
  <c r="AQ54" i="6"/>
  <c r="AM54" i="6"/>
  <c r="AH54" i="6"/>
  <c r="AD54" i="6"/>
  <c r="AG54" i="6"/>
  <c r="AC54" i="6"/>
  <c r="AJ54" i="6"/>
  <c r="Y54" i="6"/>
  <c r="U54" i="6"/>
  <c r="Q54" i="6"/>
  <c r="M54" i="6"/>
  <c r="I54" i="6"/>
  <c r="E54" i="6"/>
  <c r="AF54" i="6"/>
  <c r="X54" i="6"/>
  <c r="T54" i="6"/>
  <c r="P54" i="6"/>
  <c r="L54" i="6"/>
  <c r="H54" i="6"/>
  <c r="AS54" i="6"/>
  <c r="AB54" i="6"/>
  <c r="AA54" i="6"/>
  <c r="W54" i="6"/>
  <c r="S54" i="6"/>
  <c r="O54" i="6"/>
  <c r="K54" i="6"/>
  <c r="G54" i="6"/>
  <c r="V54" i="6"/>
  <c r="F54" i="6"/>
  <c r="D54" i="6"/>
  <c r="AL54" i="6"/>
  <c r="R54" i="6"/>
  <c r="C54" i="6"/>
  <c r="A55" i="6"/>
  <c r="N54" i="6"/>
  <c r="Z54" i="6"/>
  <c r="J54" i="6"/>
  <c r="B54" i="6"/>
  <c r="AZ53" i="2"/>
  <c r="AV53" i="2"/>
  <c r="C53" i="2"/>
  <c r="AW53" i="2"/>
  <c r="AX53" i="2"/>
  <c r="AS53" i="2"/>
  <c r="AO53" i="2"/>
  <c r="AK53" i="2"/>
  <c r="AY53" i="2"/>
  <c r="AT53" i="2"/>
  <c r="AP53" i="2"/>
  <c r="AL53" i="2"/>
  <c r="AU53" i="2"/>
  <c r="AQ53" i="2"/>
  <c r="AM53" i="2"/>
  <c r="AI53" i="2"/>
  <c r="AE53" i="2"/>
  <c r="AR53" i="2"/>
  <c r="AN53" i="2"/>
  <c r="AF53" i="2"/>
  <c r="A54" i="2"/>
  <c r="AJ53" i="2"/>
  <c r="AG53" i="2"/>
  <c r="AC53" i="2"/>
  <c r="AD53" i="2"/>
  <c r="Y53" i="2"/>
  <c r="U53" i="2"/>
  <c r="Q53" i="2"/>
  <c r="M53" i="2"/>
  <c r="AB53" i="2"/>
  <c r="AA53" i="2"/>
  <c r="Z53" i="2"/>
  <c r="V53" i="2"/>
  <c r="R53" i="2"/>
  <c r="N53" i="2"/>
  <c r="J53" i="2"/>
  <c r="F53" i="2"/>
  <c r="W53" i="2"/>
  <c r="S53" i="2"/>
  <c r="O53" i="2"/>
  <c r="K53" i="2"/>
  <c r="AH53" i="2"/>
  <c r="X53" i="2"/>
  <c r="T53" i="2"/>
  <c r="P53" i="2"/>
  <c r="L53" i="2"/>
  <c r="H53" i="2"/>
  <c r="D53" i="2"/>
  <c r="B53" i="2"/>
  <c r="I53" i="2"/>
  <c r="E53" i="2"/>
  <c r="G53" i="2"/>
  <c r="A56" i="9"/>
  <c r="B55" i="9"/>
  <c r="AQ67" i="7"/>
  <c r="AP66" i="7"/>
  <c r="AP66" i="10"/>
  <c r="AQ67" i="10"/>
  <c r="AQ66" i="10" l="1"/>
  <c r="AR67" i="10"/>
  <c r="C54" i="2"/>
  <c r="A55" i="2"/>
  <c r="AX54" i="2"/>
  <c r="AZ54" i="2"/>
  <c r="AY54" i="2"/>
  <c r="AV54" i="2"/>
  <c r="AQ54" i="2"/>
  <c r="AM54" i="2"/>
  <c r="AU54" i="2"/>
  <c r="AR54" i="2"/>
  <c r="AN54" i="2"/>
  <c r="AS54" i="2"/>
  <c r="AO54" i="2"/>
  <c r="AK54" i="2"/>
  <c r="AG54" i="2"/>
  <c r="AJ54" i="2"/>
  <c r="AH54" i="2"/>
  <c r="AW54" i="2"/>
  <c r="AT54" i="2"/>
  <c r="AP54" i="2"/>
  <c r="AL54" i="2"/>
  <c r="AC54" i="2"/>
  <c r="AA54" i="2"/>
  <c r="AF54" i="2"/>
  <c r="AB54" i="2"/>
  <c r="AI54" i="2"/>
  <c r="W54" i="2"/>
  <c r="S54" i="2"/>
  <c r="O54" i="2"/>
  <c r="K54" i="2"/>
  <c r="X54" i="2"/>
  <c r="T54" i="2"/>
  <c r="P54" i="2"/>
  <c r="L54" i="2"/>
  <c r="H54" i="2"/>
  <c r="Y54" i="2"/>
  <c r="U54" i="2"/>
  <c r="Q54" i="2"/>
  <c r="M54" i="2"/>
  <c r="E54" i="2"/>
  <c r="F54" i="2"/>
  <c r="D54" i="2"/>
  <c r="B54" i="2"/>
  <c r="I54" i="2"/>
  <c r="AE54" i="2"/>
  <c r="AD54" i="2"/>
  <c r="Z54" i="2"/>
  <c r="V54" i="2"/>
  <c r="R54" i="2"/>
  <c r="N54" i="2"/>
  <c r="J54" i="2"/>
  <c r="G54" i="2"/>
  <c r="A55" i="7"/>
  <c r="AZ54" i="7"/>
  <c r="AW54" i="7"/>
  <c r="AX54" i="7"/>
  <c r="AY54" i="7"/>
  <c r="AU54" i="7"/>
  <c r="AT54" i="7"/>
  <c r="AP54" i="7"/>
  <c r="AL54" i="7"/>
  <c r="AQ54" i="7"/>
  <c r="AM54" i="7"/>
  <c r="C54" i="7"/>
  <c r="AR54" i="7"/>
  <c r="AN54" i="7"/>
  <c r="AV54" i="7"/>
  <c r="AJ54" i="7"/>
  <c r="AF54" i="7"/>
  <c r="AG54" i="7"/>
  <c r="AS54" i="7"/>
  <c r="AO54" i="7"/>
  <c r="AK54" i="7"/>
  <c r="AI54" i="7"/>
  <c r="AE54" i="7"/>
  <c r="AB54" i="7"/>
  <c r="AH54" i="7"/>
  <c r="AD54" i="7"/>
  <c r="AA54" i="7"/>
  <c r="Z54" i="7"/>
  <c r="V54" i="7"/>
  <c r="R54" i="7"/>
  <c r="N54" i="7"/>
  <c r="J54" i="7"/>
  <c r="W54" i="7"/>
  <c r="S54" i="7"/>
  <c r="O54" i="7"/>
  <c r="K54" i="7"/>
  <c r="G54" i="7"/>
  <c r="X54" i="7"/>
  <c r="T54" i="7"/>
  <c r="P54" i="7"/>
  <c r="L54" i="7"/>
  <c r="AC54" i="7"/>
  <c r="F54" i="7"/>
  <c r="D54" i="7"/>
  <c r="E54" i="7"/>
  <c r="Y54" i="7"/>
  <c r="U54" i="7"/>
  <c r="Q54" i="7"/>
  <c r="M54" i="7"/>
  <c r="H54" i="7"/>
  <c r="B54" i="7"/>
  <c r="I54" i="7"/>
  <c r="B56" i="9"/>
  <c r="A57" i="9"/>
  <c r="AR67" i="7"/>
  <c r="AQ66" i="7"/>
  <c r="AZ55" i="6"/>
  <c r="AW55" i="6"/>
  <c r="AV55" i="6"/>
  <c r="AX55" i="6"/>
  <c r="AU55" i="6"/>
  <c r="AQ55" i="6"/>
  <c r="AM55" i="6"/>
  <c r="AT55" i="6"/>
  <c r="AY55" i="6"/>
  <c r="AN55" i="6"/>
  <c r="AS55" i="6"/>
  <c r="AH55" i="6"/>
  <c r="AD55" i="6"/>
  <c r="AG55" i="6"/>
  <c r="AC55" i="6"/>
  <c r="AO55" i="6"/>
  <c r="AL55" i="6"/>
  <c r="AJ55" i="6"/>
  <c r="AF55" i="6"/>
  <c r="AB55" i="6"/>
  <c r="AK55" i="6"/>
  <c r="AI55" i="6"/>
  <c r="X55" i="6"/>
  <c r="T55" i="6"/>
  <c r="P55" i="6"/>
  <c r="L55" i="6"/>
  <c r="H55" i="6"/>
  <c r="D55" i="6"/>
  <c r="AR55" i="6"/>
  <c r="AP55" i="6"/>
  <c r="AE55" i="6"/>
  <c r="AA55" i="6"/>
  <c r="W55" i="6"/>
  <c r="S55" i="6"/>
  <c r="O55" i="6"/>
  <c r="K55" i="6"/>
  <c r="G55" i="6"/>
  <c r="Z55" i="6"/>
  <c r="V55" i="6"/>
  <c r="R55" i="6"/>
  <c r="N55" i="6"/>
  <c r="J55" i="6"/>
  <c r="F55" i="6"/>
  <c r="U55" i="6"/>
  <c r="E55" i="6"/>
  <c r="C55" i="6"/>
  <c r="Q55" i="6"/>
  <c r="M55" i="6"/>
  <c r="A56" i="6"/>
  <c r="Y55" i="6"/>
  <c r="I55" i="6"/>
  <c r="B55" i="6"/>
  <c r="AR66" i="2"/>
  <c r="AS67" i="2"/>
  <c r="AR66" i="9"/>
  <c r="AS67" i="9"/>
  <c r="A62" i="1"/>
  <c r="B61" i="1"/>
  <c r="BA61" i="1" s="1"/>
  <c r="AZ54" i="8"/>
  <c r="A55" i="8"/>
  <c r="B54" i="8"/>
  <c r="B55" i="10"/>
  <c r="A56" i="10"/>
  <c r="AQ66" i="8"/>
  <c r="AQ15" i="8" s="1"/>
  <c r="AR67" i="8"/>
  <c r="AR67" i="6"/>
  <c r="AQ66" i="6"/>
  <c r="AR66" i="6" l="1"/>
  <c r="AS67" i="6"/>
  <c r="AS66" i="2"/>
  <c r="AT67" i="2"/>
  <c r="A58" i="9"/>
  <c r="B57" i="9"/>
  <c r="AV55" i="2"/>
  <c r="A56" i="2"/>
  <c r="AW55" i="2"/>
  <c r="AZ55" i="2"/>
  <c r="AX55" i="2"/>
  <c r="AY55" i="2"/>
  <c r="AU55" i="2"/>
  <c r="AS55" i="2"/>
  <c r="AO55" i="2"/>
  <c r="AK55" i="2"/>
  <c r="AT55" i="2"/>
  <c r="AP55" i="2"/>
  <c r="AL55" i="2"/>
  <c r="C55" i="2"/>
  <c r="AQ55" i="2"/>
  <c r="AM55" i="2"/>
  <c r="AR55" i="2"/>
  <c r="AN55" i="2"/>
  <c r="AJ55" i="2"/>
  <c r="AI55" i="2"/>
  <c r="AE55" i="2"/>
  <c r="AF55" i="2"/>
  <c r="AA55" i="2"/>
  <c r="AG55" i="2"/>
  <c r="AC55" i="2"/>
  <c r="AH55" i="2"/>
  <c r="AD55" i="2"/>
  <c r="AB55" i="2"/>
  <c r="Y55" i="2"/>
  <c r="U55" i="2"/>
  <c r="Q55" i="2"/>
  <c r="M55" i="2"/>
  <c r="Z55" i="2"/>
  <c r="V55" i="2"/>
  <c r="R55" i="2"/>
  <c r="N55" i="2"/>
  <c r="J55" i="2"/>
  <c r="F55" i="2"/>
  <c r="D55" i="2"/>
  <c r="W55" i="2"/>
  <c r="S55" i="2"/>
  <c r="O55" i="2"/>
  <c r="K55" i="2"/>
  <c r="G55" i="2"/>
  <c r="B55" i="2"/>
  <c r="X55" i="2"/>
  <c r="T55" i="2"/>
  <c r="H55" i="2"/>
  <c r="P55" i="2"/>
  <c r="L55" i="2"/>
  <c r="I55" i="2"/>
  <c r="E55" i="2"/>
  <c r="A63" i="1"/>
  <c r="B62" i="1"/>
  <c r="BA62" i="1" s="1"/>
  <c r="AV56" i="6"/>
  <c r="AY56" i="6"/>
  <c r="AW56" i="6"/>
  <c r="AT56" i="6"/>
  <c r="AP56" i="6"/>
  <c r="AL56" i="6"/>
  <c r="AS56" i="6"/>
  <c r="AX56" i="6"/>
  <c r="AU56" i="6"/>
  <c r="AM56" i="6"/>
  <c r="AR56" i="6"/>
  <c r="AQ56" i="6"/>
  <c r="AN56" i="6"/>
  <c r="AG56" i="6"/>
  <c r="AC56" i="6"/>
  <c r="AO56" i="6"/>
  <c r="AJ56" i="6"/>
  <c r="AF56" i="6"/>
  <c r="AB56" i="6"/>
  <c r="AZ56" i="6"/>
  <c r="AK56" i="6"/>
  <c r="AI56" i="6"/>
  <c r="AE56" i="6"/>
  <c r="AH56" i="6"/>
  <c r="AA56" i="6"/>
  <c r="W56" i="6"/>
  <c r="S56" i="6"/>
  <c r="O56" i="6"/>
  <c r="K56" i="6"/>
  <c r="G56" i="6"/>
  <c r="AD56" i="6"/>
  <c r="Z56" i="6"/>
  <c r="V56" i="6"/>
  <c r="R56" i="6"/>
  <c r="N56" i="6"/>
  <c r="J56" i="6"/>
  <c r="F56" i="6"/>
  <c r="Y56" i="6"/>
  <c r="U56" i="6"/>
  <c r="Q56" i="6"/>
  <c r="M56" i="6"/>
  <c r="I56" i="6"/>
  <c r="E56" i="6"/>
  <c r="T56" i="6"/>
  <c r="P56" i="6"/>
  <c r="L56" i="6"/>
  <c r="H56" i="6"/>
  <c r="C56" i="6"/>
  <c r="D56" i="6"/>
  <c r="A57" i="6"/>
  <c r="X56" i="6"/>
  <c r="B56" i="6"/>
  <c r="AY55" i="7"/>
  <c r="AU55" i="7"/>
  <c r="A56" i="7"/>
  <c r="AZ55" i="7"/>
  <c r="AV55" i="7"/>
  <c r="C55" i="7"/>
  <c r="AW55" i="7"/>
  <c r="AR55" i="7"/>
  <c r="AN55" i="7"/>
  <c r="AJ55" i="7"/>
  <c r="AX55" i="7"/>
  <c r="AS55" i="7"/>
  <c r="AO55" i="7"/>
  <c r="AK55" i="7"/>
  <c r="AT55" i="7"/>
  <c r="AP55" i="7"/>
  <c r="AL55" i="7"/>
  <c r="AH55" i="7"/>
  <c r="AQ55" i="7"/>
  <c r="AM55" i="7"/>
  <c r="AI55" i="7"/>
  <c r="AE55" i="7"/>
  <c r="AF55" i="7"/>
  <c r="AD55" i="7"/>
  <c r="AB55" i="7"/>
  <c r="AC55" i="7"/>
  <c r="X55" i="7"/>
  <c r="T55" i="7"/>
  <c r="P55" i="7"/>
  <c r="L55" i="7"/>
  <c r="Y55" i="7"/>
  <c r="U55" i="7"/>
  <c r="Q55" i="7"/>
  <c r="M55" i="7"/>
  <c r="I55" i="7"/>
  <c r="E55" i="7"/>
  <c r="D55" i="7"/>
  <c r="AG55" i="7"/>
  <c r="AA55" i="7"/>
  <c r="Z55" i="7"/>
  <c r="V55" i="7"/>
  <c r="R55" i="7"/>
  <c r="N55" i="7"/>
  <c r="J55" i="7"/>
  <c r="W55" i="7"/>
  <c r="S55" i="7"/>
  <c r="O55" i="7"/>
  <c r="K55" i="7"/>
  <c r="G55" i="7"/>
  <c r="F55" i="7"/>
  <c r="H55" i="7"/>
  <c r="B55" i="7"/>
  <c r="AS67" i="8"/>
  <c r="AR66" i="8"/>
  <c r="AR15" i="8" s="1"/>
  <c r="B56" i="10"/>
  <c r="A57" i="10"/>
  <c r="AZ55" i="8"/>
  <c r="A56" i="8"/>
  <c r="B55" i="8"/>
  <c r="AT67" i="9"/>
  <c r="AS66" i="9"/>
  <c r="AS67" i="10"/>
  <c r="AR66" i="10"/>
  <c r="AR66" i="7"/>
  <c r="AS67" i="7"/>
  <c r="AU67" i="9" l="1"/>
  <c r="AT66" i="9"/>
  <c r="A58" i="10"/>
  <c r="B57" i="10"/>
  <c r="AX56" i="2"/>
  <c r="AY56" i="2"/>
  <c r="C56" i="2"/>
  <c r="A57" i="2"/>
  <c r="AV56" i="2"/>
  <c r="AQ56" i="2"/>
  <c r="AM56" i="2"/>
  <c r="AR56" i="2"/>
  <c r="AN56" i="2"/>
  <c r="AZ56" i="2"/>
  <c r="AW56" i="2"/>
  <c r="AS56" i="2"/>
  <c r="AO56" i="2"/>
  <c r="AK56" i="2"/>
  <c r="AG56" i="2"/>
  <c r="AH56" i="2"/>
  <c r="AU56" i="2"/>
  <c r="AC56" i="2"/>
  <c r="AA56" i="2"/>
  <c r="AJ56" i="2"/>
  <c r="AI56" i="2"/>
  <c r="AE56" i="2"/>
  <c r="AB56" i="2"/>
  <c r="AT56" i="2"/>
  <c r="AF56" i="2"/>
  <c r="W56" i="2"/>
  <c r="S56" i="2"/>
  <c r="O56" i="2"/>
  <c r="K56" i="2"/>
  <c r="X56" i="2"/>
  <c r="T56" i="2"/>
  <c r="P56" i="2"/>
  <c r="L56" i="2"/>
  <c r="H56" i="2"/>
  <c r="AL56" i="2"/>
  <c r="AD56" i="2"/>
  <c r="Y56" i="2"/>
  <c r="U56" i="2"/>
  <c r="Q56" i="2"/>
  <c r="M56" i="2"/>
  <c r="AP56" i="2"/>
  <c r="I56" i="2"/>
  <c r="E56" i="2"/>
  <c r="D56" i="2"/>
  <c r="Z56" i="2"/>
  <c r="V56" i="2"/>
  <c r="R56" i="2"/>
  <c r="N56" i="2"/>
  <c r="J56" i="2"/>
  <c r="G56" i="2"/>
  <c r="F56" i="2"/>
  <c r="B56" i="2"/>
  <c r="AU67" i="2"/>
  <c r="AT66" i="2"/>
  <c r="AW56" i="7"/>
  <c r="C56" i="7"/>
  <c r="AX56" i="7"/>
  <c r="A57" i="7"/>
  <c r="AZ56" i="7"/>
  <c r="AY56" i="7"/>
  <c r="AU56" i="7"/>
  <c r="AT56" i="7"/>
  <c r="AP56" i="7"/>
  <c r="AL56" i="7"/>
  <c r="AQ56" i="7"/>
  <c r="AM56" i="7"/>
  <c r="AV56" i="7"/>
  <c r="AR56" i="7"/>
  <c r="AN56" i="7"/>
  <c r="AJ56" i="7"/>
  <c r="AF56" i="7"/>
  <c r="AG56" i="7"/>
  <c r="AH56" i="7"/>
  <c r="AB56" i="7"/>
  <c r="AS56" i="7"/>
  <c r="AO56" i="7"/>
  <c r="AK56" i="7"/>
  <c r="AI56" i="7"/>
  <c r="AE56" i="7"/>
  <c r="AD56" i="7"/>
  <c r="AA56" i="7"/>
  <c r="Z56" i="7"/>
  <c r="V56" i="7"/>
  <c r="R56" i="7"/>
  <c r="N56" i="7"/>
  <c r="J56" i="7"/>
  <c r="W56" i="7"/>
  <c r="S56" i="7"/>
  <c r="O56" i="7"/>
  <c r="K56" i="7"/>
  <c r="G56" i="7"/>
  <c r="AC56" i="7"/>
  <c r="X56" i="7"/>
  <c r="T56" i="7"/>
  <c r="P56" i="7"/>
  <c r="L56" i="7"/>
  <c r="I56" i="7"/>
  <c r="E56" i="7"/>
  <c r="B56" i="7"/>
  <c r="Y56" i="7"/>
  <c r="U56" i="7"/>
  <c r="Q56" i="7"/>
  <c r="M56" i="7"/>
  <c r="D56" i="7"/>
  <c r="H56" i="7"/>
  <c r="F56" i="7"/>
  <c r="A64" i="1"/>
  <c r="B63" i="1"/>
  <c r="BA63" i="1" s="1"/>
  <c r="AT67" i="7"/>
  <c r="AS66" i="7"/>
  <c r="AT67" i="10"/>
  <c r="AS66" i="10"/>
  <c r="AZ56" i="8"/>
  <c r="A57" i="8"/>
  <c r="B56" i="8"/>
  <c r="AZ57" i="6"/>
  <c r="AY57" i="6"/>
  <c r="AX57" i="6"/>
  <c r="AV57" i="6"/>
  <c r="AS57" i="6"/>
  <c r="AO57" i="6"/>
  <c r="AK57" i="6"/>
  <c r="AR57" i="6"/>
  <c r="AW57" i="6"/>
  <c r="AT57" i="6"/>
  <c r="AQ57" i="6"/>
  <c r="AP57" i="6"/>
  <c r="AM57" i="6"/>
  <c r="AJ57" i="6"/>
  <c r="AF57" i="6"/>
  <c r="AB57" i="6"/>
  <c r="AL57" i="6"/>
  <c r="AI57" i="6"/>
  <c r="AE57" i="6"/>
  <c r="AU57" i="6"/>
  <c r="AH57" i="6"/>
  <c r="AD57" i="6"/>
  <c r="AG57" i="6"/>
  <c r="Z57" i="6"/>
  <c r="V57" i="6"/>
  <c r="R57" i="6"/>
  <c r="N57" i="6"/>
  <c r="J57" i="6"/>
  <c r="F57" i="6"/>
  <c r="AC57" i="6"/>
  <c r="Y57" i="6"/>
  <c r="U57" i="6"/>
  <c r="Q57" i="6"/>
  <c r="M57" i="6"/>
  <c r="I57" i="6"/>
  <c r="E57" i="6"/>
  <c r="AN57" i="6"/>
  <c r="X57" i="6"/>
  <c r="T57" i="6"/>
  <c r="P57" i="6"/>
  <c r="L57" i="6"/>
  <c r="H57" i="6"/>
  <c r="D57" i="6"/>
  <c r="S57" i="6"/>
  <c r="A58" i="6"/>
  <c r="O57" i="6"/>
  <c r="AA57" i="6"/>
  <c r="K57" i="6"/>
  <c r="C57" i="6"/>
  <c r="W57" i="6"/>
  <c r="G57" i="6"/>
  <c r="B57" i="6"/>
  <c r="AT67" i="6"/>
  <c r="AS66" i="6"/>
  <c r="AS66" i="8"/>
  <c r="AS15" i="8" s="1"/>
  <c r="AT67" i="8"/>
  <c r="B58" i="9"/>
  <c r="A59" i="9"/>
  <c r="AU67" i="8" l="1"/>
  <c r="AT66" i="8"/>
  <c r="AT15" i="8" s="1"/>
  <c r="AU67" i="6"/>
  <c r="AT66" i="6"/>
  <c r="AZ58" i="6"/>
  <c r="AX58" i="6"/>
  <c r="AW58" i="6"/>
  <c r="AR58" i="6"/>
  <c r="AN58" i="6"/>
  <c r="AU58" i="6"/>
  <c r="AV58" i="6"/>
  <c r="AS58" i="6"/>
  <c r="AP58" i="6"/>
  <c r="AO58" i="6"/>
  <c r="AY58" i="6"/>
  <c r="AQ58" i="6"/>
  <c r="AL58" i="6"/>
  <c r="AI58" i="6"/>
  <c r="AE58" i="6"/>
  <c r="AK58" i="6"/>
  <c r="AH58" i="6"/>
  <c r="AD58" i="6"/>
  <c r="AT58" i="6"/>
  <c r="AG58" i="6"/>
  <c r="AC58" i="6"/>
  <c r="AF58" i="6"/>
  <c r="Y58" i="6"/>
  <c r="U58" i="6"/>
  <c r="Q58" i="6"/>
  <c r="M58" i="6"/>
  <c r="I58" i="6"/>
  <c r="E58" i="6"/>
  <c r="AB58" i="6"/>
  <c r="X58" i="6"/>
  <c r="T58" i="6"/>
  <c r="P58" i="6"/>
  <c r="L58" i="6"/>
  <c r="H58" i="6"/>
  <c r="AA58" i="6"/>
  <c r="W58" i="6"/>
  <c r="S58" i="6"/>
  <c r="O58" i="6"/>
  <c r="K58" i="6"/>
  <c r="G58" i="6"/>
  <c r="R58" i="6"/>
  <c r="N58" i="6"/>
  <c r="C58" i="6"/>
  <c r="A59" i="6"/>
  <c r="AJ58" i="6"/>
  <c r="Z58" i="6"/>
  <c r="J58" i="6"/>
  <c r="D58" i="6"/>
  <c r="AM58" i="6"/>
  <c r="V58" i="6"/>
  <c r="F58" i="6"/>
  <c r="B58" i="6"/>
  <c r="AZ57" i="2"/>
  <c r="AV57" i="2"/>
  <c r="C57" i="2"/>
  <c r="AW57" i="2"/>
  <c r="AX57" i="2"/>
  <c r="A58" i="2"/>
  <c r="AS57" i="2"/>
  <c r="AO57" i="2"/>
  <c r="AK57" i="2"/>
  <c r="AT57" i="2"/>
  <c r="AP57" i="2"/>
  <c r="AL57" i="2"/>
  <c r="AU57" i="2"/>
  <c r="AQ57" i="2"/>
  <c r="AM57" i="2"/>
  <c r="AY57" i="2"/>
  <c r="AI57" i="2"/>
  <c r="AE57" i="2"/>
  <c r="AF57" i="2"/>
  <c r="AR57" i="2"/>
  <c r="AN57" i="2"/>
  <c r="AG57" i="2"/>
  <c r="AA57" i="2"/>
  <c r="AJ57" i="2"/>
  <c r="AC57" i="2"/>
  <c r="AD57" i="2"/>
  <c r="Y57" i="2"/>
  <c r="U57" i="2"/>
  <c r="Q57" i="2"/>
  <c r="M57" i="2"/>
  <c r="Z57" i="2"/>
  <c r="V57" i="2"/>
  <c r="R57" i="2"/>
  <c r="N57" i="2"/>
  <c r="J57" i="2"/>
  <c r="F57" i="2"/>
  <c r="AH57" i="2"/>
  <c r="W57" i="2"/>
  <c r="S57" i="2"/>
  <c r="O57" i="2"/>
  <c r="K57" i="2"/>
  <c r="AB57" i="2"/>
  <c r="I57" i="2"/>
  <c r="D57" i="2"/>
  <c r="G57" i="2"/>
  <c r="B57" i="2"/>
  <c r="E57" i="2"/>
  <c r="X57" i="2"/>
  <c r="T57" i="2"/>
  <c r="P57" i="2"/>
  <c r="L57" i="2"/>
  <c r="H57" i="2"/>
  <c r="AT66" i="10"/>
  <c r="AU67" i="10"/>
  <c r="A65" i="1"/>
  <c r="B65" i="1" s="1"/>
  <c r="B64" i="1"/>
  <c r="BA64" i="1" s="1"/>
  <c r="A59" i="10"/>
  <c r="B58" i="10"/>
  <c r="B59" i="9"/>
  <c r="A60" i="9"/>
  <c r="AZ57" i="8"/>
  <c r="A58" i="8"/>
  <c r="B57" i="8"/>
  <c r="C57" i="7"/>
  <c r="AY57" i="7"/>
  <c r="AU57" i="7"/>
  <c r="AV57" i="7"/>
  <c r="AW57" i="7"/>
  <c r="A58" i="7"/>
  <c r="AX57" i="7"/>
  <c r="AR57" i="7"/>
  <c r="AN57" i="7"/>
  <c r="AJ57" i="7"/>
  <c r="AS57" i="7"/>
  <c r="AO57" i="7"/>
  <c r="AK57" i="7"/>
  <c r="AT57" i="7"/>
  <c r="AP57" i="7"/>
  <c r="AL57" i="7"/>
  <c r="AQ57" i="7"/>
  <c r="AM57" i="7"/>
  <c r="AH57" i="7"/>
  <c r="AI57" i="7"/>
  <c r="AE57" i="7"/>
  <c r="AZ57" i="7"/>
  <c r="AD57" i="7"/>
  <c r="AF57" i="7"/>
  <c r="AB57" i="7"/>
  <c r="AG57" i="7"/>
  <c r="AC57" i="7"/>
  <c r="AA57" i="7"/>
  <c r="X57" i="7"/>
  <c r="T57" i="7"/>
  <c r="P57" i="7"/>
  <c r="L57" i="7"/>
  <c r="Y57" i="7"/>
  <c r="U57" i="7"/>
  <c r="Q57" i="7"/>
  <c r="M57" i="7"/>
  <c r="I57" i="7"/>
  <c r="E57" i="7"/>
  <c r="Z57" i="7"/>
  <c r="V57" i="7"/>
  <c r="R57" i="7"/>
  <c r="N57" i="7"/>
  <c r="J57" i="7"/>
  <c r="F57" i="7"/>
  <c r="K57" i="7"/>
  <c r="G57" i="7"/>
  <c r="W57" i="7"/>
  <c r="S57" i="7"/>
  <c r="O57" i="7"/>
  <c r="D57" i="7"/>
  <c r="H57" i="7"/>
  <c r="B57" i="7"/>
  <c r="AU67" i="7"/>
  <c r="AT66" i="7"/>
  <c r="AV67" i="2"/>
  <c r="AU66" i="2"/>
  <c r="AV67" i="9"/>
  <c r="AU66" i="9"/>
  <c r="B60" i="9" l="1"/>
  <c r="A61" i="9"/>
  <c r="AW59" i="6"/>
  <c r="AV59" i="6"/>
  <c r="AU59" i="6"/>
  <c r="AQ59" i="6"/>
  <c r="AM59" i="6"/>
  <c r="AZ59" i="6"/>
  <c r="AY59" i="6"/>
  <c r="AT59" i="6"/>
  <c r="AR59" i="6"/>
  <c r="AO59" i="6"/>
  <c r="AN59" i="6"/>
  <c r="AK59" i="6"/>
  <c r="AH59" i="6"/>
  <c r="AD59" i="6"/>
  <c r="AG59" i="6"/>
  <c r="AC59" i="6"/>
  <c r="AS59" i="6"/>
  <c r="AP59" i="6"/>
  <c r="AJ59" i="6"/>
  <c r="AF59" i="6"/>
  <c r="AB59" i="6"/>
  <c r="AE59" i="6"/>
  <c r="X59" i="6"/>
  <c r="T59" i="6"/>
  <c r="P59" i="6"/>
  <c r="L59" i="6"/>
  <c r="H59" i="6"/>
  <c r="D59" i="6"/>
  <c r="AA59" i="6"/>
  <c r="W59" i="6"/>
  <c r="S59" i="6"/>
  <c r="O59" i="6"/>
  <c r="K59" i="6"/>
  <c r="G59" i="6"/>
  <c r="AL59" i="6"/>
  <c r="Z59" i="6"/>
  <c r="V59" i="6"/>
  <c r="R59" i="6"/>
  <c r="N59" i="6"/>
  <c r="J59" i="6"/>
  <c r="F59" i="6"/>
  <c r="Q59" i="6"/>
  <c r="C59" i="6"/>
  <c r="AI59" i="6"/>
  <c r="M59" i="6"/>
  <c r="AX59" i="6"/>
  <c r="Y59" i="6"/>
  <c r="I59" i="6"/>
  <c r="A60" i="6"/>
  <c r="U59" i="6"/>
  <c r="E59" i="6"/>
  <c r="B59" i="6"/>
  <c r="AV66" i="2"/>
  <c r="AW67" i="2"/>
  <c r="AV67" i="6"/>
  <c r="AU66" i="6"/>
  <c r="AZ58" i="8"/>
  <c r="A59" i="8"/>
  <c r="B58" i="8"/>
  <c r="AV67" i="10"/>
  <c r="AU66" i="10"/>
  <c r="C58" i="2"/>
  <c r="A59" i="2"/>
  <c r="AX58" i="2"/>
  <c r="AZ58" i="2"/>
  <c r="AY58" i="2"/>
  <c r="AV58" i="2"/>
  <c r="AQ58" i="2"/>
  <c r="AM58" i="2"/>
  <c r="AW58" i="2"/>
  <c r="AU58" i="2"/>
  <c r="AR58" i="2"/>
  <c r="AN58" i="2"/>
  <c r="AS58" i="2"/>
  <c r="AO58" i="2"/>
  <c r="AK58" i="2"/>
  <c r="AG58" i="2"/>
  <c r="AT58" i="2"/>
  <c r="AP58" i="2"/>
  <c r="AL58" i="2"/>
  <c r="AJ58" i="2"/>
  <c r="AH58" i="2"/>
  <c r="AC58" i="2"/>
  <c r="AA58" i="2"/>
  <c r="AF58" i="2"/>
  <c r="AB58" i="2"/>
  <c r="W58" i="2"/>
  <c r="S58" i="2"/>
  <c r="O58" i="2"/>
  <c r="K58" i="2"/>
  <c r="AD58" i="2"/>
  <c r="X58" i="2"/>
  <c r="T58" i="2"/>
  <c r="P58" i="2"/>
  <c r="L58" i="2"/>
  <c r="H58" i="2"/>
  <c r="AE58" i="2"/>
  <c r="Y58" i="2"/>
  <c r="U58" i="2"/>
  <c r="Q58" i="2"/>
  <c r="M58" i="2"/>
  <c r="Z58" i="2"/>
  <c r="V58" i="2"/>
  <c r="R58" i="2"/>
  <c r="N58" i="2"/>
  <c r="J58" i="2"/>
  <c r="G58" i="2"/>
  <c r="D58" i="2"/>
  <c r="I58" i="2"/>
  <c r="E58" i="2"/>
  <c r="B58" i="2"/>
  <c r="AI58" i="2"/>
  <c r="F58" i="2"/>
  <c r="AW67" i="9"/>
  <c r="AV66" i="9"/>
  <c r="AU66" i="7"/>
  <c r="AV67" i="7"/>
  <c r="A59" i="7"/>
  <c r="AZ58" i="7"/>
  <c r="AW58" i="7"/>
  <c r="AX58" i="7"/>
  <c r="AY58" i="7"/>
  <c r="AU58" i="7"/>
  <c r="AT58" i="7"/>
  <c r="AP58" i="7"/>
  <c r="AL58" i="7"/>
  <c r="C58" i="7"/>
  <c r="AV58" i="7"/>
  <c r="AQ58" i="7"/>
  <c r="AM58" i="7"/>
  <c r="AR58" i="7"/>
  <c r="AN58" i="7"/>
  <c r="AJ58" i="7"/>
  <c r="AF58" i="7"/>
  <c r="AS58" i="7"/>
  <c r="AO58" i="7"/>
  <c r="AK58" i="7"/>
  <c r="AG58" i="7"/>
  <c r="AI58" i="7"/>
  <c r="AE58" i="7"/>
  <c r="AB58" i="7"/>
  <c r="AH58" i="7"/>
  <c r="AD58" i="7"/>
  <c r="AA58" i="7"/>
  <c r="Z58" i="7"/>
  <c r="V58" i="7"/>
  <c r="R58" i="7"/>
  <c r="N58" i="7"/>
  <c r="J58" i="7"/>
  <c r="AC58" i="7"/>
  <c r="W58" i="7"/>
  <c r="S58" i="7"/>
  <c r="O58" i="7"/>
  <c r="K58" i="7"/>
  <c r="G58" i="7"/>
  <c r="X58" i="7"/>
  <c r="T58" i="7"/>
  <c r="P58" i="7"/>
  <c r="L58" i="7"/>
  <c r="Y58" i="7"/>
  <c r="U58" i="7"/>
  <c r="Q58" i="7"/>
  <c r="M58" i="7"/>
  <c r="H58" i="7"/>
  <c r="D58" i="7"/>
  <c r="F58" i="7"/>
  <c r="I58" i="7"/>
  <c r="E58" i="7"/>
  <c r="B58" i="7"/>
  <c r="B59" i="10"/>
  <c r="A60" i="10"/>
  <c r="AU66" i="8"/>
  <c r="AU15" i="8" s="1"/>
  <c r="AV67" i="8"/>
  <c r="AV66" i="7" l="1"/>
  <c r="AW67" i="7"/>
  <c r="AZ59" i="8"/>
  <c r="A60" i="8"/>
  <c r="B59" i="8"/>
  <c r="AW66" i="2"/>
  <c r="AX67" i="2"/>
  <c r="A61" i="10"/>
  <c r="B60" i="10"/>
  <c r="AV60" i="6"/>
  <c r="AZ60" i="6"/>
  <c r="AY60" i="6"/>
  <c r="AT60" i="6"/>
  <c r="AP60" i="6"/>
  <c r="AL60" i="6"/>
  <c r="AX60" i="6"/>
  <c r="AS60" i="6"/>
  <c r="AN60" i="6"/>
  <c r="AW60" i="6"/>
  <c r="AO60" i="6"/>
  <c r="AG60" i="6"/>
  <c r="AC60" i="6"/>
  <c r="AU60" i="6"/>
  <c r="AJ60" i="6"/>
  <c r="AF60" i="6"/>
  <c r="AB60" i="6"/>
  <c r="AR60" i="6"/>
  <c r="AM60" i="6"/>
  <c r="AI60" i="6"/>
  <c r="AE60" i="6"/>
  <c r="AQ60" i="6"/>
  <c r="AD60" i="6"/>
  <c r="AA60" i="6"/>
  <c r="W60" i="6"/>
  <c r="S60" i="6"/>
  <c r="O60" i="6"/>
  <c r="K60" i="6"/>
  <c r="G60" i="6"/>
  <c r="Z60" i="6"/>
  <c r="V60" i="6"/>
  <c r="R60" i="6"/>
  <c r="N60" i="6"/>
  <c r="J60" i="6"/>
  <c r="F60" i="6"/>
  <c r="Y60" i="6"/>
  <c r="U60" i="6"/>
  <c r="Q60" i="6"/>
  <c r="M60" i="6"/>
  <c r="I60" i="6"/>
  <c r="E60" i="6"/>
  <c r="AH60" i="6"/>
  <c r="P60" i="6"/>
  <c r="L60" i="6"/>
  <c r="D60" i="6"/>
  <c r="X60" i="6"/>
  <c r="H60" i="6"/>
  <c r="AK60" i="6"/>
  <c r="A61" i="6"/>
  <c r="T60" i="6"/>
  <c r="C60" i="6"/>
  <c r="B60" i="6"/>
  <c r="AV66" i="10"/>
  <c r="AW67" i="10"/>
  <c r="A62" i="9"/>
  <c r="B61" i="9"/>
  <c r="AW67" i="8"/>
  <c r="AV66" i="8"/>
  <c r="AV15" i="8" s="1"/>
  <c r="AY59" i="7"/>
  <c r="AU59" i="7"/>
  <c r="A60" i="7"/>
  <c r="AZ59" i="7"/>
  <c r="AV59" i="7"/>
  <c r="C59" i="7"/>
  <c r="AW59" i="7"/>
  <c r="AR59" i="7"/>
  <c r="AN59" i="7"/>
  <c r="AJ59" i="7"/>
  <c r="AS59" i="7"/>
  <c r="AO59" i="7"/>
  <c r="AK59" i="7"/>
  <c r="AT59" i="7"/>
  <c r="AP59" i="7"/>
  <c r="AL59" i="7"/>
  <c r="AH59" i="7"/>
  <c r="AX59" i="7"/>
  <c r="AI59" i="7"/>
  <c r="AE59" i="7"/>
  <c r="AQ59" i="7"/>
  <c r="AM59" i="7"/>
  <c r="AF59" i="7"/>
  <c r="AD59" i="7"/>
  <c r="AB59" i="7"/>
  <c r="AC59" i="7"/>
  <c r="X59" i="7"/>
  <c r="T59" i="7"/>
  <c r="P59" i="7"/>
  <c r="L59" i="7"/>
  <c r="AG59" i="7"/>
  <c r="Y59" i="7"/>
  <c r="U59" i="7"/>
  <c r="Q59" i="7"/>
  <c r="M59" i="7"/>
  <c r="I59" i="7"/>
  <c r="E59" i="7"/>
  <c r="D59" i="7"/>
  <c r="Z59" i="7"/>
  <c r="V59" i="7"/>
  <c r="R59" i="7"/>
  <c r="N59" i="7"/>
  <c r="J59" i="7"/>
  <c r="AA59" i="7"/>
  <c r="F59" i="7"/>
  <c r="B59" i="7"/>
  <c r="W59" i="7"/>
  <c r="S59" i="7"/>
  <c r="O59" i="7"/>
  <c r="K59" i="7"/>
  <c r="G59" i="7"/>
  <c r="H59" i="7"/>
  <c r="AX67" i="9"/>
  <c r="AW66" i="9"/>
  <c r="AV59" i="2"/>
  <c r="A60" i="2"/>
  <c r="AW59" i="2"/>
  <c r="AZ59" i="2"/>
  <c r="AX59" i="2"/>
  <c r="AU59" i="2"/>
  <c r="AS59" i="2"/>
  <c r="AO59" i="2"/>
  <c r="AK59" i="2"/>
  <c r="C59" i="2"/>
  <c r="AT59" i="2"/>
  <c r="AP59" i="2"/>
  <c r="AL59" i="2"/>
  <c r="AY59" i="2"/>
  <c r="AQ59" i="2"/>
  <c r="AM59" i="2"/>
  <c r="AJ59" i="2"/>
  <c r="AI59" i="2"/>
  <c r="AE59" i="2"/>
  <c r="AF59" i="2"/>
  <c r="AA59" i="2"/>
  <c r="AG59" i="2"/>
  <c r="AC59" i="2"/>
  <c r="AR59" i="2"/>
  <c r="AN59" i="2"/>
  <c r="AH59" i="2"/>
  <c r="AD59" i="2"/>
  <c r="Y59" i="2"/>
  <c r="U59" i="2"/>
  <c r="Q59" i="2"/>
  <c r="M59" i="2"/>
  <c r="Z59" i="2"/>
  <c r="V59" i="2"/>
  <c r="R59" i="2"/>
  <c r="N59" i="2"/>
  <c r="J59" i="2"/>
  <c r="F59" i="2"/>
  <c r="D59" i="2"/>
  <c r="AB59" i="2"/>
  <c r="W59" i="2"/>
  <c r="S59" i="2"/>
  <c r="O59" i="2"/>
  <c r="K59" i="2"/>
  <c r="I59" i="2"/>
  <c r="E59" i="2"/>
  <c r="B59" i="2"/>
  <c r="X59" i="2"/>
  <c r="T59" i="2"/>
  <c r="P59" i="2"/>
  <c r="L59" i="2"/>
  <c r="H59" i="2"/>
  <c r="G59" i="2"/>
  <c r="AV66" i="6"/>
  <c r="AW67" i="6"/>
  <c r="AX67" i="6" l="1"/>
  <c r="AW66" i="6"/>
  <c r="AW60" i="7"/>
  <c r="C60" i="7"/>
  <c r="AX60" i="7"/>
  <c r="A61" i="7"/>
  <c r="AZ60" i="7"/>
  <c r="AY60" i="7"/>
  <c r="AU60" i="7"/>
  <c r="AV60" i="7"/>
  <c r="AT60" i="7"/>
  <c r="AP60" i="7"/>
  <c r="AL60" i="7"/>
  <c r="AQ60" i="7"/>
  <c r="AM60" i="7"/>
  <c r="AR60" i="7"/>
  <c r="AN60" i="7"/>
  <c r="AJ60" i="7"/>
  <c r="AS60" i="7"/>
  <c r="AO60" i="7"/>
  <c r="AK60" i="7"/>
  <c r="AF60" i="7"/>
  <c r="AG60" i="7"/>
  <c r="AH60" i="7"/>
  <c r="AB60" i="7"/>
  <c r="AI60" i="7"/>
  <c r="AE60" i="7"/>
  <c r="AD60" i="7"/>
  <c r="AA60" i="7"/>
  <c r="AC60" i="7"/>
  <c r="Z60" i="7"/>
  <c r="V60" i="7"/>
  <c r="R60" i="7"/>
  <c r="N60" i="7"/>
  <c r="J60" i="7"/>
  <c r="W60" i="7"/>
  <c r="S60" i="7"/>
  <c r="O60" i="7"/>
  <c r="K60" i="7"/>
  <c r="G60" i="7"/>
  <c r="X60" i="7"/>
  <c r="T60" i="7"/>
  <c r="P60" i="7"/>
  <c r="L60" i="7"/>
  <c r="F60" i="7"/>
  <c r="B60" i="7"/>
  <c r="M60" i="7"/>
  <c r="H60" i="7"/>
  <c r="D60" i="7"/>
  <c r="Y60" i="7"/>
  <c r="U60" i="7"/>
  <c r="Q60" i="7"/>
  <c r="I60" i="7"/>
  <c r="E60" i="7"/>
  <c r="AW66" i="8"/>
  <c r="AW15" i="8" s="1"/>
  <c r="AX67" i="8"/>
  <c r="A62" i="10"/>
  <c r="B61" i="10"/>
  <c r="AZ60" i="8"/>
  <c r="A61" i="8"/>
  <c r="B60" i="8"/>
  <c r="AZ61" i="6"/>
  <c r="AY61" i="6"/>
  <c r="AX61" i="6"/>
  <c r="AS61" i="6"/>
  <c r="AO61" i="6"/>
  <c r="AK61" i="6"/>
  <c r="AW61" i="6"/>
  <c r="AR61" i="6"/>
  <c r="AM61" i="6"/>
  <c r="AU61" i="6"/>
  <c r="AQ61" i="6"/>
  <c r="AJ61" i="6"/>
  <c r="AF61" i="6"/>
  <c r="AB61" i="6"/>
  <c r="AT61" i="6"/>
  <c r="AP61" i="6"/>
  <c r="AI61" i="6"/>
  <c r="AE61" i="6"/>
  <c r="AV61" i="6"/>
  <c r="AN61" i="6"/>
  <c r="AL61" i="6"/>
  <c r="AH61" i="6"/>
  <c r="AD61" i="6"/>
  <c r="AC61" i="6"/>
  <c r="Z61" i="6"/>
  <c r="V61" i="6"/>
  <c r="R61" i="6"/>
  <c r="N61" i="6"/>
  <c r="J61" i="6"/>
  <c r="F61" i="6"/>
  <c r="Y61" i="6"/>
  <c r="U61" i="6"/>
  <c r="Q61" i="6"/>
  <c r="M61" i="6"/>
  <c r="I61" i="6"/>
  <c r="E61" i="6"/>
  <c r="X61" i="6"/>
  <c r="T61" i="6"/>
  <c r="P61" i="6"/>
  <c r="L61" i="6"/>
  <c r="H61" i="6"/>
  <c r="D61" i="6"/>
  <c r="O61" i="6"/>
  <c r="A62" i="6"/>
  <c r="AA61" i="6"/>
  <c r="K61" i="6"/>
  <c r="W61" i="6"/>
  <c r="G61" i="6"/>
  <c r="C61" i="6"/>
  <c r="AG61" i="6"/>
  <c r="S61" i="6"/>
  <c r="B61" i="6"/>
  <c r="AY67" i="2"/>
  <c r="AX66" i="2"/>
  <c r="AX66" i="9"/>
  <c r="AY67" i="9"/>
  <c r="B62" i="9"/>
  <c r="A63" i="9"/>
  <c r="AX67" i="7"/>
  <c r="AW66" i="7"/>
  <c r="AX60" i="2"/>
  <c r="AY60" i="2"/>
  <c r="C60" i="2"/>
  <c r="A61" i="2"/>
  <c r="AV60" i="2"/>
  <c r="AW60" i="2"/>
  <c r="AQ60" i="2"/>
  <c r="AM60" i="2"/>
  <c r="AR60" i="2"/>
  <c r="AN60" i="2"/>
  <c r="AS60" i="2"/>
  <c r="AO60" i="2"/>
  <c r="AK60" i="2"/>
  <c r="AT60" i="2"/>
  <c r="AP60" i="2"/>
  <c r="AL60" i="2"/>
  <c r="AG60" i="2"/>
  <c r="AH60" i="2"/>
  <c r="AZ60" i="2"/>
  <c r="AC60" i="2"/>
  <c r="AA60" i="2"/>
  <c r="AI60" i="2"/>
  <c r="AE60" i="2"/>
  <c r="AB60" i="2"/>
  <c r="AD60" i="2"/>
  <c r="W60" i="2"/>
  <c r="S60" i="2"/>
  <c r="O60" i="2"/>
  <c r="K60" i="2"/>
  <c r="AJ60" i="2"/>
  <c r="X60" i="2"/>
  <c r="T60" i="2"/>
  <c r="P60" i="2"/>
  <c r="L60" i="2"/>
  <c r="H60" i="2"/>
  <c r="Y60" i="2"/>
  <c r="U60" i="2"/>
  <c r="Q60" i="2"/>
  <c r="M60" i="2"/>
  <c r="AF60" i="2"/>
  <c r="F60" i="2"/>
  <c r="E60" i="2"/>
  <c r="Z60" i="2"/>
  <c r="V60" i="2"/>
  <c r="R60" i="2"/>
  <c r="G60" i="2"/>
  <c r="D60" i="2"/>
  <c r="AU60" i="2"/>
  <c r="I60" i="2"/>
  <c r="N60" i="2"/>
  <c r="J60" i="2"/>
  <c r="B60" i="2"/>
  <c r="AX67" i="10"/>
  <c r="AW66" i="10"/>
  <c r="B63" i="9" l="1"/>
  <c r="A64" i="9"/>
  <c r="AZ62" i="6"/>
  <c r="AX62" i="6"/>
  <c r="AW62" i="6"/>
  <c r="AY62" i="6"/>
  <c r="AR62" i="6"/>
  <c r="AN62" i="6"/>
  <c r="AV62" i="6"/>
  <c r="AU62" i="6"/>
  <c r="AQ62" i="6"/>
  <c r="AT62" i="6"/>
  <c r="AP62" i="6"/>
  <c r="AI62" i="6"/>
  <c r="AE62" i="6"/>
  <c r="AS62" i="6"/>
  <c r="AM62" i="6"/>
  <c r="AL62" i="6"/>
  <c r="AH62" i="6"/>
  <c r="AD62" i="6"/>
  <c r="AK62" i="6"/>
  <c r="AG62" i="6"/>
  <c r="AC62" i="6"/>
  <c r="AB62" i="6"/>
  <c r="Y62" i="6"/>
  <c r="U62" i="6"/>
  <c r="Q62" i="6"/>
  <c r="M62" i="6"/>
  <c r="I62" i="6"/>
  <c r="E62" i="6"/>
  <c r="AO62" i="6"/>
  <c r="X62" i="6"/>
  <c r="T62" i="6"/>
  <c r="P62" i="6"/>
  <c r="L62" i="6"/>
  <c r="H62" i="6"/>
  <c r="AJ62" i="6"/>
  <c r="AA62" i="6"/>
  <c r="W62" i="6"/>
  <c r="S62" i="6"/>
  <c r="O62" i="6"/>
  <c r="K62" i="6"/>
  <c r="G62" i="6"/>
  <c r="N62" i="6"/>
  <c r="D62" i="6"/>
  <c r="Z62" i="6"/>
  <c r="J62" i="6"/>
  <c r="C62" i="6"/>
  <c r="A63" i="6"/>
  <c r="AF62" i="6"/>
  <c r="V62" i="6"/>
  <c r="F62" i="6"/>
  <c r="R62" i="6"/>
  <c r="B62" i="6"/>
  <c r="B62" i="10"/>
  <c r="A63" i="10"/>
  <c r="AY67" i="10"/>
  <c r="AX66" i="10"/>
  <c r="AZ61" i="8"/>
  <c r="A62" i="8"/>
  <c r="B61" i="8"/>
  <c r="C61" i="7"/>
  <c r="AY61" i="7"/>
  <c r="AU61" i="7"/>
  <c r="AV61" i="7"/>
  <c r="AW61" i="7"/>
  <c r="AZ61" i="7"/>
  <c r="AR61" i="7"/>
  <c r="AN61" i="7"/>
  <c r="AJ61" i="7"/>
  <c r="A62" i="7"/>
  <c r="AS61" i="7"/>
  <c r="AO61" i="7"/>
  <c r="AK61" i="7"/>
  <c r="AX61" i="7"/>
  <c r="AT61" i="7"/>
  <c r="AP61" i="7"/>
  <c r="AL61" i="7"/>
  <c r="AH61" i="7"/>
  <c r="AI61" i="7"/>
  <c r="AE61" i="7"/>
  <c r="AQ61" i="7"/>
  <c r="AM61" i="7"/>
  <c r="AD61" i="7"/>
  <c r="AF61" i="7"/>
  <c r="AB61" i="7"/>
  <c r="AG61" i="7"/>
  <c r="AC61" i="7"/>
  <c r="X61" i="7"/>
  <c r="T61" i="7"/>
  <c r="P61" i="7"/>
  <c r="L61" i="7"/>
  <c r="Y61" i="7"/>
  <c r="U61" i="7"/>
  <c r="Q61" i="7"/>
  <c r="M61" i="7"/>
  <c r="I61" i="7"/>
  <c r="E61" i="7"/>
  <c r="AA61" i="7"/>
  <c r="Z61" i="7"/>
  <c r="V61" i="7"/>
  <c r="R61" i="7"/>
  <c r="N61" i="7"/>
  <c r="J61" i="7"/>
  <c r="H61" i="7"/>
  <c r="D61" i="7"/>
  <c r="W61" i="7"/>
  <c r="S61" i="7"/>
  <c r="O61" i="7"/>
  <c r="K61" i="7"/>
  <c r="F61" i="7"/>
  <c r="G61" i="7"/>
  <c r="B61" i="7"/>
  <c r="AZ61" i="2"/>
  <c r="AV61" i="2"/>
  <c r="C61" i="2"/>
  <c r="AW61" i="2"/>
  <c r="AX61" i="2"/>
  <c r="AS61" i="2"/>
  <c r="AO61" i="2"/>
  <c r="AK61" i="2"/>
  <c r="A62" i="2"/>
  <c r="AY61" i="2"/>
  <c r="AT61" i="2"/>
  <c r="AP61" i="2"/>
  <c r="AL61" i="2"/>
  <c r="AU61" i="2"/>
  <c r="AQ61" i="2"/>
  <c r="AM61" i="2"/>
  <c r="AI61" i="2"/>
  <c r="AE61" i="2"/>
  <c r="AR61" i="2"/>
  <c r="AN61" i="2"/>
  <c r="AF61" i="2"/>
  <c r="AJ61" i="2"/>
  <c r="AG61" i="2"/>
  <c r="AA61" i="2"/>
  <c r="AC61" i="2"/>
  <c r="AD61" i="2"/>
  <c r="Y61" i="2"/>
  <c r="U61" i="2"/>
  <c r="Q61" i="2"/>
  <c r="M61" i="2"/>
  <c r="AH61" i="2"/>
  <c r="AB61" i="2"/>
  <c r="Z61" i="2"/>
  <c r="V61" i="2"/>
  <c r="R61" i="2"/>
  <c r="N61" i="2"/>
  <c r="J61" i="2"/>
  <c r="F61" i="2"/>
  <c r="W61" i="2"/>
  <c r="S61" i="2"/>
  <c r="O61" i="2"/>
  <c r="K61" i="2"/>
  <c r="X61" i="2"/>
  <c r="T61" i="2"/>
  <c r="P61" i="2"/>
  <c r="L61" i="2"/>
  <c r="H61" i="2"/>
  <c r="I61" i="2"/>
  <c r="E61" i="2"/>
  <c r="D61" i="2"/>
  <c r="G61" i="2"/>
  <c r="B61" i="2"/>
  <c r="AY66" i="9"/>
  <c r="AZ67" i="9"/>
  <c r="AZ67" i="2"/>
  <c r="AY66" i="2"/>
  <c r="AY67" i="6"/>
  <c r="AX66" i="6"/>
  <c r="AY67" i="7"/>
  <c r="AX66" i="7"/>
  <c r="AY67" i="8"/>
  <c r="AX66" i="8"/>
  <c r="AX15" i="8" s="1"/>
  <c r="AZ67" i="7" l="1"/>
  <c r="AY66" i="7"/>
  <c r="A64" i="10"/>
  <c r="B63" i="10"/>
  <c r="AZ66" i="9"/>
  <c r="BA67" i="9"/>
  <c r="BA66" i="9" s="1"/>
  <c r="A63" i="7"/>
  <c r="AZ62" i="7"/>
  <c r="AW62" i="7"/>
  <c r="AX62" i="7"/>
  <c r="AY62" i="7"/>
  <c r="AU62" i="7"/>
  <c r="C62" i="7"/>
  <c r="AT62" i="7"/>
  <c r="AP62" i="7"/>
  <c r="AL62" i="7"/>
  <c r="AQ62" i="7"/>
  <c r="AM62" i="7"/>
  <c r="AR62" i="7"/>
  <c r="AN62" i="7"/>
  <c r="AJ62" i="7"/>
  <c r="AF62" i="7"/>
  <c r="AG62" i="7"/>
  <c r="AV62" i="7"/>
  <c r="AS62" i="7"/>
  <c r="AO62" i="7"/>
  <c r="AK62" i="7"/>
  <c r="AI62" i="7"/>
  <c r="AE62" i="7"/>
  <c r="AB62" i="7"/>
  <c r="AH62" i="7"/>
  <c r="AD62" i="7"/>
  <c r="AA62" i="7"/>
  <c r="Z62" i="7"/>
  <c r="V62" i="7"/>
  <c r="R62" i="7"/>
  <c r="N62" i="7"/>
  <c r="J62" i="7"/>
  <c r="W62" i="7"/>
  <c r="S62" i="7"/>
  <c r="O62" i="7"/>
  <c r="K62" i="7"/>
  <c r="G62" i="7"/>
  <c r="X62" i="7"/>
  <c r="T62" i="7"/>
  <c r="P62" i="7"/>
  <c r="L62" i="7"/>
  <c r="B62" i="7"/>
  <c r="E62" i="7"/>
  <c r="D62" i="7"/>
  <c r="F62" i="7"/>
  <c r="AC62" i="7"/>
  <c r="Y62" i="7"/>
  <c r="U62" i="7"/>
  <c r="Q62" i="7"/>
  <c r="M62" i="7"/>
  <c r="H62" i="7"/>
  <c r="I62" i="7"/>
  <c r="AY66" i="10"/>
  <c r="AZ67" i="10"/>
  <c r="B64" i="9"/>
  <c r="A65" i="9"/>
  <c r="B65" i="9" s="1"/>
  <c r="C62" i="2"/>
  <c r="A63" i="2"/>
  <c r="AZ62" i="2"/>
  <c r="AX62" i="2"/>
  <c r="AY62" i="2"/>
  <c r="AV62" i="2"/>
  <c r="AQ62" i="2"/>
  <c r="AM62" i="2"/>
  <c r="AU62" i="2"/>
  <c r="AR62" i="2"/>
  <c r="AN62" i="2"/>
  <c r="AS62" i="2"/>
  <c r="AO62" i="2"/>
  <c r="AK62" i="2"/>
  <c r="AG62" i="2"/>
  <c r="AJ62" i="2"/>
  <c r="AH62" i="2"/>
  <c r="AT62" i="2"/>
  <c r="AP62" i="2"/>
  <c r="AL62" i="2"/>
  <c r="AC62" i="2"/>
  <c r="AA62" i="2"/>
  <c r="AW62" i="2"/>
  <c r="AF62" i="2"/>
  <c r="AB62" i="2"/>
  <c r="W62" i="2"/>
  <c r="S62" i="2"/>
  <c r="O62" i="2"/>
  <c r="K62" i="2"/>
  <c r="AE62" i="2"/>
  <c r="X62" i="2"/>
  <c r="T62" i="2"/>
  <c r="P62" i="2"/>
  <c r="L62" i="2"/>
  <c r="H62" i="2"/>
  <c r="AI62" i="2"/>
  <c r="Y62" i="2"/>
  <c r="U62" i="2"/>
  <c r="Q62" i="2"/>
  <c r="M62" i="2"/>
  <c r="AD62" i="2"/>
  <c r="F62" i="2"/>
  <c r="B62" i="2"/>
  <c r="I62" i="2"/>
  <c r="E62" i="2"/>
  <c r="D62" i="2"/>
  <c r="Z62" i="2"/>
  <c r="V62" i="2"/>
  <c r="R62" i="2"/>
  <c r="N62" i="2"/>
  <c r="J62" i="2"/>
  <c r="G62" i="2"/>
  <c r="AY66" i="8"/>
  <c r="AY15" i="8" s="1"/>
  <c r="AZ67" i="8"/>
  <c r="AZ67" i="6"/>
  <c r="AY66" i="6"/>
  <c r="AZ66" i="2"/>
  <c r="BA67" i="2"/>
  <c r="BA66" i="2" s="1"/>
  <c r="AZ62" i="8"/>
  <c r="A63" i="8"/>
  <c r="B62" i="8"/>
  <c r="AZ63" i="6"/>
  <c r="AW63" i="6"/>
  <c r="AV63" i="6"/>
  <c r="AX63" i="6"/>
  <c r="AU63" i="6"/>
  <c r="AQ63" i="6"/>
  <c r="AM63" i="6"/>
  <c r="AT63" i="6"/>
  <c r="AP63" i="6"/>
  <c r="AS63" i="6"/>
  <c r="AO63" i="6"/>
  <c r="AY63" i="6"/>
  <c r="AL63" i="6"/>
  <c r="AH63" i="6"/>
  <c r="AD63" i="6"/>
  <c r="AR63" i="6"/>
  <c r="AN63" i="6"/>
  <c r="AK63" i="6"/>
  <c r="AG63" i="6"/>
  <c r="AC63" i="6"/>
  <c r="AJ63" i="6"/>
  <c r="AF63" i="6"/>
  <c r="AB63" i="6"/>
  <c r="X63" i="6"/>
  <c r="T63" i="6"/>
  <c r="P63" i="6"/>
  <c r="L63" i="6"/>
  <c r="H63" i="6"/>
  <c r="D63" i="6"/>
  <c r="AA63" i="6"/>
  <c r="W63" i="6"/>
  <c r="S63" i="6"/>
  <c r="O63" i="6"/>
  <c r="K63" i="6"/>
  <c r="G63" i="6"/>
  <c r="AI63" i="6"/>
  <c r="Z63" i="6"/>
  <c r="V63" i="6"/>
  <c r="R63" i="6"/>
  <c r="N63" i="6"/>
  <c r="J63" i="6"/>
  <c r="F63" i="6"/>
  <c r="M63" i="6"/>
  <c r="C63" i="6"/>
  <c r="AE63" i="6"/>
  <c r="Y63" i="6"/>
  <c r="I63" i="6"/>
  <c r="U63" i="6"/>
  <c r="E63" i="6"/>
  <c r="A64" i="6"/>
  <c r="Q63" i="6"/>
  <c r="B63" i="6"/>
  <c r="AV64" i="6" l="1"/>
  <c r="AY64" i="6"/>
  <c r="AZ64" i="6"/>
  <c r="AW64" i="6"/>
  <c r="AT64" i="6"/>
  <c r="AP64" i="6"/>
  <c r="AL64" i="6"/>
  <c r="AS64" i="6"/>
  <c r="AU64" i="6"/>
  <c r="AO64" i="6"/>
  <c r="AR64" i="6"/>
  <c r="AN64" i="6"/>
  <c r="AX64" i="6"/>
  <c r="AM64" i="6"/>
  <c r="AK64" i="6"/>
  <c r="AG64" i="6"/>
  <c r="AC64" i="6"/>
  <c r="AJ64" i="6"/>
  <c r="AF64" i="6"/>
  <c r="AB64" i="6"/>
  <c r="AQ64" i="6"/>
  <c r="AI64" i="6"/>
  <c r="AE64" i="6"/>
  <c r="AA64" i="6"/>
  <c r="W64" i="6"/>
  <c r="S64" i="6"/>
  <c r="O64" i="6"/>
  <c r="K64" i="6"/>
  <c r="G64" i="6"/>
  <c r="C64" i="6"/>
  <c r="Z64" i="6"/>
  <c r="V64" i="6"/>
  <c r="R64" i="6"/>
  <c r="N64" i="6"/>
  <c r="J64" i="6"/>
  <c r="F64" i="6"/>
  <c r="AH64" i="6"/>
  <c r="Y64" i="6"/>
  <c r="U64" i="6"/>
  <c r="Q64" i="6"/>
  <c r="M64" i="6"/>
  <c r="I64" i="6"/>
  <c r="E64" i="6"/>
  <c r="AD64" i="6"/>
  <c r="L64" i="6"/>
  <c r="X64" i="6"/>
  <c r="H64" i="6"/>
  <c r="T64" i="6"/>
  <c r="D64" i="6"/>
  <c r="P64" i="6"/>
  <c r="A65" i="6"/>
  <c r="B65" i="6" s="1"/>
  <c r="B64" i="6"/>
  <c r="AY63" i="2"/>
  <c r="AU63" i="2"/>
  <c r="A64" i="2"/>
  <c r="AZ63" i="2"/>
  <c r="AV63" i="2"/>
  <c r="AW63" i="2"/>
  <c r="C63" i="2"/>
  <c r="AX63" i="2"/>
  <c r="AR63" i="2"/>
  <c r="AN63" i="2"/>
  <c r="AJ63" i="2"/>
  <c r="AS63" i="2"/>
  <c r="AO63" i="2"/>
  <c r="AK63" i="2"/>
  <c r="AT63" i="2"/>
  <c r="AP63" i="2"/>
  <c r="AL63" i="2"/>
  <c r="AQ63" i="2"/>
  <c r="AM63" i="2"/>
  <c r="AH63" i="2"/>
  <c r="AI63" i="2"/>
  <c r="AE63" i="2"/>
  <c r="AD63" i="2"/>
  <c r="AF63" i="2"/>
  <c r="AB63" i="2"/>
  <c r="AG63" i="2"/>
  <c r="AC63" i="2"/>
  <c r="AA63" i="2"/>
  <c r="X63" i="2"/>
  <c r="T63" i="2"/>
  <c r="P63" i="2"/>
  <c r="L63" i="2"/>
  <c r="Y63" i="2"/>
  <c r="U63" i="2"/>
  <c r="Q63" i="2"/>
  <c r="M63" i="2"/>
  <c r="I63" i="2"/>
  <c r="E63" i="2"/>
  <c r="D63" i="2"/>
  <c r="Z63" i="2"/>
  <c r="V63" i="2"/>
  <c r="R63" i="2"/>
  <c r="N63" i="2"/>
  <c r="J63" i="2"/>
  <c r="F63" i="2"/>
  <c r="B63" i="2"/>
  <c r="W63" i="2"/>
  <c r="S63" i="2"/>
  <c r="O63" i="2"/>
  <c r="G63" i="2"/>
  <c r="K63" i="2"/>
  <c r="H63" i="2"/>
  <c r="AY63" i="7"/>
  <c r="AU63" i="7"/>
  <c r="A64" i="7"/>
  <c r="AZ63" i="7"/>
  <c r="AV63" i="7"/>
  <c r="C63" i="7"/>
  <c r="AW63" i="7"/>
  <c r="AR63" i="7"/>
  <c r="AN63" i="7"/>
  <c r="AJ63" i="7"/>
  <c r="AX63" i="7"/>
  <c r="AS63" i="7"/>
  <c r="AO63" i="7"/>
  <c r="AK63" i="7"/>
  <c r="AT63" i="7"/>
  <c r="AP63" i="7"/>
  <c r="AL63" i="7"/>
  <c r="AH63" i="7"/>
  <c r="AQ63" i="7"/>
  <c r="AM63" i="7"/>
  <c r="AI63" i="7"/>
  <c r="AE63" i="7"/>
  <c r="AF63" i="7"/>
  <c r="AD63" i="7"/>
  <c r="AB63" i="7"/>
  <c r="AC63" i="7"/>
  <c r="AG63" i="7"/>
  <c r="X63" i="7"/>
  <c r="T63" i="7"/>
  <c r="P63" i="7"/>
  <c r="L63" i="7"/>
  <c r="AA63" i="7"/>
  <c r="Y63" i="7"/>
  <c r="U63" i="7"/>
  <c r="Q63" i="7"/>
  <c r="M63" i="7"/>
  <c r="I63" i="7"/>
  <c r="E63" i="7"/>
  <c r="D63" i="7"/>
  <c r="Z63" i="7"/>
  <c r="V63" i="7"/>
  <c r="R63" i="7"/>
  <c r="N63" i="7"/>
  <c r="J63" i="7"/>
  <c r="W63" i="7"/>
  <c r="S63" i="7"/>
  <c r="O63" i="7"/>
  <c r="K63" i="7"/>
  <c r="G63" i="7"/>
  <c r="F63" i="7"/>
  <c r="H63" i="7"/>
  <c r="B63" i="7"/>
  <c r="AZ66" i="6"/>
  <c r="BA67" i="6"/>
  <c r="BA66" i="6" s="1"/>
  <c r="AZ66" i="7"/>
  <c r="BA67" i="7"/>
  <c r="BA66" i="7" s="1"/>
  <c r="BA67" i="10"/>
  <c r="BA66" i="10" s="1"/>
  <c r="AZ66" i="10"/>
  <c r="AZ63" i="8"/>
  <c r="A64" i="8"/>
  <c r="B63" i="8"/>
  <c r="AZ66" i="8"/>
  <c r="AZ15" i="8" s="1"/>
  <c r="BA67" i="8"/>
  <c r="BA66" i="8" s="1"/>
  <c r="A65" i="10"/>
  <c r="B65" i="10" s="1"/>
  <c r="B64" i="10"/>
  <c r="AW64" i="7" l="1"/>
  <c r="AW63" i="9" s="1"/>
  <c r="AW62" i="9" s="1"/>
  <c r="AW61" i="9" s="1"/>
  <c r="AW60" i="9" s="1"/>
  <c r="AW59" i="9" s="1"/>
  <c r="AW58" i="9" s="1"/>
  <c r="AW57" i="9" s="1"/>
  <c r="AW56" i="9" s="1"/>
  <c r="AW55" i="9" s="1"/>
  <c r="AW54" i="9" s="1"/>
  <c r="AW53" i="9" s="1"/>
  <c r="AW52" i="9" s="1"/>
  <c r="AW51" i="9" s="1"/>
  <c r="AW50" i="9" s="1"/>
  <c r="AW49" i="9" s="1"/>
  <c r="AW48" i="9" s="1"/>
  <c r="AW47" i="9" s="1"/>
  <c r="AW46" i="9" s="1"/>
  <c r="AW45" i="9" s="1"/>
  <c r="AW44" i="9" s="1"/>
  <c r="AW43" i="9" s="1"/>
  <c r="AW42" i="9" s="1"/>
  <c r="AW41" i="9" s="1"/>
  <c r="AW40" i="9" s="1"/>
  <c r="AW39" i="9" s="1"/>
  <c r="AW38" i="9" s="1"/>
  <c r="AW37" i="9" s="1"/>
  <c r="AW36" i="9" s="1"/>
  <c r="AW35" i="9" s="1"/>
  <c r="AW34" i="9" s="1"/>
  <c r="AW33" i="9" s="1"/>
  <c r="AW32" i="9" s="1"/>
  <c r="AW31" i="9" s="1"/>
  <c r="AW30" i="9" s="1"/>
  <c r="AW29" i="9" s="1"/>
  <c r="AW28" i="9" s="1"/>
  <c r="AW27" i="9" s="1"/>
  <c r="AW26" i="9" s="1"/>
  <c r="AW25" i="9" s="1"/>
  <c r="AW24" i="9" s="1"/>
  <c r="AW23" i="9" s="1"/>
  <c r="AW22" i="9" s="1"/>
  <c r="AW21" i="9" s="1"/>
  <c r="AW20" i="9" s="1"/>
  <c r="AW19" i="9" s="1"/>
  <c r="AW18" i="9" s="1"/>
  <c r="AW17" i="9" s="1"/>
  <c r="AW16" i="9" s="1"/>
  <c r="AW15" i="9" s="1"/>
  <c r="C64" i="7"/>
  <c r="AX64" i="7"/>
  <c r="AZ64" i="7"/>
  <c r="AY64" i="7"/>
  <c r="AU64" i="7"/>
  <c r="AT64" i="7"/>
  <c r="AP64" i="7"/>
  <c r="AL64" i="7"/>
  <c r="AQ64" i="7"/>
  <c r="AQ63" i="9" s="1"/>
  <c r="AQ62" i="9" s="1"/>
  <c r="AQ61" i="9" s="1"/>
  <c r="AQ60" i="9" s="1"/>
  <c r="AQ59" i="9" s="1"/>
  <c r="AQ58" i="9" s="1"/>
  <c r="AQ57" i="9" s="1"/>
  <c r="AQ56" i="9" s="1"/>
  <c r="AQ55" i="9" s="1"/>
  <c r="AQ54" i="9" s="1"/>
  <c r="AQ53" i="9" s="1"/>
  <c r="AQ52" i="9" s="1"/>
  <c r="AQ51" i="9" s="1"/>
  <c r="AQ50" i="9" s="1"/>
  <c r="AQ49" i="9" s="1"/>
  <c r="AQ48" i="9" s="1"/>
  <c r="AQ47" i="9" s="1"/>
  <c r="AQ46" i="9" s="1"/>
  <c r="AQ45" i="9" s="1"/>
  <c r="AQ44" i="9" s="1"/>
  <c r="AQ43" i="9" s="1"/>
  <c r="AQ42" i="9" s="1"/>
  <c r="AQ41" i="9" s="1"/>
  <c r="AQ40" i="9" s="1"/>
  <c r="AQ39" i="9" s="1"/>
  <c r="AQ38" i="9" s="1"/>
  <c r="AQ37" i="9" s="1"/>
  <c r="AQ36" i="9" s="1"/>
  <c r="AQ35" i="9" s="1"/>
  <c r="AQ34" i="9" s="1"/>
  <c r="AQ33" i="9" s="1"/>
  <c r="AQ32" i="9" s="1"/>
  <c r="AQ31" i="9" s="1"/>
  <c r="AQ30" i="9" s="1"/>
  <c r="AQ29" i="9" s="1"/>
  <c r="AQ28" i="9" s="1"/>
  <c r="AQ27" i="9" s="1"/>
  <c r="AQ26" i="9" s="1"/>
  <c r="AQ25" i="9" s="1"/>
  <c r="AQ24" i="9" s="1"/>
  <c r="AQ23" i="9" s="1"/>
  <c r="AQ22" i="9" s="1"/>
  <c r="AQ21" i="9" s="1"/>
  <c r="AQ20" i="9" s="1"/>
  <c r="AQ19" i="9" s="1"/>
  <c r="AQ18" i="9" s="1"/>
  <c r="AQ17" i="9" s="1"/>
  <c r="AQ16" i="9" s="1"/>
  <c r="AQ15" i="9" s="1"/>
  <c r="AM64" i="7"/>
  <c r="AV64" i="7"/>
  <c r="AR64" i="7"/>
  <c r="AN64" i="7"/>
  <c r="AJ64" i="7"/>
  <c r="AF64" i="7"/>
  <c r="AG64" i="7"/>
  <c r="AH64" i="7"/>
  <c r="AB64" i="7"/>
  <c r="AI64" i="7"/>
  <c r="AE64" i="7"/>
  <c r="AD64" i="7"/>
  <c r="AA64" i="7"/>
  <c r="AA63" i="9" s="1"/>
  <c r="AA62" i="9" s="1"/>
  <c r="AA61" i="9" s="1"/>
  <c r="AA60" i="9" s="1"/>
  <c r="AA59" i="9" s="1"/>
  <c r="AA58" i="9" s="1"/>
  <c r="AA57" i="9" s="1"/>
  <c r="AA56" i="9" s="1"/>
  <c r="AA55" i="9" s="1"/>
  <c r="AA54" i="9" s="1"/>
  <c r="AA53" i="9" s="1"/>
  <c r="AA52" i="9" s="1"/>
  <c r="AA51" i="9" s="1"/>
  <c r="AA50" i="9" s="1"/>
  <c r="AA49" i="9" s="1"/>
  <c r="AA48" i="9" s="1"/>
  <c r="AA47" i="9" s="1"/>
  <c r="AA46" i="9" s="1"/>
  <c r="AA45" i="9" s="1"/>
  <c r="AA44" i="9" s="1"/>
  <c r="AA43" i="9" s="1"/>
  <c r="AA42" i="9" s="1"/>
  <c r="AA41" i="9" s="1"/>
  <c r="AA40" i="9" s="1"/>
  <c r="AA39" i="9" s="1"/>
  <c r="AA38" i="9" s="1"/>
  <c r="AA37" i="9" s="1"/>
  <c r="AA36" i="9" s="1"/>
  <c r="AA35" i="9" s="1"/>
  <c r="AA34" i="9" s="1"/>
  <c r="AA33" i="9" s="1"/>
  <c r="AA32" i="9" s="1"/>
  <c r="AA31" i="9" s="1"/>
  <c r="AA30" i="9" s="1"/>
  <c r="AA29" i="9" s="1"/>
  <c r="AA28" i="9" s="1"/>
  <c r="AA27" i="9" s="1"/>
  <c r="AA26" i="9" s="1"/>
  <c r="AA25" i="9" s="1"/>
  <c r="AA24" i="9" s="1"/>
  <c r="AA23" i="9" s="1"/>
  <c r="AA22" i="9" s="1"/>
  <c r="AA21" i="9" s="1"/>
  <c r="AA20" i="9" s="1"/>
  <c r="AA19" i="9" s="1"/>
  <c r="AA18" i="9" s="1"/>
  <c r="AA17" i="9" s="1"/>
  <c r="AA16" i="9" s="1"/>
  <c r="AA15" i="9" s="1"/>
  <c r="AO64" i="7"/>
  <c r="Z64" i="7"/>
  <c r="V64" i="7"/>
  <c r="V63" i="9" s="1"/>
  <c r="V62" i="9" s="1"/>
  <c r="V61" i="9" s="1"/>
  <c r="V60" i="9" s="1"/>
  <c r="V59" i="9" s="1"/>
  <c r="V58" i="9" s="1"/>
  <c r="V57" i="9" s="1"/>
  <c r="V56" i="9" s="1"/>
  <c r="V55" i="9" s="1"/>
  <c r="V54" i="9" s="1"/>
  <c r="V53" i="9" s="1"/>
  <c r="V52" i="9" s="1"/>
  <c r="V51" i="9" s="1"/>
  <c r="V50" i="9" s="1"/>
  <c r="V49" i="9" s="1"/>
  <c r="V48" i="9" s="1"/>
  <c r="V47" i="9" s="1"/>
  <c r="V46" i="9" s="1"/>
  <c r="V45" i="9" s="1"/>
  <c r="V44" i="9" s="1"/>
  <c r="V43" i="9" s="1"/>
  <c r="V42" i="9" s="1"/>
  <c r="V41" i="9" s="1"/>
  <c r="V40" i="9" s="1"/>
  <c r="V39" i="9" s="1"/>
  <c r="V38" i="9" s="1"/>
  <c r="V37" i="9" s="1"/>
  <c r="V36" i="9" s="1"/>
  <c r="V35" i="9" s="1"/>
  <c r="V34" i="9" s="1"/>
  <c r="V33" i="9" s="1"/>
  <c r="V32" i="9" s="1"/>
  <c r="V31" i="9" s="1"/>
  <c r="V30" i="9" s="1"/>
  <c r="V29" i="9" s="1"/>
  <c r="V28" i="9" s="1"/>
  <c r="V27" i="9" s="1"/>
  <c r="V26" i="9" s="1"/>
  <c r="V25" i="9" s="1"/>
  <c r="V24" i="9" s="1"/>
  <c r="V23" i="9" s="1"/>
  <c r="V22" i="9" s="1"/>
  <c r="V21" i="9" s="1"/>
  <c r="V20" i="9" s="1"/>
  <c r="V19" i="9" s="1"/>
  <c r="V18" i="9" s="1"/>
  <c r="V17" i="9" s="1"/>
  <c r="V16" i="9" s="1"/>
  <c r="V15" i="9" s="1"/>
  <c r="R64" i="7"/>
  <c r="N64" i="7"/>
  <c r="J64" i="7"/>
  <c r="AS64" i="7"/>
  <c r="W64" i="7"/>
  <c r="S64" i="7"/>
  <c r="O64" i="7"/>
  <c r="K64" i="7"/>
  <c r="K63" i="9" s="1"/>
  <c r="K62" i="9" s="1"/>
  <c r="K61" i="9" s="1"/>
  <c r="K60" i="9" s="1"/>
  <c r="K59" i="9" s="1"/>
  <c r="K58" i="9" s="1"/>
  <c r="K57" i="9" s="1"/>
  <c r="K56" i="9" s="1"/>
  <c r="K55" i="9" s="1"/>
  <c r="K54" i="9" s="1"/>
  <c r="K53" i="9" s="1"/>
  <c r="K52" i="9" s="1"/>
  <c r="K51" i="9" s="1"/>
  <c r="K50" i="9" s="1"/>
  <c r="K49" i="9" s="1"/>
  <c r="K48" i="9" s="1"/>
  <c r="K47" i="9" s="1"/>
  <c r="K46" i="9" s="1"/>
  <c r="K45" i="9" s="1"/>
  <c r="K44" i="9" s="1"/>
  <c r="K43" i="9" s="1"/>
  <c r="K42" i="9" s="1"/>
  <c r="K41" i="9" s="1"/>
  <c r="K40" i="9" s="1"/>
  <c r="K39" i="9" s="1"/>
  <c r="K38" i="9" s="1"/>
  <c r="K37" i="9" s="1"/>
  <c r="K36" i="9" s="1"/>
  <c r="K35" i="9" s="1"/>
  <c r="K34" i="9" s="1"/>
  <c r="K33" i="9" s="1"/>
  <c r="K32" i="9" s="1"/>
  <c r="K31" i="9" s="1"/>
  <c r="K30" i="9" s="1"/>
  <c r="K29" i="9" s="1"/>
  <c r="K28" i="9" s="1"/>
  <c r="K27" i="9" s="1"/>
  <c r="K26" i="9" s="1"/>
  <c r="K25" i="9" s="1"/>
  <c r="K24" i="9" s="1"/>
  <c r="K23" i="9" s="1"/>
  <c r="K22" i="9" s="1"/>
  <c r="K21" i="9" s="1"/>
  <c r="K20" i="9" s="1"/>
  <c r="K19" i="9" s="1"/>
  <c r="K18" i="9" s="1"/>
  <c r="K17" i="9" s="1"/>
  <c r="K16" i="9" s="1"/>
  <c r="K15" i="9" s="1"/>
  <c r="G64" i="7"/>
  <c r="AC64" i="7"/>
  <c r="X64" i="7"/>
  <c r="T64" i="7"/>
  <c r="P64" i="7"/>
  <c r="P63" i="9" s="1"/>
  <c r="P62" i="9" s="1"/>
  <c r="P61" i="9" s="1"/>
  <c r="P60" i="9" s="1"/>
  <c r="P59" i="9" s="1"/>
  <c r="P58" i="9" s="1"/>
  <c r="P57" i="9" s="1"/>
  <c r="P56" i="9" s="1"/>
  <c r="P55" i="9" s="1"/>
  <c r="P54" i="9" s="1"/>
  <c r="P53" i="9" s="1"/>
  <c r="P52" i="9" s="1"/>
  <c r="P51" i="9" s="1"/>
  <c r="P50" i="9" s="1"/>
  <c r="P49" i="9" s="1"/>
  <c r="P48" i="9" s="1"/>
  <c r="P47" i="9" s="1"/>
  <c r="P46" i="9" s="1"/>
  <c r="P45" i="9" s="1"/>
  <c r="P44" i="9" s="1"/>
  <c r="P43" i="9" s="1"/>
  <c r="P42" i="9" s="1"/>
  <c r="P41" i="9" s="1"/>
  <c r="P40" i="9" s="1"/>
  <c r="P39" i="9" s="1"/>
  <c r="P38" i="9" s="1"/>
  <c r="P37" i="9" s="1"/>
  <c r="P36" i="9" s="1"/>
  <c r="P35" i="9" s="1"/>
  <c r="P34" i="9" s="1"/>
  <c r="P33" i="9" s="1"/>
  <c r="P32" i="9" s="1"/>
  <c r="P31" i="9" s="1"/>
  <c r="P30" i="9" s="1"/>
  <c r="P29" i="9" s="1"/>
  <c r="P28" i="9" s="1"/>
  <c r="P27" i="9" s="1"/>
  <c r="P26" i="9" s="1"/>
  <c r="P25" i="9" s="1"/>
  <c r="P24" i="9" s="1"/>
  <c r="P23" i="9" s="1"/>
  <c r="P22" i="9" s="1"/>
  <c r="P21" i="9" s="1"/>
  <c r="P20" i="9" s="1"/>
  <c r="P19" i="9" s="1"/>
  <c r="P18" i="9" s="1"/>
  <c r="P17" i="9" s="1"/>
  <c r="P16" i="9" s="1"/>
  <c r="P15" i="9" s="1"/>
  <c r="L64" i="7"/>
  <c r="I64" i="7"/>
  <c r="E64" i="7"/>
  <c r="D64" i="7"/>
  <c r="B64" i="7"/>
  <c r="H64" i="7"/>
  <c r="AK64" i="7"/>
  <c r="AK63" i="9" s="1"/>
  <c r="AK62" i="9" s="1"/>
  <c r="AK61" i="9" s="1"/>
  <c r="AK60" i="9" s="1"/>
  <c r="AK59" i="9" s="1"/>
  <c r="AK58" i="9" s="1"/>
  <c r="AK57" i="9" s="1"/>
  <c r="AK56" i="9" s="1"/>
  <c r="AK55" i="9" s="1"/>
  <c r="AK54" i="9" s="1"/>
  <c r="AK53" i="9" s="1"/>
  <c r="AK52" i="9" s="1"/>
  <c r="AK51" i="9" s="1"/>
  <c r="AK50" i="9" s="1"/>
  <c r="AK49" i="9" s="1"/>
  <c r="AK48" i="9" s="1"/>
  <c r="AK47" i="9" s="1"/>
  <c r="AK46" i="9" s="1"/>
  <c r="AK45" i="9" s="1"/>
  <c r="AK44" i="9" s="1"/>
  <c r="AK43" i="9" s="1"/>
  <c r="AK42" i="9" s="1"/>
  <c r="AK41" i="9" s="1"/>
  <c r="AK40" i="9" s="1"/>
  <c r="AK39" i="9" s="1"/>
  <c r="AK38" i="9" s="1"/>
  <c r="AK37" i="9" s="1"/>
  <c r="AK36" i="9" s="1"/>
  <c r="AK35" i="9" s="1"/>
  <c r="AK34" i="9" s="1"/>
  <c r="AK33" i="9" s="1"/>
  <c r="AK32" i="9" s="1"/>
  <c r="AK31" i="9" s="1"/>
  <c r="AK30" i="9" s="1"/>
  <c r="AK29" i="9" s="1"/>
  <c r="AK28" i="9" s="1"/>
  <c r="AK27" i="9" s="1"/>
  <c r="AK26" i="9" s="1"/>
  <c r="AK25" i="9" s="1"/>
  <c r="AK24" i="9" s="1"/>
  <c r="AK23" i="9" s="1"/>
  <c r="AK22" i="9" s="1"/>
  <c r="AK21" i="9" s="1"/>
  <c r="AK20" i="9" s="1"/>
  <c r="AK19" i="9" s="1"/>
  <c r="AK18" i="9" s="1"/>
  <c r="AK17" i="9" s="1"/>
  <c r="AK16" i="9" s="1"/>
  <c r="AK15" i="9" s="1"/>
  <c r="Y64" i="7"/>
  <c r="U64" i="7"/>
  <c r="Q64" i="7"/>
  <c r="M64" i="7"/>
  <c r="F64" i="7"/>
  <c r="F63" i="9" s="1"/>
  <c r="F62" i="9" s="1"/>
  <c r="F61" i="9" s="1"/>
  <c r="F60" i="9" s="1"/>
  <c r="F59" i="9" s="1"/>
  <c r="F58" i="9" s="1"/>
  <c r="F57" i="9" s="1"/>
  <c r="F56" i="9" s="1"/>
  <c r="F55" i="9" s="1"/>
  <c r="F54" i="9" s="1"/>
  <c r="F53" i="9" s="1"/>
  <c r="F52" i="9" s="1"/>
  <c r="F51" i="9" s="1"/>
  <c r="F50" i="9" s="1"/>
  <c r="F49" i="9" s="1"/>
  <c r="F48" i="9" s="1"/>
  <c r="F47" i="9" s="1"/>
  <c r="F46" i="9" s="1"/>
  <c r="F45" i="9" s="1"/>
  <c r="F44" i="9" s="1"/>
  <c r="F43" i="9" s="1"/>
  <c r="F42" i="9" s="1"/>
  <c r="F41" i="9" s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F30" i="9" s="1"/>
  <c r="F29" i="9" s="1"/>
  <c r="F28" i="9" s="1"/>
  <c r="F27" i="9" s="1"/>
  <c r="F26" i="9" s="1"/>
  <c r="F25" i="9" s="1"/>
  <c r="F24" i="9" s="1"/>
  <c r="F23" i="9" s="1"/>
  <c r="F22" i="9" s="1"/>
  <c r="F21" i="9" s="1"/>
  <c r="F20" i="9" s="1"/>
  <c r="F19" i="9" s="1"/>
  <c r="F18" i="9" s="1"/>
  <c r="F17" i="9" s="1"/>
  <c r="F16" i="9" s="1"/>
  <c r="F15" i="9" s="1"/>
  <c r="A65" i="7"/>
  <c r="B65" i="7" s="1"/>
  <c r="AW64" i="2"/>
  <c r="AW64" i="9" s="1"/>
  <c r="AX64" i="2"/>
  <c r="AX64" i="9" s="1"/>
  <c r="C64" i="2"/>
  <c r="AZ64" i="2"/>
  <c r="AY64" i="2"/>
  <c r="AU64" i="2"/>
  <c r="AU64" i="9" s="1"/>
  <c r="AV64" i="2"/>
  <c r="AV64" i="9" s="1"/>
  <c r="AV63" i="9" s="1"/>
  <c r="AV62" i="9" s="1"/>
  <c r="AV61" i="9" s="1"/>
  <c r="AV60" i="9" s="1"/>
  <c r="AV59" i="9" s="1"/>
  <c r="AV58" i="9" s="1"/>
  <c r="AV57" i="9" s="1"/>
  <c r="AV56" i="9" s="1"/>
  <c r="AV55" i="9" s="1"/>
  <c r="AV54" i="9" s="1"/>
  <c r="AV53" i="9" s="1"/>
  <c r="AV52" i="9" s="1"/>
  <c r="AV51" i="9" s="1"/>
  <c r="AV50" i="9" s="1"/>
  <c r="AV49" i="9" s="1"/>
  <c r="AV48" i="9" s="1"/>
  <c r="AV47" i="9" s="1"/>
  <c r="AV46" i="9" s="1"/>
  <c r="AV45" i="9" s="1"/>
  <c r="AV44" i="9" s="1"/>
  <c r="AV43" i="9" s="1"/>
  <c r="AV42" i="9" s="1"/>
  <c r="AV41" i="9" s="1"/>
  <c r="AV40" i="9" s="1"/>
  <c r="AV39" i="9" s="1"/>
  <c r="AV38" i="9" s="1"/>
  <c r="AV37" i="9" s="1"/>
  <c r="AV36" i="9" s="1"/>
  <c r="AV35" i="9" s="1"/>
  <c r="AV34" i="9" s="1"/>
  <c r="AV33" i="9" s="1"/>
  <c r="AV32" i="9" s="1"/>
  <c r="AV31" i="9" s="1"/>
  <c r="AV30" i="9" s="1"/>
  <c r="AV29" i="9" s="1"/>
  <c r="AV28" i="9" s="1"/>
  <c r="AV27" i="9" s="1"/>
  <c r="AV26" i="9" s="1"/>
  <c r="AV25" i="9" s="1"/>
  <c r="AV24" i="9" s="1"/>
  <c r="AV23" i="9" s="1"/>
  <c r="AV22" i="9" s="1"/>
  <c r="AV21" i="9" s="1"/>
  <c r="AV20" i="9" s="1"/>
  <c r="AV19" i="9" s="1"/>
  <c r="AV18" i="9" s="1"/>
  <c r="AV17" i="9" s="1"/>
  <c r="AV16" i="9" s="1"/>
  <c r="AV15" i="9" s="1"/>
  <c r="AT64" i="2"/>
  <c r="AT64" i="9" s="1"/>
  <c r="AP64" i="2"/>
  <c r="AL64" i="2"/>
  <c r="AQ64" i="2"/>
  <c r="AQ64" i="9" s="1"/>
  <c r="AM64" i="2"/>
  <c r="AM64" i="9" s="1"/>
  <c r="AR64" i="2"/>
  <c r="AN64" i="2"/>
  <c r="AJ64" i="2"/>
  <c r="AS64" i="2"/>
  <c r="AS64" i="9" s="1"/>
  <c r="AS63" i="9" s="1"/>
  <c r="AS62" i="9" s="1"/>
  <c r="AS61" i="9" s="1"/>
  <c r="AS60" i="9" s="1"/>
  <c r="AS59" i="9" s="1"/>
  <c r="AS58" i="9" s="1"/>
  <c r="AS57" i="9" s="1"/>
  <c r="AS56" i="9" s="1"/>
  <c r="AS55" i="9" s="1"/>
  <c r="AS54" i="9" s="1"/>
  <c r="AS53" i="9" s="1"/>
  <c r="AS52" i="9" s="1"/>
  <c r="AS51" i="9" s="1"/>
  <c r="AS50" i="9" s="1"/>
  <c r="AS49" i="9" s="1"/>
  <c r="AS48" i="9" s="1"/>
  <c r="AS47" i="9" s="1"/>
  <c r="AS46" i="9" s="1"/>
  <c r="AS45" i="9" s="1"/>
  <c r="AS44" i="9" s="1"/>
  <c r="AS43" i="9" s="1"/>
  <c r="AS42" i="9" s="1"/>
  <c r="AS41" i="9" s="1"/>
  <c r="AS40" i="9" s="1"/>
  <c r="AS39" i="9" s="1"/>
  <c r="AS38" i="9" s="1"/>
  <c r="AS37" i="9" s="1"/>
  <c r="AS36" i="9" s="1"/>
  <c r="AS35" i="9" s="1"/>
  <c r="AS34" i="9" s="1"/>
  <c r="AS33" i="9" s="1"/>
  <c r="AS32" i="9" s="1"/>
  <c r="AS31" i="9" s="1"/>
  <c r="AS30" i="9" s="1"/>
  <c r="AS29" i="9" s="1"/>
  <c r="AS28" i="9" s="1"/>
  <c r="AS27" i="9" s="1"/>
  <c r="AS26" i="9" s="1"/>
  <c r="AS25" i="9" s="1"/>
  <c r="AS24" i="9" s="1"/>
  <c r="AS23" i="9" s="1"/>
  <c r="AS22" i="9" s="1"/>
  <c r="AS21" i="9" s="1"/>
  <c r="AS20" i="9" s="1"/>
  <c r="AS19" i="9" s="1"/>
  <c r="AS18" i="9" s="1"/>
  <c r="AS17" i="9" s="1"/>
  <c r="AS16" i="9" s="1"/>
  <c r="AS15" i="9" s="1"/>
  <c r="AO64" i="2"/>
  <c r="AO64" i="9" s="1"/>
  <c r="AK64" i="2"/>
  <c r="AK64" i="9" s="1"/>
  <c r="AF64" i="2"/>
  <c r="AG64" i="2"/>
  <c r="AB64" i="2"/>
  <c r="AB64" i="9" s="1"/>
  <c r="AH64" i="2"/>
  <c r="AH64" i="9" s="1"/>
  <c r="AH63" i="9" s="1"/>
  <c r="AH62" i="9" s="1"/>
  <c r="AH61" i="9" s="1"/>
  <c r="AH60" i="9" s="1"/>
  <c r="AH59" i="9" s="1"/>
  <c r="AH58" i="9" s="1"/>
  <c r="AH57" i="9" s="1"/>
  <c r="AH56" i="9" s="1"/>
  <c r="AH55" i="9" s="1"/>
  <c r="AH54" i="9" s="1"/>
  <c r="AH53" i="9" s="1"/>
  <c r="AH52" i="9" s="1"/>
  <c r="AH51" i="9" s="1"/>
  <c r="AH50" i="9" s="1"/>
  <c r="AH49" i="9" s="1"/>
  <c r="AH48" i="9" s="1"/>
  <c r="AH47" i="9" s="1"/>
  <c r="AH46" i="9" s="1"/>
  <c r="AH45" i="9" s="1"/>
  <c r="AH44" i="9" s="1"/>
  <c r="AH43" i="9" s="1"/>
  <c r="AH42" i="9" s="1"/>
  <c r="AH41" i="9" s="1"/>
  <c r="AH40" i="9" s="1"/>
  <c r="AH39" i="9" s="1"/>
  <c r="AH38" i="9" s="1"/>
  <c r="AH37" i="9" s="1"/>
  <c r="AH36" i="9" s="1"/>
  <c r="AH35" i="9" s="1"/>
  <c r="AH34" i="9" s="1"/>
  <c r="AH33" i="9" s="1"/>
  <c r="AH32" i="9" s="1"/>
  <c r="AH31" i="9" s="1"/>
  <c r="AH30" i="9" s="1"/>
  <c r="AH29" i="9" s="1"/>
  <c r="AH28" i="9" s="1"/>
  <c r="AH27" i="9" s="1"/>
  <c r="AH26" i="9" s="1"/>
  <c r="AH25" i="9" s="1"/>
  <c r="AH24" i="9" s="1"/>
  <c r="AH23" i="9" s="1"/>
  <c r="AH22" i="9" s="1"/>
  <c r="AH21" i="9" s="1"/>
  <c r="AH20" i="9" s="1"/>
  <c r="AH19" i="9" s="1"/>
  <c r="AH18" i="9" s="1"/>
  <c r="AH17" i="9" s="1"/>
  <c r="AH16" i="9" s="1"/>
  <c r="AH15" i="9" s="1"/>
  <c r="AD64" i="2"/>
  <c r="AI64" i="2"/>
  <c r="AI64" i="9" s="1"/>
  <c r="AE64" i="2"/>
  <c r="AE64" i="9" s="1"/>
  <c r="AA64" i="2"/>
  <c r="AA64" i="9" s="1"/>
  <c r="AC64" i="2"/>
  <c r="AC64" i="9" s="1"/>
  <c r="Z64" i="2"/>
  <c r="V64" i="2"/>
  <c r="R64" i="2"/>
  <c r="R64" i="9" s="1"/>
  <c r="N64" i="2"/>
  <c r="J64" i="2"/>
  <c r="W64" i="2"/>
  <c r="W64" i="9" s="1"/>
  <c r="S64" i="2"/>
  <c r="S64" i="9" s="1"/>
  <c r="O64" i="2"/>
  <c r="K64" i="2"/>
  <c r="K64" i="9" s="1"/>
  <c r="G64" i="2"/>
  <c r="G64" i="9" s="1"/>
  <c r="X64" i="2"/>
  <c r="X64" i="9" s="1"/>
  <c r="T64" i="2"/>
  <c r="T64" i="9" s="1"/>
  <c r="P64" i="2"/>
  <c r="P64" i="9" s="1"/>
  <c r="L64" i="2"/>
  <c r="L64" i="9" s="1"/>
  <c r="H64" i="2"/>
  <c r="H64" i="9" s="1"/>
  <c r="D64" i="2"/>
  <c r="D64" i="9" s="1"/>
  <c r="Y64" i="2"/>
  <c r="U64" i="2"/>
  <c r="Q64" i="2"/>
  <c r="I64" i="2"/>
  <c r="E64" i="2"/>
  <c r="A65" i="2"/>
  <c r="B65" i="2" s="1"/>
  <c r="M64" i="2"/>
  <c r="M64" i="9" s="1"/>
  <c r="M63" i="9" s="1"/>
  <c r="M62" i="9" s="1"/>
  <c r="M61" i="9" s="1"/>
  <c r="M60" i="9" s="1"/>
  <c r="M59" i="9" s="1"/>
  <c r="M58" i="9" s="1"/>
  <c r="M57" i="9" s="1"/>
  <c r="M56" i="9" s="1"/>
  <c r="M55" i="9" s="1"/>
  <c r="M54" i="9" s="1"/>
  <c r="M53" i="9" s="1"/>
  <c r="M52" i="9" s="1"/>
  <c r="M51" i="9" s="1"/>
  <c r="M50" i="9" s="1"/>
  <c r="M49" i="9" s="1"/>
  <c r="M48" i="9" s="1"/>
  <c r="M47" i="9" s="1"/>
  <c r="M46" i="9" s="1"/>
  <c r="M45" i="9" s="1"/>
  <c r="M44" i="9" s="1"/>
  <c r="M43" i="9" s="1"/>
  <c r="M42" i="9" s="1"/>
  <c r="M41" i="9" s="1"/>
  <c r="M40" i="9" s="1"/>
  <c r="M39" i="9" s="1"/>
  <c r="M38" i="9" s="1"/>
  <c r="M37" i="9" s="1"/>
  <c r="M36" i="9" s="1"/>
  <c r="M35" i="9" s="1"/>
  <c r="M34" i="9" s="1"/>
  <c r="M33" i="9" s="1"/>
  <c r="M32" i="9" s="1"/>
  <c r="M31" i="9" s="1"/>
  <c r="M30" i="9" s="1"/>
  <c r="M29" i="9" s="1"/>
  <c r="M28" i="9" s="1"/>
  <c r="M27" i="9" s="1"/>
  <c r="M26" i="9" s="1"/>
  <c r="M25" i="9" s="1"/>
  <c r="M24" i="9" s="1"/>
  <c r="M23" i="9" s="1"/>
  <c r="M22" i="9" s="1"/>
  <c r="M21" i="9" s="1"/>
  <c r="M20" i="9" s="1"/>
  <c r="M19" i="9" s="1"/>
  <c r="M18" i="9" s="1"/>
  <c r="M17" i="9" s="1"/>
  <c r="M16" i="9" s="1"/>
  <c r="M15" i="9" s="1"/>
  <c r="F64" i="2"/>
  <c r="B64" i="2"/>
  <c r="AD64" i="9"/>
  <c r="Q64" i="9"/>
  <c r="Q63" i="9" s="1"/>
  <c r="Q62" i="9" s="1"/>
  <c r="Q61" i="9" s="1"/>
  <c r="Q60" i="9" s="1"/>
  <c r="Q59" i="9" s="1"/>
  <c r="Q58" i="9" s="1"/>
  <c r="Q57" i="9" s="1"/>
  <c r="Q56" i="9" s="1"/>
  <c r="Q55" i="9" s="1"/>
  <c r="Q54" i="9" s="1"/>
  <c r="Q53" i="9" s="1"/>
  <c r="Q52" i="9" s="1"/>
  <c r="Q51" i="9" s="1"/>
  <c r="Q50" i="9" s="1"/>
  <c r="Q49" i="9" s="1"/>
  <c r="Q48" i="9" s="1"/>
  <c r="Q47" i="9" s="1"/>
  <c r="Q46" i="9" s="1"/>
  <c r="Q45" i="9" s="1"/>
  <c r="Q44" i="9" s="1"/>
  <c r="Q43" i="9" s="1"/>
  <c r="Q42" i="9" s="1"/>
  <c r="Q41" i="9" s="1"/>
  <c r="Q40" i="9" s="1"/>
  <c r="Q39" i="9" s="1"/>
  <c r="Q38" i="9" s="1"/>
  <c r="Q37" i="9" s="1"/>
  <c r="Q36" i="9" s="1"/>
  <c r="Q35" i="9" s="1"/>
  <c r="Q34" i="9" s="1"/>
  <c r="Q33" i="9" s="1"/>
  <c r="Q32" i="9" s="1"/>
  <c r="Q31" i="9" s="1"/>
  <c r="Q30" i="9" s="1"/>
  <c r="Q29" i="9" s="1"/>
  <c r="Q28" i="9" s="1"/>
  <c r="Q27" i="9" s="1"/>
  <c r="Q26" i="9" s="1"/>
  <c r="Q25" i="9" s="1"/>
  <c r="Q24" i="9" s="1"/>
  <c r="Q23" i="9" s="1"/>
  <c r="Q22" i="9" s="1"/>
  <c r="Q21" i="9" s="1"/>
  <c r="Q20" i="9" s="1"/>
  <c r="Q19" i="9" s="1"/>
  <c r="Q18" i="9" s="1"/>
  <c r="Q17" i="9" s="1"/>
  <c r="Q16" i="9" s="1"/>
  <c r="Q15" i="9" s="1"/>
  <c r="F64" i="9"/>
  <c r="V64" i="9"/>
  <c r="AG64" i="9"/>
  <c r="AN64" i="9"/>
  <c r="AN63" i="9" s="1"/>
  <c r="AN62" i="9" s="1"/>
  <c r="AN61" i="9" s="1"/>
  <c r="AN60" i="9" s="1"/>
  <c r="AN59" i="9" s="1"/>
  <c r="AN58" i="9" s="1"/>
  <c r="AN57" i="9" s="1"/>
  <c r="AN56" i="9" s="1"/>
  <c r="AN55" i="9" s="1"/>
  <c r="AN54" i="9" s="1"/>
  <c r="AN53" i="9" s="1"/>
  <c r="AN52" i="9" s="1"/>
  <c r="AN51" i="9" s="1"/>
  <c r="AN50" i="9" s="1"/>
  <c r="AN49" i="9" s="1"/>
  <c r="AN48" i="9" s="1"/>
  <c r="AN47" i="9" s="1"/>
  <c r="AN46" i="9" s="1"/>
  <c r="AN45" i="9" s="1"/>
  <c r="AN44" i="9" s="1"/>
  <c r="AN43" i="9" s="1"/>
  <c r="AN42" i="9" s="1"/>
  <c r="AN41" i="9" s="1"/>
  <c r="AN40" i="9" s="1"/>
  <c r="AN39" i="9" s="1"/>
  <c r="AN38" i="9" s="1"/>
  <c r="AN37" i="9" s="1"/>
  <c r="AN36" i="9" s="1"/>
  <c r="AN35" i="9" s="1"/>
  <c r="AN34" i="9" s="1"/>
  <c r="AN33" i="9" s="1"/>
  <c r="AN32" i="9" s="1"/>
  <c r="AN31" i="9" s="1"/>
  <c r="AN30" i="9" s="1"/>
  <c r="AN29" i="9" s="1"/>
  <c r="AN28" i="9" s="1"/>
  <c r="AN27" i="9" s="1"/>
  <c r="AN26" i="9" s="1"/>
  <c r="AN25" i="9" s="1"/>
  <c r="AN24" i="9" s="1"/>
  <c r="AN23" i="9" s="1"/>
  <c r="AN22" i="9" s="1"/>
  <c r="AN21" i="9" s="1"/>
  <c r="AN20" i="9" s="1"/>
  <c r="AN19" i="9" s="1"/>
  <c r="AN18" i="9" s="1"/>
  <c r="AN17" i="9" s="1"/>
  <c r="AN16" i="9" s="1"/>
  <c r="AN15" i="9" s="1"/>
  <c r="AZ64" i="8"/>
  <c r="AZ64" i="10" s="1"/>
  <c r="B64" i="8"/>
  <c r="A65" i="8"/>
  <c r="B65" i="8" s="1"/>
  <c r="E64" i="9"/>
  <c r="E63" i="9" s="1"/>
  <c r="E62" i="9" s="1"/>
  <c r="E61" i="9" s="1"/>
  <c r="E60" i="9" s="1"/>
  <c r="E59" i="9" s="1"/>
  <c r="E58" i="9" s="1"/>
  <c r="E57" i="9" s="1"/>
  <c r="E56" i="9" s="1"/>
  <c r="E55" i="9" s="1"/>
  <c r="E54" i="9" s="1"/>
  <c r="E53" i="9" s="1"/>
  <c r="E52" i="9" s="1"/>
  <c r="E51" i="9" s="1"/>
  <c r="E50" i="9" s="1"/>
  <c r="E49" i="9" s="1"/>
  <c r="E48" i="9" s="1"/>
  <c r="E47" i="9" s="1"/>
  <c r="E46" i="9" s="1"/>
  <c r="E45" i="9" s="1"/>
  <c r="E44" i="9" s="1"/>
  <c r="E43" i="9" s="1"/>
  <c r="E42" i="9" s="1"/>
  <c r="E41" i="9" s="1"/>
  <c r="E40" i="9" s="1"/>
  <c r="E39" i="9" s="1"/>
  <c r="E38" i="9" s="1"/>
  <c r="E37" i="9" s="1"/>
  <c r="E36" i="9" s="1"/>
  <c r="E35" i="9" s="1"/>
  <c r="E34" i="9" s="1"/>
  <c r="E33" i="9" s="1"/>
  <c r="E32" i="9" s="1"/>
  <c r="E31" i="9" s="1"/>
  <c r="E30" i="9" s="1"/>
  <c r="E29" i="9" s="1"/>
  <c r="E28" i="9" s="1"/>
  <c r="E27" i="9" s="1"/>
  <c r="E26" i="9" s="1"/>
  <c r="E25" i="9" s="1"/>
  <c r="E24" i="9" s="1"/>
  <c r="E23" i="9" s="1"/>
  <c r="E22" i="9" s="1"/>
  <c r="E21" i="9" s="1"/>
  <c r="E20" i="9" s="1"/>
  <c r="E19" i="9" s="1"/>
  <c r="E18" i="9" s="1"/>
  <c r="E17" i="9" s="1"/>
  <c r="E16" i="9" s="1"/>
  <c r="E15" i="9" s="1"/>
  <c r="U64" i="9"/>
  <c r="J64" i="9"/>
  <c r="Z64" i="9"/>
  <c r="O64" i="9"/>
  <c r="AF64" i="9"/>
  <c r="AF63" i="9" s="1"/>
  <c r="AF62" i="9" s="1"/>
  <c r="AF61" i="9" s="1"/>
  <c r="AF60" i="9" s="1"/>
  <c r="AF59" i="9" s="1"/>
  <c r="AF58" i="9" s="1"/>
  <c r="AF57" i="9" s="1"/>
  <c r="AF56" i="9" s="1"/>
  <c r="AF55" i="9" s="1"/>
  <c r="AF54" i="9" s="1"/>
  <c r="AF53" i="9" s="1"/>
  <c r="AF52" i="9" s="1"/>
  <c r="AF51" i="9" s="1"/>
  <c r="AF50" i="9" s="1"/>
  <c r="AF49" i="9" s="1"/>
  <c r="AF48" i="9" s="1"/>
  <c r="AF47" i="9" s="1"/>
  <c r="AF46" i="9" s="1"/>
  <c r="AF45" i="9" s="1"/>
  <c r="AF44" i="9" s="1"/>
  <c r="AF43" i="9" s="1"/>
  <c r="AF42" i="9" s="1"/>
  <c r="AF41" i="9" s="1"/>
  <c r="AF40" i="9" s="1"/>
  <c r="AF39" i="9" s="1"/>
  <c r="AF38" i="9" s="1"/>
  <c r="AF37" i="9" s="1"/>
  <c r="AF36" i="9" s="1"/>
  <c r="AF35" i="9" s="1"/>
  <c r="AF34" i="9" s="1"/>
  <c r="AF33" i="9" s="1"/>
  <c r="AF32" i="9" s="1"/>
  <c r="AF31" i="9" s="1"/>
  <c r="AF30" i="9" s="1"/>
  <c r="AF29" i="9" s="1"/>
  <c r="AF28" i="9" s="1"/>
  <c r="AF27" i="9" s="1"/>
  <c r="AF26" i="9" s="1"/>
  <c r="AF25" i="9" s="1"/>
  <c r="AF24" i="9" s="1"/>
  <c r="AF23" i="9" s="1"/>
  <c r="AF22" i="9" s="1"/>
  <c r="AF21" i="9" s="1"/>
  <c r="AF20" i="9" s="1"/>
  <c r="AF19" i="9" s="1"/>
  <c r="AF18" i="9" s="1"/>
  <c r="AF17" i="9" s="1"/>
  <c r="AF16" i="9" s="1"/>
  <c r="AF15" i="9" s="1"/>
  <c r="AR64" i="9"/>
  <c r="AR63" i="9" s="1"/>
  <c r="AR62" i="9" s="1"/>
  <c r="AR61" i="9" s="1"/>
  <c r="AR60" i="9" s="1"/>
  <c r="AR59" i="9" s="1"/>
  <c r="AR58" i="9" s="1"/>
  <c r="AR57" i="9" s="1"/>
  <c r="AR56" i="9" s="1"/>
  <c r="AR55" i="9" s="1"/>
  <c r="AR54" i="9" s="1"/>
  <c r="AR53" i="9" s="1"/>
  <c r="AR52" i="9" s="1"/>
  <c r="AR51" i="9" s="1"/>
  <c r="AR50" i="9" s="1"/>
  <c r="AR49" i="9" s="1"/>
  <c r="AR48" i="9" s="1"/>
  <c r="AR47" i="9" s="1"/>
  <c r="AR46" i="9" s="1"/>
  <c r="AR45" i="9" s="1"/>
  <c r="AR44" i="9" s="1"/>
  <c r="AR43" i="9" s="1"/>
  <c r="AR42" i="9" s="1"/>
  <c r="AR41" i="9" s="1"/>
  <c r="AR40" i="9" s="1"/>
  <c r="AR39" i="9" s="1"/>
  <c r="AR38" i="9" s="1"/>
  <c r="AR37" i="9" s="1"/>
  <c r="AR36" i="9" s="1"/>
  <c r="AR35" i="9" s="1"/>
  <c r="AR34" i="9" s="1"/>
  <c r="AR33" i="9" s="1"/>
  <c r="AR32" i="9" s="1"/>
  <c r="AR31" i="9" s="1"/>
  <c r="AR30" i="9" s="1"/>
  <c r="AR29" i="9" s="1"/>
  <c r="AR28" i="9" s="1"/>
  <c r="AR27" i="9" s="1"/>
  <c r="AR26" i="9" s="1"/>
  <c r="AR25" i="9" s="1"/>
  <c r="AR24" i="9" s="1"/>
  <c r="AR23" i="9" s="1"/>
  <c r="AR22" i="9" s="1"/>
  <c r="AR21" i="9" s="1"/>
  <c r="AR20" i="9" s="1"/>
  <c r="AR19" i="9" s="1"/>
  <c r="AR18" i="9" s="1"/>
  <c r="AR17" i="9" s="1"/>
  <c r="AR16" i="9" s="1"/>
  <c r="AR15" i="9" s="1"/>
  <c r="AL64" i="9"/>
  <c r="AZ64" i="9"/>
  <c r="AZ63" i="9" s="1"/>
  <c r="AZ62" i="9" s="1"/>
  <c r="AZ61" i="9" s="1"/>
  <c r="AZ60" i="9" s="1"/>
  <c r="AZ59" i="9" s="1"/>
  <c r="AZ58" i="9" s="1"/>
  <c r="AZ57" i="9" s="1"/>
  <c r="AZ56" i="9" s="1"/>
  <c r="AZ55" i="9" s="1"/>
  <c r="AZ54" i="9" s="1"/>
  <c r="AZ53" i="9" s="1"/>
  <c r="AZ52" i="9" s="1"/>
  <c r="AZ51" i="9" s="1"/>
  <c r="AZ50" i="9" s="1"/>
  <c r="AZ49" i="9" s="1"/>
  <c r="AZ48" i="9" s="1"/>
  <c r="AZ47" i="9" s="1"/>
  <c r="AZ46" i="9" s="1"/>
  <c r="AZ45" i="9" s="1"/>
  <c r="AZ44" i="9" s="1"/>
  <c r="AZ43" i="9" s="1"/>
  <c r="AZ42" i="9" s="1"/>
  <c r="AZ41" i="9" s="1"/>
  <c r="AZ40" i="9" s="1"/>
  <c r="AZ39" i="9" s="1"/>
  <c r="AZ38" i="9" s="1"/>
  <c r="AZ37" i="9" s="1"/>
  <c r="AZ36" i="9" s="1"/>
  <c r="AZ35" i="9" s="1"/>
  <c r="AZ34" i="9" s="1"/>
  <c r="AZ33" i="9" s="1"/>
  <c r="AZ32" i="9" s="1"/>
  <c r="AZ31" i="9" s="1"/>
  <c r="AZ30" i="9" s="1"/>
  <c r="AZ29" i="9" s="1"/>
  <c r="AZ28" i="9" s="1"/>
  <c r="AZ27" i="9" s="1"/>
  <c r="AZ26" i="9" s="1"/>
  <c r="AZ25" i="9" s="1"/>
  <c r="AZ24" i="9" s="1"/>
  <c r="AZ23" i="9" s="1"/>
  <c r="AZ22" i="9" s="1"/>
  <c r="AZ21" i="9" s="1"/>
  <c r="AZ20" i="9" s="1"/>
  <c r="AZ19" i="9" s="1"/>
  <c r="AZ18" i="9" s="1"/>
  <c r="AZ17" i="9" s="1"/>
  <c r="AZ16" i="9" s="1"/>
  <c r="AZ15" i="9" s="1"/>
  <c r="I64" i="9"/>
  <c r="Y64" i="9"/>
  <c r="N64" i="9"/>
  <c r="C64" i="9"/>
  <c r="AJ64" i="9"/>
  <c r="AJ63" i="9" s="1"/>
  <c r="AJ62" i="9" s="1"/>
  <c r="AJ61" i="9" s="1"/>
  <c r="AJ60" i="9" s="1"/>
  <c r="AJ59" i="9" s="1"/>
  <c r="AJ58" i="9" s="1"/>
  <c r="AJ57" i="9" s="1"/>
  <c r="AJ56" i="9" s="1"/>
  <c r="AJ55" i="9" s="1"/>
  <c r="AJ54" i="9" s="1"/>
  <c r="AJ53" i="9" s="1"/>
  <c r="AJ52" i="9" s="1"/>
  <c r="AJ51" i="9" s="1"/>
  <c r="AJ50" i="9" s="1"/>
  <c r="AJ49" i="9" s="1"/>
  <c r="AJ48" i="9" s="1"/>
  <c r="AJ47" i="9" s="1"/>
  <c r="AJ46" i="9" s="1"/>
  <c r="AJ45" i="9" s="1"/>
  <c r="AJ44" i="9" s="1"/>
  <c r="AJ43" i="9" s="1"/>
  <c r="AJ42" i="9" s="1"/>
  <c r="AJ41" i="9" s="1"/>
  <c r="AJ40" i="9" s="1"/>
  <c r="AJ39" i="9" s="1"/>
  <c r="AJ38" i="9" s="1"/>
  <c r="AJ37" i="9" s="1"/>
  <c r="AJ36" i="9" s="1"/>
  <c r="AJ35" i="9" s="1"/>
  <c r="AJ34" i="9" s="1"/>
  <c r="AJ33" i="9" s="1"/>
  <c r="AJ32" i="9" s="1"/>
  <c r="AJ31" i="9" s="1"/>
  <c r="AJ30" i="9" s="1"/>
  <c r="AJ29" i="9" s="1"/>
  <c r="AJ28" i="9" s="1"/>
  <c r="AJ27" i="9" s="1"/>
  <c r="AJ26" i="9" s="1"/>
  <c r="AJ25" i="9" s="1"/>
  <c r="AJ24" i="9" s="1"/>
  <c r="AJ23" i="9" s="1"/>
  <c r="AJ22" i="9" s="1"/>
  <c r="AJ21" i="9" s="1"/>
  <c r="AJ20" i="9" s="1"/>
  <c r="AJ19" i="9" s="1"/>
  <c r="AJ18" i="9" s="1"/>
  <c r="AJ17" i="9" s="1"/>
  <c r="AJ16" i="9" s="1"/>
  <c r="AJ15" i="9" s="1"/>
  <c r="AP64" i="9"/>
  <c r="AY64" i="9"/>
  <c r="AZ63" i="10" l="1"/>
  <c r="AZ62" i="10" s="1"/>
  <c r="AZ61" i="10" s="1"/>
  <c r="AZ60" i="10" s="1"/>
  <c r="AZ59" i="10" s="1"/>
  <c r="AZ58" i="10" s="1"/>
  <c r="AZ57" i="10" s="1"/>
  <c r="AZ56" i="10" s="1"/>
  <c r="AZ55" i="10" s="1"/>
  <c r="AZ54" i="10" s="1"/>
  <c r="AZ53" i="10" s="1"/>
  <c r="AZ52" i="10" s="1"/>
  <c r="AZ51" i="10" s="1"/>
  <c r="AZ50" i="10" s="1"/>
  <c r="AZ49" i="10" s="1"/>
  <c r="AZ48" i="10" s="1"/>
  <c r="AZ47" i="10" s="1"/>
  <c r="AZ46" i="10" s="1"/>
  <c r="AZ45" i="10" s="1"/>
  <c r="AZ44" i="10" s="1"/>
  <c r="AZ43" i="10" s="1"/>
  <c r="AZ42" i="10" s="1"/>
  <c r="AZ41" i="10" s="1"/>
  <c r="AZ40" i="10" s="1"/>
  <c r="AZ39" i="10" s="1"/>
  <c r="AZ38" i="10" s="1"/>
  <c r="AZ37" i="10" s="1"/>
  <c r="AZ36" i="10" s="1"/>
  <c r="AZ35" i="10" s="1"/>
  <c r="AZ34" i="10" s="1"/>
  <c r="AZ33" i="10" s="1"/>
  <c r="AZ32" i="10" s="1"/>
  <c r="AZ31" i="10" s="1"/>
  <c r="AZ30" i="10" s="1"/>
  <c r="AZ29" i="10" s="1"/>
  <c r="AZ28" i="10" s="1"/>
  <c r="AZ27" i="10" s="1"/>
  <c r="AZ26" i="10" s="1"/>
  <c r="AZ25" i="10" s="1"/>
  <c r="AZ24" i="10" s="1"/>
  <c r="AZ23" i="10" s="1"/>
  <c r="AZ22" i="10" s="1"/>
  <c r="AZ21" i="10" s="1"/>
  <c r="AZ20" i="10" s="1"/>
  <c r="AZ19" i="10" s="1"/>
  <c r="AZ18" i="10" s="1"/>
  <c r="AZ17" i="10" s="1"/>
  <c r="AZ16" i="10" s="1"/>
  <c r="AZ15" i="10" s="1"/>
  <c r="AZ15" i="1" s="1"/>
  <c r="AZ16" i="1" s="1"/>
  <c r="AZ17" i="1" s="1"/>
  <c r="Y63" i="9"/>
  <c r="Y62" i="9" s="1"/>
  <c r="Y61" i="9" s="1"/>
  <c r="Y60" i="9" s="1"/>
  <c r="Y59" i="9" s="1"/>
  <c r="Y58" i="9" s="1"/>
  <c r="Y57" i="9" s="1"/>
  <c r="Y56" i="9" s="1"/>
  <c r="Y55" i="9" s="1"/>
  <c r="Y54" i="9" s="1"/>
  <c r="Y53" i="9" s="1"/>
  <c r="Y52" i="9" s="1"/>
  <c r="Y51" i="9" s="1"/>
  <c r="Y50" i="9" s="1"/>
  <c r="Y49" i="9" s="1"/>
  <c r="Y48" i="9" s="1"/>
  <c r="Y47" i="9" s="1"/>
  <c r="Y46" i="9" s="1"/>
  <c r="Y45" i="9" s="1"/>
  <c r="Y44" i="9" s="1"/>
  <c r="Y43" i="9" s="1"/>
  <c r="Y42" i="9" s="1"/>
  <c r="Y41" i="9" s="1"/>
  <c r="Y40" i="9" s="1"/>
  <c r="Y39" i="9" s="1"/>
  <c r="Y38" i="9" s="1"/>
  <c r="Y37" i="9" s="1"/>
  <c r="Y36" i="9" s="1"/>
  <c r="Y35" i="9" s="1"/>
  <c r="Y34" i="9" s="1"/>
  <c r="Y33" i="9" s="1"/>
  <c r="Y32" i="9" s="1"/>
  <c r="Y31" i="9" s="1"/>
  <c r="Y30" i="9" s="1"/>
  <c r="Y29" i="9" s="1"/>
  <c r="Y28" i="9" s="1"/>
  <c r="Y27" i="9" s="1"/>
  <c r="Y26" i="9" s="1"/>
  <c r="Y25" i="9" s="1"/>
  <c r="Y24" i="9" s="1"/>
  <c r="Y23" i="9" s="1"/>
  <c r="Y22" i="9" s="1"/>
  <c r="Y21" i="9" s="1"/>
  <c r="Y20" i="9" s="1"/>
  <c r="Y19" i="9" s="1"/>
  <c r="Y18" i="9" s="1"/>
  <c r="Y17" i="9" s="1"/>
  <c r="Y16" i="9" s="1"/>
  <c r="Y15" i="9" s="1"/>
  <c r="D63" i="9"/>
  <c r="D62" i="9" s="1"/>
  <c r="D61" i="9" s="1"/>
  <c r="D60" i="9" s="1"/>
  <c r="D59" i="9" s="1"/>
  <c r="D58" i="9" s="1"/>
  <c r="D57" i="9" s="1"/>
  <c r="D56" i="9" s="1"/>
  <c r="D55" i="9" s="1"/>
  <c r="D54" i="9" s="1"/>
  <c r="D53" i="9" s="1"/>
  <c r="D52" i="9" s="1"/>
  <c r="D51" i="9" s="1"/>
  <c r="D50" i="9" s="1"/>
  <c r="D49" i="9" s="1"/>
  <c r="D48" i="9" s="1"/>
  <c r="D47" i="9" s="1"/>
  <c r="D46" i="9" s="1"/>
  <c r="D45" i="9" s="1"/>
  <c r="D44" i="9" s="1"/>
  <c r="D43" i="9" s="1"/>
  <c r="D42" i="9" s="1"/>
  <c r="D41" i="9" s="1"/>
  <c r="D40" i="9" s="1"/>
  <c r="D39" i="9" s="1"/>
  <c r="D38" i="9" s="1"/>
  <c r="D37" i="9" s="1"/>
  <c r="D36" i="9" s="1"/>
  <c r="D35" i="9" s="1"/>
  <c r="D34" i="9" s="1"/>
  <c r="D33" i="9" s="1"/>
  <c r="D32" i="9" s="1"/>
  <c r="D31" i="9" s="1"/>
  <c r="D30" i="9" s="1"/>
  <c r="D29" i="9" s="1"/>
  <c r="D28" i="9" s="1"/>
  <c r="D27" i="9" s="1"/>
  <c r="D26" i="9" s="1"/>
  <c r="D25" i="9" s="1"/>
  <c r="D24" i="9" s="1"/>
  <c r="D23" i="9" s="1"/>
  <c r="D22" i="9" s="1"/>
  <c r="D21" i="9" s="1"/>
  <c r="D20" i="9" s="1"/>
  <c r="D19" i="9" s="1"/>
  <c r="D18" i="9" s="1"/>
  <c r="D17" i="9" s="1"/>
  <c r="D16" i="9" s="1"/>
  <c r="D15" i="9" s="1"/>
  <c r="G63" i="9"/>
  <c r="G62" i="9" s="1"/>
  <c r="G61" i="9" s="1"/>
  <c r="G60" i="9" s="1"/>
  <c r="G59" i="9" s="1"/>
  <c r="G58" i="9" s="1"/>
  <c r="G57" i="9" s="1"/>
  <c r="G56" i="9" s="1"/>
  <c r="G55" i="9" s="1"/>
  <c r="G54" i="9" s="1"/>
  <c r="G53" i="9" s="1"/>
  <c r="G52" i="9" s="1"/>
  <c r="G51" i="9" s="1"/>
  <c r="G50" i="9" s="1"/>
  <c r="G49" i="9" s="1"/>
  <c r="G48" i="9" s="1"/>
  <c r="G47" i="9" s="1"/>
  <c r="G46" i="9" s="1"/>
  <c r="G45" i="9" s="1"/>
  <c r="G44" i="9" s="1"/>
  <c r="G43" i="9" s="1"/>
  <c r="G42" i="9" s="1"/>
  <c r="G41" i="9" s="1"/>
  <c r="G40" i="9" s="1"/>
  <c r="G39" i="9" s="1"/>
  <c r="G38" i="9" s="1"/>
  <c r="G37" i="9" s="1"/>
  <c r="G36" i="9" s="1"/>
  <c r="G35" i="9" s="1"/>
  <c r="G34" i="9" s="1"/>
  <c r="G33" i="9" s="1"/>
  <c r="G32" i="9" s="1"/>
  <c r="G31" i="9" s="1"/>
  <c r="G30" i="9" s="1"/>
  <c r="G29" i="9" s="1"/>
  <c r="G28" i="9" s="1"/>
  <c r="G27" i="9" s="1"/>
  <c r="G26" i="9" s="1"/>
  <c r="G25" i="9" s="1"/>
  <c r="G24" i="9" s="1"/>
  <c r="G23" i="9" s="1"/>
  <c r="G22" i="9" s="1"/>
  <c r="G21" i="9" s="1"/>
  <c r="G20" i="9" s="1"/>
  <c r="G19" i="9" s="1"/>
  <c r="G18" i="9" s="1"/>
  <c r="G17" i="9" s="1"/>
  <c r="G16" i="9" s="1"/>
  <c r="G15" i="9" s="1"/>
  <c r="W63" i="9"/>
  <c r="W62" i="9" s="1"/>
  <c r="W61" i="9" s="1"/>
  <c r="W60" i="9" s="1"/>
  <c r="W59" i="9" s="1"/>
  <c r="W58" i="9" s="1"/>
  <c r="W57" i="9" s="1"/>
  <c r="W56" i="9" s="1"/>
  <c r="W55" i="9" s="1"/>
  <c r="W54" i="9" s="1"/>
  <c r="W53" i="9" s="1"/>
  <c r="W52" i="9" s="1"/>
  <c r="W51" i="9" s="1"/>
  <c r="W50" i="9" s="1"/>
  <c r="W49" i="9" s="1"/>
  <c r="W48" i="9" s="1"/>
  <c r="W47" i="9" s="1"/>
  <c r="W46" i="9" s="1"/>
  <c r="W45" i="9" s="1"/>
  <c r="W44" i="9" s="1"/>
  <c r="W43" i="9" s="1"/>
  <c r="W42" i="9" s="1"/>
  <c r="W41" i="9" s="1"/>
  <c r="W40" i="9" s="1"/>
  <c r="W39" i="9" s="1"/>
  <c r="W38" i="9" s="1"/>
  <c r="W37" i="9" s="1"/>
  <c r="W36" i="9" s="1"/>
  <c r="W35" i="9" s="1"/>
  <c r="W34" i="9" s="1"/>
  <c r="W33" i="9" s="1"/>
  <c r="W32" i="9" s="1"/>
  <c r="W31" i="9" s="1"/>
  <c r="W30" i="9" s="1"/>
  <c r="W29" i="9" s="1"/>
  <c r="W28" i="9" s="1"/>
  <c r="W27" i="9" s="1"/>
  <c r="W26" i="9" s="1"/>
  <c r="W25" i="9" s="1"/>
  <c r="W24" i="9" s="1"/>
  <c r="W23" i="9" s="1"/>
  <c r="W22" i="9" s="1"/>
  <c r="W21" i="9" s="1"/>
  <c r="W20" i="9" s="1"/>
  <c r="W19" i="9" s="1"/>
  <c r="W18" i="9" s="1"/>
  <c r="W17" i="9" s="1"/>
  <c r="W16" i="9" s="1"/>
  <c r="W15" i="9" s="1"/>
  <c r="R63" i="9"/>
  <c r="R62" i="9" s="1"/>
  <c r="R61" i="9" s="1"/>
  <c r="R60" i="9" s="1"/>
  <c r="R59" i="9" s="1"/>
  <c r="R58" i="9" s="1"/>
  <c r="R57" i="9" s="1"/>
  <c r="R56" i="9" s="1"/>
  <c r="R55" i="9" s="1"/>
  <c r="R54" i="9" s="1"/>
  <c r="R53" i="9" s="1"/>
  <c r="R52" i="9" s="1"/>
  <c r="R51" i="9" s="1"/>
  <c r="R50" i="9" s="1"/>
  <c r="R49" i="9" s="1"/>
  <c r="R48" i="9" s="1"/>
  <c r="R47" i="9" s="1"/>
  <c r="R46" i="9" s="1"/>
  <c r="R45" i="9" s="1"/>
  <c r="R44" i="9" s="1"/>
  <c r="R43" i="9" s="1"/>
  <c r="R42" i="9" s="1"/>
  <c r="R41" i="9" s="1"/>
  <c r="R40" i="9" s="1"/>
  <c r="R39" i="9" s="1"/>
  <c r="R38" i="9" s="1"/>
  <c r="R37" i="9" s="1"/>
  <c r="R36" i="9" s="1"/>
  <c r="R35" i="9" s="1"/>
  <c r="R34" i="9" s="1"/>
  <c r="R33" i="9" s="1"/>
  <c r="R32" i="9" s="1"/>
  <c r="R31" i="9" s="1"/>
  <c r="R30" i="9" s="1"/>
  <c r="R29" i="9" s="1"/>
  <c r="R28" i="9" s="1"/>
  <c r="R27" i="9" s="1"/>
  <c r="R26" i="9" s="1"/>
  <c r="R25" i="9" s="1"/>
  <c r="R24" i="9" s="1"/>
  <c r="R23" i="9" s="1"/>
  <c r="R22" i="9" s="1"/>
  <c r="R21" i="9" s="1"/>
  <c r="R20" i="9" s="1"/>
  <c r="R19" i="9" s="1"/>
  <c r="R18" i="9" s="1"/>
  <c r="R17" i="9" s="1"/>
  <c r="R16" i="9" s="1"/>
  <c r="R15" i="9" s="1"/>
  <c r="AB63" i="9"/>
  <c r="AB62" i="9" s="1"/>
  <c r="AB61" i="9" s="1"/>
  <c r="AB60" i="9" s="1"/>
  <c r="AB59" i="9" s="1"/>
  <c r="AB58" i="9" s="1"/>
  <c r="AB57" i="9" s="1"/>
  <c r="AB56" i="9" s="1"/>
  <c r="AB55" i="9" s="1"/>
  <c r="AB54" i="9" s="1"/>
  <c r="AB53" i="9" s="1"/>
  <c r="AB52" i="9" s="1"/>
  <c r="AB51" i="9" s="1"/>
  <c r="AB50" i="9" s="1"/>
  <c r="AB49" i="9" s="1"/>
  <c r="AB48" i="9" s="1"/>
  <c r="AB47" i="9" s="1"/>
  <c r="AB46" i="9" s="1"/>
  <c r="AB45" i="9" s="1"/>
  <c r="AB44" i="9" s="1"/>
  <c r="AB43" i="9" s="1"/>
  <c r="AB42" i="9" s="1"/>
  <c r="AB41" i="9" s="1"/>
  <c r="AB40" i="9" s="1"/>
  <c r="AB39" i="9" s="1"/>
  <c r="AB38" i="9" s="1"/>
  <c r="AB37" i="9" s="1"/>
  <c r="AB36" i="9" s="1"/>
  <c r="AB35" i="9" s="1"/>
  <c r="AB34" i="9" s="1"/>
  <c r="AB33" i="9" s="1"/>
  <c r="AB32" i="9" s="1"/>
  <c r="AB31" i="9" s="1"/>
  <c r="AB30" i="9" s="1"/>
  <c r="AB29" i="9" s="1"/>
  <c r="AB28" i="9" s="1"/>
  <c r="AB27" i="9" s="1"/>
  <c r="AB26" i="9" s="1"/>
  <c r="AB25" i="9" s="1"/>
  <c r="AB24" i="9" s="1"/>
  <c r="AB23" i="9" s="1"/>
  <c r="AB22" i="9" s="1"/>
  <c r="AB21" i="9" s="1"/>
  <c r="AB20" i="9" s="1"/>
  <c r="AB19" i="9" s="1"/>
  <c r="AB18" i="9" s="1"/>
  <c r="AB17" i="9" s="1"/>
  <c r="AB16" i="9" s="1"/>
  <c r="AB15" i="9" s="1"/>
  <c r="AM63" i="9"/>
  <c r="AM62" i="9" s="1"/>
  <c r="AM61" i="9" s="1"/>
  <c r="AM60" i="9" s="1"/>
  <c r="AM59" i="9" s="1"/>
  <c r="AM58" i="9" s="1"/>
  <c r="AM57" i="9" s="1"/>
  <c r="AM56" i="9" s="1"/>
  <c r="AM55" i="9" s="1"/>
  <c r="AM54" i="9" s="1"/>
  <c r="AM53" i="9" s="1"/>
  <c r="AM52" i="9" s="1"/>
  <c r="AM51" i="9" s="1"/>
  <c r="AM50" i="9" s="1"/>
  <c r="AM49" i="9" s="1"/>
  <c r="AM48" i="9" s="1"/>
  <c r="AM47" i="9" s="1"/>
  <c r="AM46" i="9" s="1"/>
  <c r="AM45" i="9" s="1"/>
  <c r="AM44" i="9" s="1"/>
  <c r="AM43" i="9" s="1"/>
  <c r="AM42" i="9" s="1"/>
  <c r="AM41" i="9" s="1"/>
  <c r="AM40" i="9" s="1"/>
  <c r="AM39" i="9" s="1"/>
  <c r="AM38" i="9" s="1"/>
  <c r="AM37" i="9" s="1"/>
  <c r="AM36" i="9" s="1"/>
  <c r="AM35" i="9" s="1"/>
  <c r="AM34" i="9" s="1"/>
  <c r="AM33" i="9" s="1"/>
  <c r="AM32" i="9" s="1"/>
  <c r="AM31" i="9" s="1"/>
  <c r="AM30" i="9" s="1"/>
  <c r="AM29" i="9" s="1"/>
  <c r="AM28" i="9" s="1"/>
  <c r="AM27" i="9" s="1"/>
  <c r="AM26" i="9" s="1"/>
  <c r="AM25" i="9" s="1"/>
  <c r="AM24" i="9" s="1"/>
  <c r="AM23" i="9" s="1"/>
  <c r="AM22" i="9" s="1"/>
  <c r="AM21" i="9" s="1"/>
  <c r="AM20" i="9" s="1"/>
  <c r="AM19" i="9" s="1"/>
  <c r="AM18" i="9" s="1"/>
  <c r="AM17" i="9" s="1"/>
  <c r="AM16" i="9" s="1"/>
  <c r="AM15" i="9" s="1"/>
  <c r="AT63" i="9"/>
  <c r="AT62" i="9" s="1"/>
  <c r="AT61" i="9" s="1"/>
  <c r="AT60" i="9" s="1"/>
  <c r="AT59" i="9" s="1"/>
  <c r="AT58" i="9" s="1"/>
  <c r="AT57" i="9" s="1"/>
  <c r="AT56" i="9" s="1"/>
  <c r="AT55" i="9" s="1"/>
  <c r="AT54" i="9" s="1"/>
  <c r="AT53" i="9" s="1"/>
  <c r="AT52" i="9" s="1"/>
  <c r="AT51" i="9" s="1"/>
  <c r="AT50" i="9" s="1"/>
  <c r="AT49" i="9" s="1"/>
  <c r="AT48" i="9" s="1"/>
  <c r="AT47" i="9" s="1"/>
  <c r="AT46" i="9" s="1"/>
  <c r="AT45" i="9" s="1"/>
  <c r="AT44" i="9" s="1"/>
  <c r="AT43" i="9" s="1"/>
  <c r="AT42" i="9" s="1"/>
  <c r="AT41" i="9" s="1"/>
  <c r="AT40" i="9" s="1"/>
  <c r="AT39" i="9" s="1"/>
  <c r="AT38" i="9" s="1"/>
  <c r="AT37" i="9" s="1"/>
  <c r="AT36" i="9" s="1"/>
  <c r="AT35" i="9" s="1"/>
  <c r="AT34" i="9" s="1"/>
  <c r="AT33" i="9" s="1"/>
  <c r="AT32" i="9" s="1"/>
  <c r="AT31" i="9" s="1"/>
  <c r="AT30" i="9" s="1"/>
  <c r="AT29" i="9" s="1"/>
  <c r="AT28" i="9" s="1"/>
  <c r="AT27" i="9" s="1"/>
  <c r="AT26" i="9" s="1"/>
  <c r="AT25" i="9" s="1"/>
  <c r="AT24" i="9" s="1"/>
  <c r="AT23" i="9" s="1"/>
  <c r="AT22" i="9" s="1"/>
  <c r="AT21" i="9" s="1"/>
  <c r="AT20" i="9" s="1"/>
  <c r="AT19" i="9" s="1"/>
  <c r="AT18" i="9" s="1"/>
  <c r="AT17" i="9" s="1"/>
  <c r="AT16" i="9" s="1"/>
  <c r="AT15" i="9" s="1"/>
  <c r="AX63" i="9"/>
  <c r="AX62" i="9" s="1"/>
  <c r="AX61" i="9" s="1"/>
  <c r="AX60" i="9" s="1"/>
  <c r="AX59" i="9" s="1"/>
  <c r="AX58" i="9" s="1"/>
  <c r="AX57" i="9" s="1"/>
  <c r="AX56" i="9" s="1"/>
  <c r="AX55" i="9" s="1"/>
  <c r="AX54" i="9" s="1"/>
  <c r="AX53" i="9" s="1"/>
  <c r="AX52" i="9" s="1"/>
  <c r="AX51" i="9" s="1"/>
  <c r="AX50" i="9" s="1"/>
  <c r="AX49" i="9" s="1"/>
  <c r="AX48" i="9" s="1"/>
  <c r="AX47" i="9" s="1"/>
  <c r="AX46" i="9" s="1"/>
  <c r="AX45" i="9" s="1"/>
  <c r="AX44" i="9" s="1"/>
  <c r="AX43" i="9" s="1"/>
  <c r="AX42" i="9" s="1"/>
  <c r="AX41" i="9" s="1"/>
  <c r="AX40" i="9" s="1"/>
  <c r="AX39" i="9" s="1"/>
  <c r="AX38" i="9" s="1"/>
  <c r="AX37" i="9" s="1"/>
  <c r="AX36" i="9" s="1"/>
  <c r="AX35" i="9" s="1"/>
  <c r="AX34" i="9" s="1"/>
  <c r="AX33" i="9" s="1"/>
  <c r="AX32" i="9" s="1"/>
  <c r="AX31" i="9" s="1"/>
  <c r="AX30" i="9" s="1"/>
  <c r="AX29" i="9" s="1"/>
  <c r="AX28" i="9" s="1"/>
  <c r="AX27" i="9" s="1"/>
  <c r="AX26" i="9" s="1"/>
  <c r="AX25" i="9" s="1"/>
  <c r="AX24" i="9" s="1"/>
  <c r="AX23" i="9" s="1"/>
  <c r="AX22" i="9" s="1"/>
  <c r="AX21" i="9" s="1"/>
  <c r="AX20" i="9" s="1"/>
  <c r="AX19" i="9" s="1"/>
  <c r="AX18" i="9" s="1"/>
  <c r="AX17" i="9" s="1"/>
  <c r="AX16" i="9" s="1"/>
  <c r="AX15" i="9" s="1"/>
  <c r="T63" i="9"/>
  <c r="T62" i="9" s="1"/>
  <c r="T61" i="9" s="1"/>
  <c r="T60" i="9" s="1"/>
  <c r="T59" i="9" s="1"/>
  <c r="T58" i="9" s="1"/>
  <c r="T57" i="9" s="1"/>
  <c r="T56" i="9" s="1"/>
  <c r="T55" i="9" s="1"/>
  <c r="T54" i="9" s="1"/>
  <c r="T53" i="9" s="1"/>
  <c r="T52" i="9" s="1"/>
  <c r="T51" i="9" s="1"/>
  <c r="T50" i="9" s="1"/>
  <c r="T49" i="9" s="1"/>
  <c r="T48" i="9" s="1"/>
  <c r="T47" i="9" s="1"/>
  <c r="T46" i="9" s="1"/>
  <c r="T45" i="9" s="1"/>
  <c r="T44" i="9" s="1"/>
  <c r="T43" i="9" s="1"/>
  <c r="T42" i="9" s="1"/>
  <c r="T41" i="9" s="1"/>
  <c r="T40" i="9" s="1"/>
  <c r="T39" i="9" s="1"/>
  <c r="T38" i="9" s="1"/>
  <c r="T37" i="9" s="1"/>
  <c r="T36" i="9" s="1"/>
  <c r="T35" i="9" s="1"/>
  <c r="T34" i="9" s="1"/>
  <c r="T33" i="9" s="1"/>
  <c r="T32" i="9" s="1"/>
  <c r="T31" i="9" s="1"/>
  <c r="T30" i="9" s="1"/>
  <c r="T29" i="9" s="1"/>
  <c r="T28" i="9" s="1"/>
  <c r="T27" i="9" s="1"/>
  <c r="T26" i="9" s="1"/>
  <c r="T25" i="9" s="1"/>
  <c r="T24" i="9" s="1"/>
  <c r="T23" i="9" s="1"/>
  <c r="T22" i="9" s="1"/>
  <c r="T21" i="9" s="1"/>
  <c r="T20" i="9" s="1"/>
  <c r="T19" i="9" s="1"/>
  <c r="T18" i="9" s="1"/>
  <c r="T17" i="9" s="1"/>
  <c r="T16" i="9" s="1"/>
  <c r="T15" i="9" s="1"/>
  <c r="AD63" i="9"/>
  <c r="AD62" i="9" s="1"/>
  <c r="AD61" i="9" s="1"/>
  <c r="AD60" i="9" s="1"/>
  <c r="AD59" i="9" s="1"/>
  <c r="AD58" i="9" s="1"/>
  <c r="AD57" i="9" s="1"/>
  <c r="AD56" i="9" s="1"/>
  <c r="AD55" i="9" s="1"/>
  <c r="AD54" i="9" s="1"/>
  <c r="AD53" i="9" s="1"/>
  <c r="AD52" i="9" s="1"/>
  <c r="AD51" i="9" s="1"/>
  <c r="AD50" i="9" s="1"/>
  <c r="AD49" i="9" s="1"/>
  <c r="AD48" i="9" s="1"/>
  <c r="AD47" i="9" s="1"/>
  <c r="AD46" i="9" s="1"/>
  <c r="AD45" i="9" s="1"/>
  <c r="AD44" i="9" s="1"/>
  <c r="AD43" i="9" s="1"/>
  <c r="AD42" i="9" s="1"/>
  <c r="AD41" i="9" s="1"/>
  <c r="AD40" i="9" s="1"/>
  <c r="AD39" i="9" s="1"/>
  <c r="AD38" i="9" s="1"/>
  <c r="AD37" i="9" s="1"/>
  <c r="AD36" i="9" s="1"/>
  <c r="AD35" i="9" s="1"/>
  <c r="AD34" i="9" s="1"/>
  <c r="AD33" i="9" s="1"/>
  <c r="AD32" i="9" s="1"/>
  <c r="AD31" i="9" s="1"/>
  <c r="AD30" i="9" s="1"/>
  <c r="AD29" i="9" s="1"/>
  <c r="AD28" i="9" s="1"/>
  <c r="AD27" i="9" s="1"/>
  <c r="AD26" i="9" s="1"/>
  <c r="AD25" i="9" s="1"/>
  <c r="AD24" i="9" s="1"/>
  <c r="AD23" i="9" s="1"/>
  <c r="AD22" i="9" s="1"/>
  <c r="AD21" i="9" s="1"/>
  <c r="AD20" i="9" s="1"/>
  <c r="AD19" i="9" s="1"/>
  <c r="AD18" i="9" s="1"/>
  <c r="AD17" i="9" s="1"/>
  <c r="AD16" i="9" s="1"/>
  <c r="AD15" i="9" s="1"/>
  <c r="AU63" i="9"/>
  <c r="AU62" i="9" s="1"/>
  <c r="AU61" i="9" s="1"/>
  <c r="AU60" i="9" s="1"/>
  <c r="AU59" i="9" s="1"/>
  <c r="AU58" i="9" s="1"/>
  <c r="AU57" i="9" s="1"/>
  <c r="AU56" i="9" s="1"/>
  <c r="AU55" i="9" s="1"/>
  <c r="AU54" i="9" s="1"/>
  <c r="AU53" i="9" s="1"/>
  <c r="AU52" i="9" s="1"/>
  <c r="AU51" i="9" s="1"/>
  <c r="AU50" i="9" s="1"/>
  <c r="AU49" i="9" s="1"/>
  <c r="AU48" i="9" s="1"/>
  <c r="AU47" i="9" s="1"/>
  <c r="AU46" i="9" s="1"/>
  <c r="AU45" i="9" s="1"/>
  <c r="AU44" i="9" s="1"/>
  <c r="AU43" i="9" s="1"/>
  <c r="AU42" i="9" s="1"/>
  <c r="AU41" i="9" s="1"/>
  <c r="AU40" i="9" s="1"/>
  <c r="AU39" i="9" s="1"/>
  <c r="AU38" i="9" s="1"/>
  <c r="AU37" i="9" s="1"/>
  <c r="AU36" i="9" s="1"/>
  <c r="AU35" i="9" s="1"/>
  <c r="AU34" i="9" s="1"/>
  <c r="AU33" i="9" s="1"/>
  <c r="AU32" i="9" s="1"/>
  <c r="AU31" i="9" s="1"/>
  <c r="AU30" i="9" s="1"/>
  <c r="AU29" i="9" s="1"/>
  <c r="AU28" i="9" s="1"/>
  <c r="AU27" i="9" s="1"/>
  <c r="AU26" i="9" s="1"/>
  <c r="AU25" i="9" s="1"/>
  <c r="AU24" i="9" s="1"/>
  <c r="AU23" i="9" s="1"/>
  <c r="AU22" i="9" s="1"/>
  <c r="AU21" i="9" s="1"/>
  <c r="AU20" i="9" s="1"/>
  <c r="AU19" i="9" s="1"/>
  <c r="AU18" i="9" s="1"/>
  <c r="AU17" i="9" s="1"/>
  <c r="AU16" i="9" s="1"/>
  <c r="AU15" i="9" s="1"/>
  <c r="C63" i="9"/>
  <c r="C62" i="9" s="1"/>
  <c r="C61" i="9" s="1"/>
  <c r="C60" i="9" s="1"/>
  <c r="C59" i="9" s="1"/>
  <c r="C58" i="9" s="1"/>
  <c r="C57" i="9" s="1"/>
  <c r="C56" i="9" s="1"/>
  <c r="C55" i="9" s="1"/>
  <c r="C54" i="9" s="1"/>
  <c r="C53" i="9" s="1"/>
  <c r="C52" i="9" s="1"/>
  <c r="C51" i="9" s="1"/>
  <c r="C50" i="9" s="1"/>
  <c r="C49" i="9" s="1"/>
  <c r="C48" i="9" s="1"/>
  <c r="C47" i="9" s="1"/>
  <c r="C46" i="9" s="1"/>
  <c r="C45" i="9" s="1"/>
  <c r="C44" i="9" s="1"/>
  <c r="C43" i="9" s="1"/>
  <c r="C42" i="9" s="1"/>
  <c r="C41" i="9" s="1"/>
  <c r="C40" i="9" s="1"/>
  <c r="C39" i="9" s="1"/>
  <c r="C38" i="9" s="1"/>
  <c r="C37" i="9" s="1"/>
  <c r="C36" i="9" s="1"/>
  <c r="C35" i="9" s="1"/>
  <c r="C34" i="9" s="1"/>
  <c r="C33" i="9" s="1"/>
  <c r="C32" i="9" s="1"/>
  <c r="C31" i="9" s="1"/>
  <c r="C30" i="9" s="1"/>
  <c r="C29" i="9" s="1"/>
  <c r="C28" i="9" s="1"/>
  <c r="C27" i="9" s="1"/>
  <c r="C26" i="9" s="1"/>
  <c r="C25" i="9" s="1"/>
  <c r="C24" i="9" s="1"/>
  <c r="C23" i="9" s="1"/>
  <c r="C22" i="9" s="1"/>
  <c r="C21" i="9" s="1"/>
  <c r="C20" i="9" s="1"/>
  <c r="C19" i="9" s="1"/>
  <c r="C18" i="9" s="1"/>
  <c r="C17" i="9" s="1"/>
  <c r="C16" i="9" s="1"/>
  <c r="C15" i="9" s="1"/>
  <c r="H63" i="9"/>
  <c r="H62" i="9" s="1"/>
  <c r="H61" i="9" s="1"/>
  <c r="H60" i="9" s="1"/>
  <c r="H59" i="9" s="1"/>
  <c r="H58" i="9" s="1"/>
  <c r="H57" i="9" s="1"/>
  <c r="H56" i="9" s="1"/>
  <c r="H55" i="9" s="1"/>
  <c r="H54" i="9" s="1"/>
  <c r="H53" i="9" s="1"/>
  <c r="H52" i="9" s="1"/>
  <c r="H51" i="9" s="1"/>
  <c r="H50" i="9" s="1"/>
  <c r="H49" i="9" s="1"/>
  <c r="H48" i="9" s="1"/>
  <c r="H47" i="9" s="1"/>
  <c r="H46" i="9" s="1"/>
  <c r="H45" i="9" s="1"/>
  <c r="H44" i="9" s="1"/>
  <c r="H43" i="9" s="1"/>
  <c r="H42" i="9" s="1"/>
  <c r="H41" i="9" s="1"/>
  <c r="H40" i="9" s="1"/>
  <c r="H39" i="9" s="1"/>
  <c r="H38" i="9" s="1"/>
  <c r="H37" i="9" s="1"/>
  <c r="H36" i="9" s="1"/>
  <c r="H35" i="9" s="1"/>
  <c r="H34" i="9" s="1"/>
  <c r="H33" i="9" s="1"/>
  <c r="H32" i="9" s="1"/>
  <c r="H31" i="9" s="1"/>
  <c r="H30" i="9" s="1"/>
  <c r="H29" i="9" s="1"/>
  <c r="H28" i="9" s="1"/>
  <c r="H27" i="9" s="1"/>
  <c r="H26" i="9" s="1"/>
  <c r="H25" i="9" s="1"/>
  <c r="H24" i="9" s="1"/>
  <c r="H23" i="9" s="1"/>
  <c r="H22" i="9" s="1"/>
  <c r="H21" i="9" s="1"/>
  <c r="H20" i="9" s="1"/>
  <c r="H19" i="9" s="1"/>
  <c r="H18" i="9" s="1"/>
  <c r="H17" i="9" s="1"/>
  <c r="H16" i="9" s="1"/>
  <c r="H15" i="9" s="1"/>
  <c r="I63" i="9"/>
  <c r="I62" i="9" s="1"/>
  <c r="I61" i="9" s="1"/>
  <c r="I60" i="9" s="1"/>
  <c r="I59" i="9" s="1"/>
  <c r="I58" i="9" s="1"/>
  <c r="I57" i="9" s="1"/>
  <c r="I56" i="9" s="1"/>
  <c r="I55" i="9" s="1"/>
  <c r="I54" i="9" s="1"/>
  <c r="I53" i="9" s="1"/>
  <c r="I52" i="9" s="1"/>
  <c r="I51" i="9" s="1"/>
  <c r="I50" i="9" s="1"/>
  <c r="I49" i="9" s="1"/>
  <c r="I48" i="9" s="1"/>
  <c r="I47" i="9" s="1"/>
  <c r="I46" i="9" s="1"/>
  <c r="I45" i="9" s="1"/>
  <c r="I44" i="9" s="1"/>
  <c r="I43" i="9" s="1"/>
  <c r="I42" i="9" s="1"/>
  <c r="I41" i="9" s="1"/>
  <c r="I40" i="9" s="1"/>
  <c r="I39" i="9" s="1"/>
  <c r="I38" i="9" s="1"/>
  <c r="I37" i="9" s="1"/>
  <c r="I36" i="9" s="1"/>
  <c r="I35" i="9" s="1"/>
  <c r="I34" i="9" s="1"/>
  <c r="I33" i="9" s="1"/>
  <c r="I32" i="9" s="1"/>
  <c r="I31" i="9" s="1"/>
  <c r="I30" i="9" s="1"/>
  <c r="I29" i="9" s="1"/>
  <c r="I28" i="9" s="1"/>
  <c r="I27" i="9" s="1"/>
  <c r="I26" i="9" s="1"/>
  <c r="I25" i="9" s="1"/>
  <c r="I24" i="9" s="1"/>
  <c r="I23" i="9" s="1"/>
  <c r="I22" i="9" s="1"/>
  <c r="I21" i="9" s="1"/>
  <c r="I20" i="9" s="1"/>
  <c r="I19" i="9" s="1"/>
  <c r="I18" i="9" s="1"/>
  <c r="I17" i="9" s="1"/>
  <c r="I16" i="9" s="1"/>
  <c r="I15" i="9" s="1"/>
  <c r="X63" i="9"/>
  <c r="X62" i="9" s="1"/>
  <c r="X61" i="9" s="1"/>
  <c r="X60" i="9" s="1"/>
  <c r="X59" i="9" s="1"/>
  <c r="X58" i="9" s="1"/>
  <c r="X57" i="9" s="1"/>
  <c r="X56" i="9" s="1"/>
  <c r="X55" i="9" s="1"/>
  <c r="X54" i="9" s="1"/>
  <c r="X53" i="9" s="1"/>
  <c r="X52" i="9" s="1"/>
  <c r="X51" i="9" s="1"/>
  <c r="X50" i="9" s="1"/>
  <c r="X49" i="9" s="1"/>
  <c r="X48" i="9" s="1"/>
  <c r="X47" i="9" s="1"/>
  <c r="X46" i="9" s="1"/>
  <c r="X45" i="9" s="1"/>
  <c r="X44" i="9" s="1"/>
  <c r="X43" i="9" s="1"/>
  <c r="X42" i="9" s="1"/>
  <c r="X41" i="9" s="1"/>
  <c r="X40" i="9" s="1"/>
  <c r="X39" i="9" s="1"/>
  <c r="X38" i="9" s="1"/>
  <c r="X37" i="9" s="1"/>
  <c r="X36" i="9" s="1"/>
  <c r="X35" i="9" s="1"/>
  <c r="X34" i="9" s="1"/>
  <c r="X33" i="9" s="1"/>
  <c r="X32" i="9" s="1"/>
  <c r="X31" i="9" s="1"/>
  <c r="X30" i="9" s="1"/>
  <c r="X29" i="9" s="1"/>
  <c r="X28" i="9" s="1"/>
  <c r="X27" i="9" s="1"/>
  <c r="X26" i="9" s="1"/>
  <c r="X25" i="9" s="1"/>
  <c r="X24" i="9" s="1"/>
  <c r="X23" i="9" s="1"/>
  <c r="X22" i="9" s="1"/>
  <c r="X21" i="9" s="1"/>
  <c r="X20" i="9" s="1"/>
  <c r="X19" i="9" s="1"/>
  <c r="X18" i="9" s="1"/>
  <c r="X17" i="9" s="1"/>
  <c r="X16" i="9" s="1"/>
  <c r="X15" i="9" s="1"/>
  <c r="O63" i="9"/>
  <c r="O62" i="9" s="1"/>
  <c r="O61" i="9" s="1"/>
  <c r="O60" i="9" s="1"/>
  <c r="O59" i="9" s="1"/>
  <c r="O58" i="9" s="1"/>
  <c r="O57" i="9" s="1"/>
  <c r="O56" i="9" s="1"/>
  <c r="O55" i="9" s="1"/>
  <c r="O54" i="9" s="1"/>
  <c r="O53" i="9" s="1"/>
  <c r="O52" i="9" s="1"/>
  <c r="O51" i="9" s="1"/>
  <c r="O50" i="9" s="1"/>
  <c r="O49" i="9" s="1"/>
  <c r="O48" i="9" s="1"/>
  <c r="O47" i="9" s="1"/>
  <c r="O46" i="9" s="1"/>
  <c r="O45" i="9" s="1"/>
  <c r="O44" i="9" s="1"/>
  <c r="O43" i="9" s="1"/>
  <c r="O42" i="9" s="1"/>
  <c r="O41" i="9" s="1"/>
  <c r="O40" i="9" s="1"/>
  <c r="O39" i="9" s="1"/>
  <c r="O38" i="9" s="1"/>
  <c r="O37" i="9" s="1"/>
  <c r="O36" i="9" s="1"/>
  <c r="O35" i="9" s="1"/>
  <c r="O34" i="9" s="1"/>
  <c r="O33" i="9" s="1"/>
  <c r="O32" i="9" s="1"/>
  <c r="O31" i="9" s="1"/>
  <c r="O30" i="9" s="1"/>
  <c r="O29" i="9" s="1"/>
  <c r="O28" i="9" s="1"/>
  <c r="O27" i="9" s="1"/>
  <c r="O26" i="9" s="1"/>
  <c r="O25" i="9" s="1"/>
  <c r="O24" i="9" s="1"/>
  <c r="O23" i="9" s="1"/>
  <c r="O22" i="9" s="1"/>
  <c r="O21" i="9" s="1"/>
  <c r="O20" i="9" s="1"/>
  <c r="O19" i="9" s="1"/>
  <c r="O18" i="9" s="1"/>
  <c r="O17" i="9" s="1"/>
  <c r="O16" i="9" s="1"/>
  <c r="O15" i="9" s="1"/>
  <c r="J63" i="9"/>
  <c r="J62" i="9" s="1"/>
  <c r="J61" i="9" s="1"/>
  <c r="J60" i="9" s="1"/>
  <c r="J59" i="9" s="1"/>
  <c r="J58" i="9" s="1"/>
  <c r="J57" i="9" s="1"/>
  <c r="J56" i="9" s="1"/>
  <c r="J55" i="9" s="1"/>
  <c r="J54" i="9" s="1"/>
  <c r="J53" i="9" s="1"/>
  <c r="J52" i="9" s="1"/>
  <c r="J51" i="9" s="1"/>
  <c r="J50" i="9" s="1"/>
  <c r="J49" i="9" s="1"/>
  <c r="J48" i="9" s="1"/>
  <c r="J47" i="9" s="1"/>
  <c r="J46" i="9" s="1"/>
  <c r="J45" i="9" s="1"/>
  <c r="J44" i="9" s="1"/>
  <c r="J43" i="9" s="1"/>
  <c r="J42" i="9" s="1"/>
  <c r="J41" i="9" s="1"/>
  <c r="J40" i="9" s="1"/>
  <c r="J39" i="9" s="1"/>
  <c r="J38" i="9" s="1"/>
  <c r="J37" i="9" s="1"/>
  <c r="J36" i="9" s="1"/>
  <c r="J35" i="9" s="1"/>
  <c r="J34" i="9" s="1"/>
  <c r="J33" i="9" s="1"/>
  <c r="J32" i="9" s="1"/>
  <c r="J31" i="9" s="1"/>
  <c r="J30" i="9" s="1"/>
  <c r="J29" i="9" s="1"/>
  <c r="J28" i="9" s="1"/>
  <c r="J27" i="9" s="1"/>
  <c r="J26" i="9" s="1"/>
  <c r="J25" i="9" s="1"/>
  <c r="J24" i="9" s="1"/>
  <c r="J23" i="9" s="1"/>
  <c r="J22" i="9" s="1"/>
  <c r="J21" i="9" s="1"/>
  <c r="J20" i="9" s="1"/>
  <c r="J19" i="9" s="1"/>
  <c r="J18" i="9" s="1"/>
  <c r="J17" i="9" s="1"/>
  <c r="J16" i="9" s="1"/>
  <c r="J15" i="9" s="1"/>
  <c r="Z63" i="9"/>
  <c r="Z62" i="9" s="1"/>
  <c r="Z61" i="9" s="1"/>
  <c r="Z60" i="9" s="1"/>
  <c r="Z59" i="9" s="1"/>
  <c r="Z58" i="9" s="1"/>
  <c r="Z57" i="9" s="1"/>
  <c r="Z56" i="9" s="1"/>
  <c r="Z55" i="9" s="1"/>
  <c r="Z54" i="9" s="1"/>
  <c r="Z53" i="9" s="1"/>
  <c r="Z52" i="9" s="1"/>
  <c r="Z51" i="9" s="1"/>
  <c r="Z50" i="9" s="1"/>
  <c r="Z49" i="9" s="1"/>
  <c r="Z48" i="9" s="1"/>
  <c r="Z47" i="9" s="1"/>
  <c r="Z46" i="9" s="1"/>
  <c r="Z45" i="9" s="1"/>
  <c r="Z44" i="9" s="1"/>
  <c r="Z43" i="9" s="1"/>
  <c r="Z42" i="9" s="1"/>
  <c r="Z41" i="9" s="1"/>
  <c r="Z40" i="9" s="1"/>
  <c r="Z39" i="9" s="1"/>
  <c r="Z38" i="9" s="1"/>
  <c r="Z37" i="9" s="1"/>
  <c r="Z36" i="9" s="1"/>
  <c r="Z35" i="9" s="1"/>
  <c r="Z34" i="9" s="1"/>
  <c r="Z33" i="9" s="1"/>
  <c r="Z32" i="9" s="1"/>
  <c r="Z31" i="9" s="1"/>
  <c r="Z30" i="9" s="1"/>
  <c r="Z29" i="9" s="1"/>
  <c r="Z28" i="9" s="1"/>
  <c r="Z27" i="9" s="1"/>
  <c r="Z26" i="9" s="1"/>
  <c r="Z25" i="9" s="1"/>
  <c r="Z24" i="9" s="1"/>
  <c r="Z23" i="9" s="1"/>
  <c r="Z22" i="9" s="1"/>
  <c r="Z21" i="9" s="1"/>
  <c r="Z20" i="9" s="1"/>
  <c r="Z19" i="9" s="1"/>
  <c r="Z18" i="9" s="1"/>
  <c r="Z17" i="9" s="1"/>
  <c r="Z16" i="9" s="1"/>
  <c r="Z15" i="9" s="1"/>
  <c r="AE63" i="9"/>
  <c r="AE62" i="9" s="1"/>
  <c r="AE61" i="9" s="1"/>
  <c r="AE60" i="9" s="1"/>
  <c r="AE59" i="9" s="1"/>
  <c r="AE58" i="9" s="1"/>
  <c r="AE57" i="9" s="1"/>
  <c r="AE56" i="9" s="1"/>
  <c r="AE55" i="9" s="1"/>
  <c r="AE54" i="9" s="1"/>
  <c r="AE53" i="9" s="1"/>
  <c r="AE52" i="9" s="1"/>
  <c r="AE51" i="9" s="1"/>
  <c r="AE50" i="9" s="1"/>
  <c r="AE49" i="9" s="1"/>
  <c r="AE48" i="9" s="1"/>
  <c r="AE47" i="9" s="1"/>
  <c r="AE46" i="9" s="1"/>
  <c r="AE45" i="9" s="1"/>
  <c r="AE44" i="9" s="1"/>
  <c r="AE43" i="9" s="1"/>
  <c r="AE42" i="9" s="1"/>
  <c r="AE41" i="9" s="1"/>
  <c r="AE40" i="9" s="1"/>
  <c r="AE39" i="9" s="1"/>
  <c r="AE38" i="9" s="1"/>
  <c r="AE37" i="9" s="1"/>
  <c r="AE36" i="9" s="1"/>
  <c r="AE35" i="9" s="1"/>
  <c r="AE34" i="9" s="1"/>
  <c r="AE33" i="9" s="1"/>
  <c r="AE32" i="9" s="1"/>
  <c r="AE31" i="9" s="1"/>
  <c r="AE30" i="9" s="1"/>
  <c r="AE29" i="9" s="1"/>
  <c r="AE28" i="9" s="1"/>
  <c r="AE27" i="9" s="1"/>
  <c r="AE26" i="9" s="1"/>
  <c r="AE25" i="9" s="1"/>
  <c r="AE24" i="9" s="1"/>
  <c r="AE23" i="9" s="1"/>
  <c r="AE22" i="9" s="1"/>
  <c r="AE21" i="9" s="1"/>
  <c r="AE20" i="9" s="1"/>
  <c r="AE19" i="9" s="1"/>
  <c r="AE18" i="9" s="1"/>
  <c r="AE17" i="9" s="1"/>
  <c r="AE16" i="9" s="1"/>
  <c r="AE15" i="9" s="1"/>
  <c r="AG63" i="9"/>
  <c r="AG62" i="9" s="1"/>
  <c r="AG61" i="9" s="1"/>
  <c r="AG60" i="9" s="1"/>
  <c r="AG59" i="9" s="1"/>
  <c r="AG58" i="9" s="1"/>
  <c r="AG57" i="9" s="1"/>
  <c r="AG56" i="9" s="1"/>
  <c r="AG55" i="9" s="1"/>
  <c r="AG54" i="9" s="1"/>
  <c r="AG53" i="9" s="1"/>
  <c r="AG52" i="9" s="1"/>
  <c r="AG51" i="9" s="1"/>
  <c r="AG50" i="9" s="1"/>
  <c r="AG49" i="9" s="1"/>
  <c r="AG48" i="9" s="1"/>
  <c r="AG47" i="9" s="1"/>
  <c r="AG46" i="9" s="1"/>
  <c r="AG45" i="9" s="1"/>
  <c r="AG44" i="9" s="1"/>
  <c r="AG43" i="9" s="1"/>
  <c r="AG42" i="9" s="1"/>
  <c r="AG41" i="9" s="1"/>
  <c r="AG40" i="9" s="1"/>
  <c r="AG39" i="9" s="1"/>
  <c r="AG38" i="9" s="1"/>
  <c r="AG37" i="9" s="1"/>
  <c r="AG36" i="9" s="1"/>
  <c r="AG35" i="9" s="1"/>
  <c r="AG34" i="9" s="1"/>
  <c r="AG33" i="9" s="1"/>
  <c r="AG32" i="9" s="1"/>
  <c r="AG31" i="9" s="1"/>
  <c r="AG30" i="9" s="1"/>
  <c r="AG29" i="9" s="1"/>
  <c r="AG28" i="9" s="1"/>
  <c r="AG27" i="9" s="1"/>
  <c r="AG26" i="9" s="1"/>
  <c r="AG25" i="9" s="1"/>
  <c r="AG24" i="9" s="1"/>
  <c r="AG23" i="9" s="1"/>
  <c r="AG22" i="9" s="1"/>
  <c r="AG21" i="9" s="1"/>
  <c r="AG20" i="9" s="1"/>
  <c r="AG19" i="9" s="1"/>
  <c r="AG18" i="9" s="1"/>
  <c r="AG17" i="9" s="1"/>
  <c r="AG16" i="9" s="1"/>
  <c r="AG15" i="9" s="1"/>
  <c r="AL63" i="9"/>
  <c r="AL62" i="9" s="1"/>
  <c r="AL61" i="9" s="1"/>
  <c r="AL60" i="9" s="1"/>
  <c r="AL59" i="9" s="1"/>
  <c r="AL58" i="9" s="1"/>
  <c r="AL57" i="9" s="1"/>
  <c r="AL56" i="9" s="1"/>
  <c r="AL55" i="9" s="1"/>
  <c r="AL54" i="9" s="1"/>
  <c r="AL53" i="9" s="1"/>
  <c r="AL52" i="9" s="1"/>
  <c r="AL51" i="9" s="1"/>
  <c r="AL50" i="9" s="1"/>
  <c r="AL49" i="9" s="1"/>
  <c r="AL48" i="9" s="1"/>
  <c r="AL47" i="9" s="1"/>
  <c r="AL46" i="9" s="1"/>
  <c r="AL45" i="9" s="1"/>
  <c r="AL44" i="9" s="1"/>
  <c r="AL43" i="9" s="1"/>
  <c r="AL42" i="9" s="1"/>
  <c r="AL41" i="9" s="1"/>
  <c r="AL40" i="9" s="1"/>
  <c r="AL39" i="9" s="1"/>
  <c r="AL38" i="9" s="1"/>
  <c r="AL37" i="9" s="1"/>
  <c r="AL36" i="9" s="1"/>
  <c r="AL35" i="9" s="1"/>
  <c r="AL34" i="9" s="1"/>
  <c r="AL33" i="9" s="1"/>
  <c r="AL32" i="9" s="1"/>
  <c r="AL31" i="9" s="1"/>
  <c r="AL30" i="9" s="1"/>
  <c r="AL29" i="9" s="1"/>
  <c r="AL28" i="9" s="1"/>
  <c r="AL27" i="9" s="1"/>
  <c r="AL26" i="9" s="1"/>
  <c r="AL25" i="9" s="1"/>
  <c r="AL24" i="9" s="1"/>
  <c r="AL23" i="9" s="1"/>
  <c r="AL22" i="9" s="1"/>
  <c r="AL21" i="9" s="1"/>
  <c r="AL20" i="9" s="1"/>
  <c r="AL19" i="9" s="1"/>
  <c r="AL18" i="9" s="1"/>
  <c r="AL17" i="9" s="1"/>
  <c r="AL16" i="9" s="1"/>
  <c r="AL15" i="9" s="1"/>
  <c r="AY63" i="9"/>
  <c r="AY62" i="9" s="1"/>
  <c r="AY61" i="9" s="1"/>
  <c r="AY60" i="9" s="1"/>
  <c r="AY59" i="9" s="1"/>
  <c r="AY58" i="9" s="1"/>
  <c r="AY57" i="9" s="1"/>
  <c r="AY56" i="9" s="1"/>
  <c r="AY55" i="9" s="1"/>
  <c r="AY54" i="9" s="1"/>
  <c r="AY53" i="9" s="1"/>
  <c r="AY52" i="9" s="1"/>
  <c r="AY51" i="9" s="1"/>
  <c r="AY50" i="9" s="1"/>
  <c r="AY49" i="9" s="1"/>
  <c r="AY48" i="9" s="1"/>
  <c r="AY47" i="9" s="1"/>
  <c r="AY46" i="9" s="1"/>
  <c r="AY45" i="9" s="1"/>
  <c r="AY44" i="9" s="1"/>
  <c r="AY43" i="9" s="1"/>
  <c r="AY42" i="9" s="1"/>
  <c r="AY41" i="9" s="1"/>
  <c r="AY40" i="9" s="1"/>
  <c r="AY39" i="9" s="1"/>
  <c r="AY38" i="9" s="1"/>
  <c r="AY37" i="9" s="1"/>
  <c r="AY36" i="9" s="1"/>
  <c r="AY35" i="9" s="1"/>
  <c r="AY34" i="9" s="1"/>
  <c r="AY33" i="9" s="1"/>
  <c r="AY32" i="9" s="1"/>
  <c r="AY31" i="9" s="1"/>
  <c r="AY30" i="9" s="1"/>
  <c r="AY29" i="9" s="1"/>
  <c r="AY28" i="9" s="1"/>
  <c r="AY27" i="9" s="1"/>
  <c r="AY26" i="9" s="1"/>
  <c r="AY25" i="9" s="1"/>
  <c r="AY24" i="9" s="1"/>
  <c r="AY23" i="9" s="1"/>
  <c r="AY22" i="9" s="1"/>
  <c r="AY21" i="9" s="1"/>
  <c r="AY20" i="9" s="1"/>
  <c r="AY19" i="9" s="1"/>
  <c r="AY18" i="9" s="1"/>
  <c r="AY17" i="9" s="1"/>
  <c r="AY16" i="9" s="1"/>
  <c r="AY15" i="9" s="1"/>
  <c r="U63" i="9"/>
  <c r="U62" i="9" s="1"/>
  <c r="U61" i="9" s="1"/>
  <c r="U60" i="9" s="1"/>
  <c r="U59" i="9" s="1"/>
  <c r="U58" i="9" s="1"/>
  <c r="U57" i="9" s="1"/>
  <c r="U56" i="9" s="1"/>
  <c r="U55" i="9" s="1"/>
  <c r="U54" i="9" s="1"/>
  <c r="U53" i="9" s="1"/>
  <c r="U52" i="9" s="1"/>
  <c r="U51" i="9" s="1"/>
  <c r="U50" i="9" s="1"/>
  <c r="U49" i="9" s="1"/>
  <c r="U48" i="9" s="1"/>
  <c r="U47" i="9" s="1"/>
  <c r="U46" i="9" s="1"/>
  <c r="U45" i="9" s="1"/>
  <c r="U44" i="9" s="1"/>
  <c r="U43" i="9" s="1"/>
  <c r="U42" i="9" s="1"/>
  <c r="U41" i="9" s="1"/>
  <c r="U40" i="9" s="1"/>
  <c r="U39" i="9" s="1"/>
  <c r="U38" i="9" s="1"/>
  <c r="U37" i="9" s="1"/>
  <c r="U36" i="9" s="1"/>
  <c r="U35" i="9" s="1"/>
  <c r="U34" i="9" s="1"/>
  <c r="U33" i="9" s="1"/>
  <c r="U32" i="9" s="1"/>
  <c r="U31" i="9" s="1"/>
  <c r="U30" i="9" s="1"/>
  <c r="U29" i="9" s="1"/>
  <c r="U28" i="9" s="1"/>
  <c r="U27" i="9" s="1"/>
  <c r="U26" i="9" s="1"/>
  <c r="U25" i="9" s="1"/>
  <c r="U24" i="9" s="1"/>
  <c r="U23" i="9" s="1"/>
  <c r="U22" i="9" s="1"/>
  <c r="U21" i="9" s="1"/>
  <c r="U20" i="9" s="1"/>
  <c r="U19" i="9" s="1"/>
  <c r="U18" i="9" s="1"/>
  <c r="U17" i="9" s="1"/>
  <c r="U16" i="9" s="1"/>
  <c r="U15" i="9" s="1"/>
  <c r="L63" i="9"/>
  <c r="L62" i="9" s="1"/>
  <c r="L61" i="9" s="1"/>
  <c r="L60" i="9" s="1"/>
  <c r="L59" i="9" s="1"/>
  <c r="L58" i="9" s="1"/>
  <c r="L57" i="9" s="1"/>
  <c r="L56" i="9" s="1"/>
  <c r="L55" i="9" s="1"/>
  <c r="L54" i="9" s="1"/>
  <c r="L53" i="9" s="1"/>
  <c r="L52" i="9" s="1"/>
  <c r="L51" i="9" s="1"/>
  <c r="L50" i="9" s="1"/>
  <c r="L49" i="9" s="1"/>
  <c r="L48" i="9" s="1"/>
  <c r="L47" i="9" s="1"/>
  <c r="L46" i="9" s="1"/>
  <c r="L45" i="9" s="1"/>
  <c r="L44" i="9" s="1"/>
  <c r="L43" i="9" s="1"/>
  <c r="L42" i="9" s="1"/>
  <c r="L41" i="9" s="1"/>
  <c r="L40" i="9" s="1"/>
  <c r="L39" i="9" s="1"/>
  <c r="L38" i="9" s="1"/>
  <c r="L37" i="9" s="1"/>
  <c r="L36" i="9" s="1"/>
  <c r="L35" i="9" s="1"/>
  <c r="L34" i="9" s="1"/>
  <c r="L33" i="9" s="1"/>
  <c r="L32" i="9" s="1"/>
  <c r="L31" i="9" s="1"/>
  <c r="L30" i="9" s="1"/>
  <c r="L29" i="9" s="1"/>
  <c r="L28" i="9" s="1"/>
  <c r="L27" i="9" s="1"/>
  <c r="L26" i="9" s="1"/>
  <c r="L25" i="9" s="1"/>
  <c r="L24" i="9" s="1"/>
  <c r="L23" i="9" s="1"/>
  <c r="L22" i="9" s="1"/>
  <c r="L21" i="9" s="1"/>
  <c r="L20" i="9" s="1"/>
  <c r="L19" i="9" s="1"/>
  <c r="L18" i="9" s="1"/>
  <c r="L17" i="9" s="1"/>
  <c r="L16" i="9" s="1"/>
  <c r="L15" i="9" s="1"/>
  <c r="AC63" i="9"/>
  <c r="AC62" i="9" s="1"/>
  <c r="AC61" i="9" s="1"/>
  <c r="AC60" i="9" s="1"/>
  <c r="AC59" i="9" s="1"/>
  <c r="AC58" i="9" s="1"/>
  <c r="AC57" i="9" s="1"/>
  <c r="AC56" i="9" s="1"/>
  <c r="AC55" i="9" s="1"/>
  <c r="AC54" i="9" s="1"/>
  <c r="AC53" i="9" s="1"/>
  <c r="AC52" i="9" s="1"/>
  <c r="AC51" i="9" s="1"/>
  <c r="AC50" i="9" s="1"/>
  <c r="AC49" i="9" s="1"/>
  <c r="AC48" i="9" s="1"/>
  <c r="AC47" i="9" s="1"/>
  <c r="AC46" i="9" s="1"/>
  <c r="AC45" i="9" s="1"/>
  <c r="AC44" i="9" s="1"/>
  <c r="AC43" i="9" s="1"/>
  <c r="AC42" i="9" s="1"/>
  <c r="AC41" i="9" s="1"/>
  <c r="AC40" i="9" s="1"/>
  <c r="AC39" i="9" s="1"/>
  <c r="AC38" i="9" s="1"/>
  <c r="AC37" i="9" s="1"/>
  <c r="AC36" i="9" s="1"/>
  <c r="AC35" i="9" s="1"/>
  <c r="AC34" i="9" s="1"/>
  <c r="AC33" i="9" s="1"/>
  <c r="AC32" i="9" s="1"/>
  <c r="AC31" i="9" s="1"/>
  <c r="AC30" i="9" s="1"/>
  <c r="AC29" i="9" s="1"/>
  <c r="AC28" i="9" s="1"/>
  <c r="AC27" i="9" s="1"/>
  <c r="AC26" i="9" s="1"/>
  <c r="AC25" i="9" s="1"/>
  <c r="AC24" i="9" s="1"/>
  <c r="AC23" i="9" s="1"/>
  <c r="AC22" i="9" s="1"/>
  <c r="AC21" i="9" s="1"/>
  <c r="AC20" i="9" s="1"/>
  <c r="AC19" i="9" s="1"/>
  <c r="AC18" i="9" s="1"/>
  <c r="AC17" i="9" s="1"/>
  <c r="AC16" i="9" s="1"/>
  <c r="AC15" i="9" s="1"/>
  <c r="S63" i="9"/>
  <c r="S62" i="9" s="1"/>
  <c r="S61" i="9" s="1"/>
  <c r="S60" i="9" s="1"/>
  <c r="S59" i="9" s="1"/>
  <c r="S58" i="9" s="1"/>
  <c r="S57" i="9" s="1"/>
  <c r="S56" i="9" s="1"/>
  <c r="S55" i="9" s="1"/>
  <c r="S54" i="9" s="1"/>
  <c r="S53" i="9" s="1"/>
  <c r="S52" i="9" s="1"/>
  <c r="S51" i="9" s="1"/>
  <c r="S50" i="9" s="1"/>
  <c r="S49" i="9" s="1"/>
  <c r="S48" i="9" s="1"/>
  <c r="S47" i="9" s="1"/>
  <c r="S46" i="9" s="1"/>
  <c r="S45" i="9" s="1"/>
  <c r="S44" i="9" s="1"/>
  <c r="S43" i="9" s="1"/>
  <c r="S42" i="9" s="1"/>
  <c r="S41" i="9" s="1"/>
  <c r="S40" i="9" s="1"/>
  <c r="S39" i="9" s="1"/>
  <c r="S38" i="9" s="1"/>
  <c r="S37" i="9" s="1"/>
  <c r="S36" i="9" s="1"/>
  <c r="S35" i="9" s="1"/>
  <c r="S34" i="9" s="1"/>
  <c r="S33" i="9" s="1"/>
  <c r="S32" i="9" s="1"/>
  <c r="S31" i="9" s="1"/>
  <c r="S30" i="9" s="1"/>
  <c r="S29" i="9" s="1"/>
  <c r="S28" i="9" s="1"/>
  <c r="S27" i="9" s="1"/>
  <c r="S26" i="9" s="1"/>
  <c r="S25" i="9" s="1"/>
  <c r="S24" i="9" s="1"/>
  <c r="S23" i="9" s="1"/>
  <c r="S22" i="9" s="1"/>
  <c r="S21" i="9" s="1"/>
  <c r="S20" i="9" s="1"/>
  <c r="S19" i="9" s="1"/>
  <c r="S18" i="9" s="1"/>
  <c r="S17" i="9" s="1"/>
  <c r="S16" i="9" s="1"/>
  <c r="S15" i="9" s="1"/>
  <c r="N63" i="9"/>
  <c r="N62" i="9" s="1"/>
  <c r="N61" i="9" s="1"/>
  <c r="N60" i="9" s="1"/>
  <c r="N59" i="9" s="1"/>
  <c r="N58" i="9" s="1"/>
  <c r="N57" i="9" s="1"/>
  <c r="N56" i="9" s="1"/>
  <c r="N55" i="9" s="1"/>
  <c r="N54" i="9" s="1"/>
  <c r="N53" i="9" s="1"/>
  <c r="N52" i="9" s="1"/>
  <c r="N51" i="9" s="1"/>
  <c r="N50" i="9" s="1"/>
  <c r="N49" i="9" s="1"/>
  <c r="N48" i="9" s="1"/>
  <c r="N47" i="9" s="1"/>
  <c r="N46" i="9" s="1"/>
  <c r="N45" i="9" s="1"/>
  <c r="N44" i="9" s="1"/>
  <c r="N43" i="9" s="1"/>
  <c r="N42" i="9" s="1"/>
  <c r="N41" i="9" s="1"/>
  <c r="N40" i="9" s="1"/>
  <c r="N39" i="9" s="1"/>
  <c r="N38" i="9" s="1"/>
  <c r="N37" i="9" s="1"/>
  <c r="N36" i="9" s="1"/>
  <c r="N35" i="9" s="1"/>
  <c r="N34" i="9" s="1"/>
  <c r="N33" i="9" s="1"/>
  <c r="N32" i="9" s="1"/>
  <c r="N31" i="9" s="1"/>
  <c r="N30" i="9" s="1"/>
  <c r="N29" i="9" s="1"/>
  <c r="N28" i="9" s="1"/>
  <c r="N27" i="9" s="1"/>
  <c r="N26" i="9" s="1"/>
  <c r="N25" i="9" s="1"/>
  <c r="N24" i="9" s="1"/>
  <c r="N23" i="9" s="1"/>
  <c r="N22" i="9" s="1"/>
  <c r="N21" i="9" s="1"/>
  <c r="N20" i="9" s="1"/>
  <c r="N19" i="9" s="1"/>
  <c r="N18" i="9" s="1"/>
  <c r="N17" i="9" s="1"/>
  <c r="N16" i="9" s="1"/>
  <c r="N15" i="9" s="1"/>
  <c r="AO63" i="9"/>
  <c r="AO62" i="9" s="1"/>
  <c r="AO61" i="9" s="1"/>
  <c r="AO60" i="9" s="1"/>
  <c r="AO59" i="9" s="1"/>
  <c r="AO58" i="9" s="1"/>
  <c r="AO57" i="9" s="1"/>
  <c r="AO56" i="9" s="1"/>
  <c r="AO55" i="9" s="1"/>
  <c r="AO54" i="9" s="1"/>
  <c r="AO53" i="9" s="1"/>
  <c r="AO52" i="9" s="1"/>
  <c r="AO51" i="9" s="1"/>
  <c r="AO50" i="9" s="1"/>
  <c r="AO49" i="9" s="1"/>
  <c r="AO48" i="9" s="1"/>
  <c r="AO47" i="9" s="1"/>
  <c r="AO46" i="9" s="1"/>
  <c r="AO45" i="9" s="1"/>
  <c r="AO44" i="9" s="1"/>
  <c r="AO43" i="9" s="1"/>
  <c r="AO42" i="9" s="1"/>
  <c r="AO41" i="9" s="1"/>
  <c r="AO40" i="9" s="1"/>
  <c r="AO39" i="9" s="1"/>
  <c r="AO38" i="9" s="1"/>
  <c r="AO37" i="9" s="1"/>
  <c r="AO36" i="9" s="1"/>
  <c r="AO35" i="9" s="1"/>
  <c r="AO34" i="9" s="1"/>
  <c r="AO33" i="9" s="1"/>
  <c r="AO32" i="9" s="1"/>
  <c r="AO31" i="9" s="1"/>
  <c r="AO30" i="9" s="1"/>
  <c r="AO29" i="9" s="1"/>
  <c r="AO28" i="9" s="1"/>
  <c r="AO27" i="9" s="1"/>
  <c r="AO26" i="9" s="1"/>
  <c r="AO25" i="9" s="1"/>
  <c r="AO24" i="9" s="1"/>
  <c r="AO23" i="9" s="1"/>
  <c r="AO22" i="9" s="1"/>
  <c r="AO21" i="9" s="1"/>
  <c r="AO20" i="9" s="1"/>
  <c r="AO19" i="9" s="1"/>
  <c r="AO18" i="9" s="1"/>
  <c r="AO17" i="9" s="1"/>
  <c r="AO16" i="9" s="1"/>
  <c r="AO15" i="9" s="1"/>
  <c r="AI63" i="9"/>
  <c r="AI62" i="9" s="1"/>
  <c r="AI61" i="9" s="1"/>
  <c r="AI60" i="9" s="1"/>
  <c r="AI59" i="9" s="1"/>
  <c r="AI58" i="9" s="1"/>
  <c r="AI57" i="9" s="1"/>
  <c r="AI56" i="9" s="1"/>
  <c r="AI55" i="9" s="1"/>
  <c r="AI54" i="9" s="1"/>
  <c r="AI53" i="9" s="1"/>
  <c r="AI52" i="9" s="1"/>
  <c r="AI51" i="9" s="1"/>
  <c r="AI50" i="9" s="1"/>
  <c r="AI49" i="9" s="1"/>
  <c r="AI48" i="9" s="1"/>
  <c r="AI47" i="9" s="1"/>
  <c r="AI46" i="9" s="1"/>
  <c r="AI45" i="9" s="1"/>
  <c r="AI44" i="9" s="1"/>
  <c r="AI43" i="9" s="1"/>
  <c r="AI42" i="9" s="1"/>
  <c r="AI41" i="9" s="1"/>
  <c r="AI40" i="9" s="1"/>
  <c r="AI39" i="9" s="1"/>
  <c r="AI38" i="9" s="1"/>
  <c r="AI37" i="9" s="1"/>
  <c r="AI36" i="9" s="1"/>
  <c r="AI35" i="9" s="1"/>
  <c r="AI34" i="9" s="1"/>
  <c r="AI33" i="9" s="1"/>
  <c r="AI32" i="9" s="1"/>
  <c r="AI31" i="9" s="1"/>
  <c r="AI30" i="9" s="1"/>
  <c r="AI29" i="9" s="1"/>
  <c r="AI28" i="9" s="1"/>
  <c r="AI27" i="9" s="1"/>
  <c r="AI26" i="9" s="1"/>
  <c r="AI25" i="9" s="1"/>
  <c r="AI24" i="9" s="1"/>
  <c r="AI23" i="9" s="1"/>
  <c r="AI22" i="9" s="1"/>
  <c r="AI21" i="9" s="1"/>
  <c r="AI20" i="9" s="1"/>
  <c r="AI19" i="9" s="1"/>
  <c r="AI18" i="9" s="1"/>
  <c r="AI17" i="9" s="1"/>
  <c r="AI16" i="9" s="1"/>
  <c r="AI15" i="9" s="1"/>
  <c r="AP63" i="9"/>
  <c r="AP62" i="9" s="1"/>
  <c r="AP61" i="9" s="1"/>
  <c r="AP60" i="9" s="1"/>
  <c r="AP59" i="9" s="1"/>
  <c r="AP58" i="9" s="1"/>
  <c r="AP57" i="9" s="1"/>
  <c r="AP56" i="9" s="1"/>
  <c r="AP55" i="9" s="1"/>
  <c r="AP54" i="9" s="1"/>
  <c r="AP53" i="9" s="1"/>
  <c r="AP52" i="9" s="1"/>
  <c r="AP51" i="9" s="1"/>
  <c r="AP50" i="9" s="1"/>
  <c r="AP49" i="9" s="1"/>
  <c r="AP48" i="9" s="1"/>
  <c r="AP47" i="9" s="1"/>
  <c r="AP46" i="9" s="1"/>
  <c r="AP45" i="9" s="1"/>
  <c r="AP44" i="9" s="1"/>
  <c r="AP43" i="9" s="1"/>
  <c r="AP42" i="9" s="1"/>
  <c r="AP41" i="9" s="1"/>
  <c r="AP40" i="9" s="1"/>
  <c r="AP39" i="9" s="1"/>
  <c r="AP38" i="9" s="1"/>
  <c r="AP37" i="9" s="1"/>
  <c r="AP36" i="9" s="1"/>
  <c r="AP35" i="9" s="1"/>
  <c r="AP34" i="9" s="1"/>
  <c r="AP33" i="9" s="1"/>
  <c r="AP32" i="9" s="1"/>
  <c r="AP31" i="9" s="1"/>
  <c r="AP30" i="9" s="1"/>
  <c r="AP29" i="9" s="1"/>
  <c r="AP28" i="9" s="1"/>
  <c r="AP27" i="9" s="1"/>
  <c r="AP26" i="9" s="1"/>
  <c r="AP25" i="9" s="1"/>
  <c r="AP24" i="9" s="1"/>
  <c r="AP23" i="9" s="1"/>
  <c r="AP22" i="9" s="1"/>
  <c r="AP21" i="9" s="1"/>
  <c r="AP20" i="9" s="1"/>
  <c r="AP19" i="9" s="1"/>
  <c r="AP18" i="9" s="1"/>
  <c r="AP17" i="9" s="1"/>
  <c r="AP16" i="9" s="1"/>
  <c r="AP15" i="9" s="1"/>
  <c r="AY16" i="8"/>
  <c r="AZ18" i="1"/>
  <c r="AY17" i="8" l="1"/>
  <c r="AZ19" i="1"/>
  <c r="AY18" i="8" l="1"/>
  <c r="AZ20" i="1"/>
  <c r="AY19" i="8" l="1"/>
  <c r="AZ21" i="1"/>
  <c r="AY20" i="8" l="1"/>
  <c r="AZ22" i="1"/>
  <c r="AY21" i="8" l="1"/>
  <c r="AZ23" i="1"/>
  <c r="AY22" i="8" l="1"/>
  <c r="AZ24" i="1"/>
  <c r="AY23" i="8" l="1"/>
  <c r="AZ25" i="1"/>
  <c r="AY24" i="8" l="1"/>
  <c r="AZ26" i="1"/>
  <c r="AY25" i="8" l="1"/>
  <c r="AZ27" i="1"/>
  <c r="AY26" i="8" l="1"/>
  <c r="AZ28" i="1"/>
  <c r="AY27" i="8" l="1"/>
  <c r="AZ29" i="1"/>
  <c r="AY28" i="8" l="1"/>
  <c r="AZ30" i="1"/>
  <c r="AY29" i="8" l="1"/>
  <c r="AZ31" i="1"/>
  <c r="AY30" i="8" l="1"/>
  <c r="AZ32" i="1"/>
  <c r="AY31" i="8" l="1"/>
  <c r="AZ33" i="1"/>
  <c r="AY32" i="8" l="1"/>
  <c r="AZ34" i="1"/>
  <c r="AY33" i="8" l="1"/>
  <c r="AZ35" i="1"/>
  <c r="AY34" i="8" l="1"/>
  <c r="AZ36" i="1"/>
  <c r="AY35" i="8" l="1"/>
  <c r="AZ37" i="1"/>
  <c r="AY36" i="8" l="1"/>
  <c r="AZ38" i="1"/>
  <c r="AY37" i="8" l="1"/>
  <c r="AZ39" i="1"/>
  <c r="AY38" i="8" l="1"/>
  <c r="AZ40" i="1"/>
  <c r="AY39" i="8" l="1"/>
  <c r="AZ41" i="1"/>
  <c r="AY40" i="8" l="1"/>
  <c r="AZ42" i="1"/>
  <c r="AY41" i="8" l="1"/>
  <c r="AZ43" i="1"/>
  <c r="AY42" i="8" l="1"/>
  <c r="AZ44" i="1"/>
  <c r="AY43" i="8" l="1"/>
  <c r="AZ45" i="1"/>
  <c r="AY44" i="8" l="1"/>
  <c r="AZ46" i="1"/>
  <c r="AY45" i="8" l="1"/>
  <c r="AZ47" i="1"/>
  <c r="AY46" i="8" l="1"/>
  <c r="AZ48" i="1"/>
  <c r="AY47" i="8" l="1"/>
  <c r="AZ49" i="1"/>
  <c r="AY48" i="8" l="1"/>
  <c r="AZ50" i="1"/>
  <c r="AY49" i="8" l="1"/>
  <c r="AZ51" i="1"/>
  <c r="AY50" i="8" l="1"/>
  <c r="AZ52" i="1"/>
  <c r="AY51" i="8" l="1"/>
  <c r="AZ53" i="1"/>
  <c r="AY52" i="8" l="1"/>
  <c r="AZ54" i="1"/>
  <c r="AY53" i="8" l="1"/>
  <c r="AZ55" i="1"/>
  <c r="AY54" i="8" l="1"/>
  <c r="AZ56" i="1"/>
  <c r="AY55" i="8" l="1"/>
  <c r="AZ57" i="1"/>
  <c r="AY56" i="8" l="1"/>
  <c r="AZ58" i="1"/>
  <c r="AY57" i="8" l="1"/>
  <c r="AZ59" i="1"/>
  <c r="AY58" i="8" l="1"/>
  <c r="AZ60" i="1"/>
  <c r="AY59" i="8" l="1"/>
  <c r="AZ61" i="1"/>
  <c r="AY60" i="8" l="1"/>
  <c r="AZ62" i="1"/>
  <c r="AY61" i="8" l="1"/>
  <c r="AZ63" i="1"/>
  <c r="AY62" i="8" l="1"/>
  <c r="AZ64" i="1"/>
  <c r="AY63" i="8" l="1"/>
  <c r="AZ65" i="1"/>
  <c r="AY64" i="8" s="1"/>
  <c r="AY64" i="10" s="1"/>
  <c r="AY63" i="10" l="1"/>
  <c r="AY62" i="10" l="1"/>
  <c r="AY61" i="10" l="1"/>
  <c r="AY60" i="10" l="1"/>
  <c r="AY59" i="10" l="1"/>
  <c r="AY58" i="10" l="1"/>
  <c r="AY57" i="10" l="1"/>
  <c r="AY56" i="10" l="1"/>
  <c r="AY55" i="10" l="1"/>
  <c r="AY54" i="10" l="1"/>
  <c r="AY53" i="10" l="1"/>
  <c r="AY52" i="10" l="1"/>
  <c r="AY51" i="10" l="1"/>
  <c r="AY50" i="10" l="1"/>
  <c r="AY49" i="10" l="1"/>
  <c r="AY48" i="10" l="1"/>
  <c r="AY47" i="10" l="1"/>
  <c r="AY46" i="10" l="1"/>
  <c r="AY45" i="10" l="1"/>
  <c r="AY44" i="10" l="1"/>
  <c r="AY43" i="10" l="1"/>
  <c r="AY42" i="10" l="1"/>
  <c r="AY41" i="10" l="1"/>
  <c r="AY40" i="10" l="1"/>
  <c r="AY39" i="10" l="1"/>
  <c r="AY38" i="10" l="1"/>
  <c r="AY37" i="10" l="1"/>
  <c r="AY36" i="10" l="1"/>
  <c r="AY35" i="10" l="1"/>
  <c r="AY34" i="10" l="1"/>
  <c r="AY33" i="10" l="1"/>
  <c r="AY32" i="10" l="1"/>
  <c r="AY31" i="10" l="1"/>
  <c r="AY30" i="10" l="1"/>
  <c r="AY29" i="10" l="1"/>
  <c r="AY28" i="10" l="1"/>
  <c r="AY27" i="10" l="1"/>
  <c r="AY26" i="10" l="1"/>
  <c r="AY25" i="10" l="1"/>
  <c r="AY24" i="10" l="1"/>
  <c r="AY23" i="10" l="1"/>
  <c r="AY22" i="10" l="1"/>
  <c r="AY21" i="10" l="1"/>
  <c r="AY20" i="10" l="1"/>
  <c r="AY19" i="10" l="1"/>
  <c r="AY18" i="10" l="1"/>
  <c r="AY17" i="10" l="1"/>
  <c r="AY16" i="10" l="1"/>
  <c r="AY15" i="10" l="1"/>
  <c r="AY15" i="1" s="1"/>
  <c r="AY16" i="1" s="1"/>
  <c r="AY17" i="1" s="1"/>
  <c r="AX16" i="8" l="1"/>
  <c r="AY18" i="1"/>
  <c r="AX17" i="8" l="1"/>
  <c r="AY19" i="1"/>
  <c r="AX18" i="8" l="1"/>
  <c r="AY20" i="1"/>
  <c r="AX19" i="8" l="1"/>
  <c r="AY21" i="1"/>
  <c r="AX20" i="8" l="1"/>
  <c r="AY22" i="1"/>
  <c r="AX21" i="8" l="1"/>
  <c r="AY23" i="1"/>
  <c r="AX22" i="8" l="1"/>
  <c r="AY24" i="1"/>
  <c r="AX23" i="8" l="1"/>
  <c r="AY25" i="1"/>
  <c r="AX24" i="8" l="1"/>
  <c r="AY26" i="1"/>
  <c r="AX25" i="8" l="1"/>
  <c r="AY27" i="1"/>
  <c r="AX26" i="8" l="1"/>
  <c r="AY28" i="1"/>
  <c r="AX27" i="8" l="1"/>
  <c r="AY29" i="1"/>
  <c r="AX28" i="8" l="1"/>
  <c r="AY30" i="1"/>
  <c r="AX29" i="8" l="1"/>
  <c r="AY31" i="1"/>
  <c r="AX30" i="8" l="1"/>
  <c r="AY32" i="1"/>
  <c r="AX31" i="8" l="1"/>
  <c r="AY33" i="1"/>
  <c r="AX32" i="8" l="1"/>
  <c r="AY34" i="1"/>
  <c r="AX33" i="8" l="1"/>
  <c r="AY35" i="1"/>
  <c r="AX34" i="8" l="1"/>
  <c r="AY36" i="1"/>
  <c r="AX35" i="8" l="1"/>
  <c r="AY37" i="1"/>
  <c r="AX36" i="8" l="1"/>
  <c r="AY38" i="1"/>
  <c r="AX37" i="8" l="1"/>
  <c r="AY39" i="1"/>
  <c r="AX38" i="8" l="1"/>
  <c r="AY40" i="1"/>
  <c r="AX39" i="8" l="1"/>
  <c r="AY41" i="1"/>
  <c r="AX40" i="8" l="1"/>
  <c r="AY42" i="1"/>
  <c r="AX41" i="8" l="1"/>
  <c r="AY43" i="1"/>
  <c r="AX42" i="8" l="1"/>
  <c r="AY44" i="1"/>
  <c r="AX43" i="8" l="1"/>
  <c r="AY45" i="1"/>
  <c r="AX44" i="8" l="1"/>
  <c r="AY46" i="1"/>
  <c r="AX45" i="8" l="1"/>
  <c r="AY47" i="1"/>
  <c r="AX46" i="8" l="1"/>
  <c r="AY48" i="1"/>
  <c r="AX47" i="8" l="1"/>
  <c r="AY49" i="1"/>
  <c r="AX48" i="8" l="1"/>
  <c r="AY50" i="1"/>
  <c r="AX49" i="8" l="1"/>
  <c r="AY51" i="1"/>
  <c r="AX50" i="8" l="1"/>
  <c r="AY52" i="1"/>
  <c r="AX51" i="8" l="1"/>
  <c r="AY53" i="1"/>
  <c r="AX52" i="8" l="1"/>
  <c r="AY54" i="1"/>
  <c r="AX53" i="8" l="1"/>
  <c r="AY55" i="1"/>
  <c r="AX54" i="8" l="1"/>
  <c r="AY56" i="1"/>
  <c r="AX55" i="8" l="1"/>
  <c r="AY57" i="1"/>
  <c r="AX56" i="8" l="1"/>
  <c r="AY58" i="1"/>
  <c r="AX57" i="8" l="1"/>
  <c r="AY59" i="1"/>
  <c r="AX58" i="8" l="1"/>
  <c r="AY60" i="1"/>
  <c r="AX59" i="8" l="1"/>
  <c r="AY61" i="1"/>
  <c r="AX60" i="8" l="1"/>
  <c r="AY62" i="1"/>
  <c r="AX61" i="8" l="1"/>
  <c r="AY63" i="1"/>
  <c r="AX62" i="8" l="1"/>
  <c r="AY64" i="1"/>
  <c r="AX63" i="8" l="1"/>
  <c r="AY65" i="1"/>
  <c r="AX64" i="8" s="1"/>
  <c r="AX64" i="10" s="1"/>
  <c r="AX63" i="10" l="1"/>
  <c r="AX62" i="10" l="1"/>
  <c r="AX61" i="10" l="1"/>
  <c r="AX60" i="10" l="1"/>
  <c r="AX59" i="10" l="1"/>
  <c r="AX58" i="10" l="1"/>
  <c r="AX57" i="10" l="1"/>
  <c r="AX56" i="10" l="1"/>
  <c r="AX55" i="10" l="1"/>
  <c r="AX54" i="10" l="1"/>
  <c r="AX53" i="10" l="1"/>
  <c r="AX52" i="10" l="1"/>
  <c r="AX51" i="10" l="1"/>
  <c r="AX50" i="10" l="1"/>
  <c r="AX49" i="10" l="1"/>
  <c r="AX48" i="10" l="1"/>
  <c r="AX47" i="10" l="1"/>
  <c r="AX46" i="10" l="1"/>
  <c r="AX45" i="10" l="1"/>
  <c r="AX44" i="10" l="1"/>
  <c r="AX43" i="10" l="1"/>
  <c r="AX42" i="10" l="1"/>
  <c r="AX41" i="10" l="1"/>
  <c r="AX40" i="10" l="1"/>
  <c r="AX39" i="10" l="1"/>
  <c r="AX38" i="10" l="1"/>
  <c r="AX37" i="10" l="1"/>
  <c r="AX36" i="10" l="1"/>
  <c r="AX35" i="10" l="1"/>
  <c r="AX34" i="10" l="1"/>
  <c r="AX33" i="10" l="1"/>
  <c r="AX32" i="10" l="1"/>
  <c r="AX31" i="10" l="1"/>
  <c r="AX30" i="10" l="1"/>
  <c r="AX29" i="10" l="1"/>
  <c r="AX28" i="10" l="1"/>
  <c r="AX27" i="10" l="1"/>
  <c r="AX26" i="10" l="1"/>
  <c r="AX25" i="10" l="1"/>
  <c r="AX24" i="10" l="1"/>
  <c r="AX23" i="10" l="1"/>
  <c r="AX22" i="10" l="1"/>
  <c r="AX21" i="10" l="1"/>
  <c r="AX20" i="10" l="1"/>
  <c r="AX19" i="10" l="1"/>
  <c r="AX18" i="10" l="1"/>
  <c r="AX17" i="10" l="1"/>
  <c r="AX16" i="10" l="1"/>
  <c r="AX15" i="10" l="1"/>
  <c r="AX15" i="1" s="1"/>
  <c r="AX16" i="1" s="1"/>
  <c r="AX17" i="1" s="1"/>
  <c r="AW16" i="8" l="1"/>
  <c r="AX18" i="1"/>
  <c r="AW17" i="8" l="1"/>
  <c r="AX19" i="1"/>
  <c r="AW18" i="8" l="1"/>
  <c r="AX20" i="1"/>
  <c r="AW19" i="8" l="1"/>
  <c r="AX21" i="1"/>
  <c r="AW20" i="8" l="1"/>
  <c r="AX22" i="1"/>
  <c r="AW21" i="8" l="1"/>
  <c r="AX23" i="1"/>
  <c r="AW22" i="8" l="1"/>
  <c r="AX24" i="1"/>
  <c r="AW23" i="8" l="1"/>
  <c r="AX25" i="1"/>
  <c r="AW24" i="8" l="1"/>
  <c r="AX26" i="1"/>
  <c r="AW25" i="8" l="1"/>
  <c r="AX27" i="1"/>
  <c r="AW26" i="8" l="1"/>
  <c r="AX28" i="1"/>
  <c r="AW27" i="8" l="1"/>
  <c r="AX29" i="1"/>
  <c r="AW28" i="8" l="1"/>
  <c r="AX30" i="1"/>
  <c r="AW29" i="8" l="1"/>
  <c r="AX31" i="1"/>
  <c r="AW30" i="8" l="1"/>
  <c r="AX32" i="1"/>
  <c r="AW31" i="8" l="1"/>
  <c r="AX33" i="1"/>
  <c r="AW32" i="8" l="1"/>
  <c r="AX34" i="1"/>
  <c r="AW33" i="8" l="1"/>
  <c r="AX35" i="1"/>
  <c r="AW34" i="8" l="1"/>
  <c r="AX36" i="1"/>
  <c r="AW35" i="8" l="1"/>
  <c r="AX37" i="1"/>
  <c r="AW36" i="8" l="1"/>
  <c r="AX38" i="1"/>
  <c r="AW37" i="8" l="1"/>
  <c r="AX39" i="1"/>
  <c r="AW38" i="8" l="1"/>
  <c r="AX40" i="1"/>
  <c r="AW39" i="8" l="1"/>
  <c r="AX41" i="1"/>
  <c r="AW40" i="8" l="1"/>
  <c r="AX42" i="1"/>
  <c r="AW41" i="8" l="1"/>
  <c r="AX43" i="1"/>
  <c r="AW42" i="8" l="1"/>
  <c r="AX44" i="1"/>
  <c r="AW43" i="8" l="1"/>
  <c r="AX45" i="1"/>
  <c r="AW44" i="8" l="1"/>
  <c r="AX46" i="1"/>
  <c r="AW45" i="8" l="1"/>
  <c r="AX47" i="1"/>
  <c r="AW46" i="8" l="1"/>
  <c r="AX48" i="1"/>
  <c r="AW47" i="8" l="1"/>
  <c r="AX49" i="1"/>
  <c r="AW48" i="8" l="1"/>
  <c r="AX50" i="1"/>
  <c r="AW49" i="8" l="1"/>
  <c r="AX51" i="1"/>
  <c r="AW50" i="8" l="1"/>
  <c r="AX52" i="1"/>
  <c r="AW51" i="8" l="1"/>
  <c r="AX53" i="1"/>
  <c r="AW52" i="8" l="1"/>
  <c r="AX54" i="1"/>
  <c r="AW53" i="8" l="1"/>
  <c r="AX55" i="1"/>
  <c r="AW54" i="8" l="1"/>
  <c r="AX56" i="1"/>
  <c r="AW55" i="8" l="1"/>
  <c r="AX57" i="1"/>
  <c r="AW56" i="8" l="1"/>
  <c r="AX58" i="1"/>
  <c r="AW57" i="8" l="1"/>
  <c r="AX59" i="1"/>
  <c r="AW58" i="8" l="1"/>
  <c r="AX60" i="1"/>
  <c r="AW59" i="8" l="1"/>
  <c r="AX61" i="1"/>
  <c r="AW60" i="8" l="1"/>
  <c r="AX62" i="1"/>
  <c r="AW61" i="8" l="1"/>
  <c r="AX63" i="1"/>
  <c r="AW62" i="8" l="1"/>
  <c r="AX64" i="1"/>
  <c r="AW63" i="8" l="1"/>
  <c r="AX65" i="1"/>
  <c r="AW64" i="8" s="1"/>
  <c r="AW64" i="10" s="1"/>
  <c r="AW63" i="10" l="1"/>
  <c r="AW62" i="10" l="1"/>
  <c r="AW61" i="10" l="1"/>
  <c r="AW60" i="10" l="1"/>
  <c r="AW59" i="10" l="1"/>
  <c r="AW58" i="10" l="1"/>
  <c r="AW57" i="10" l="1"/>
  <c r="AW56" i="10" l="1"/>
  <c r="AW55" i="10" l="1"/>
  <c r="AW54" i="10" l="1"/>
  <c r="AW53" i="10" l="1"/>
  <c r="AW52" i="10" l="1"/>
  <c r="AW51" i="10" l="1"/>
  <c r="AW50" i="10" l="1"/>
  <c r="AW49" i="10" l="1"/>
  <c r="AW48" i="10" l="1"/>
  <c r="AW47" i="10" l="1"/>
  <c r="AW46" i="10" l="1"/>
  <c r="AW45" i="10" l="1"/>
  <c r="AW44" i="10" l="1"/>
  <c r="AW43" i="10" l="1"/>
  <c r="AW42" i="10" l="1"/>
  <c r="AW41" i="10" l="1"/>
  <c r="AW40" i="10" l="1"/>
  <c r="AW39" i="10" l="1"/>
  <c r="AW38" i="10" l="1"/>
  <c r="AW37" i="10" l="1"/>
  <c r="AW36" i="10" l="1"/>
  <c r="AW35" i="10" l="1"/>
  <c r="AW34" i="10" l="1"/>
  <c r="AW33" i="10" l="1"/>
  <c r="AW32" i="10" l="1"/>
  <c r="AW31" i="10" l="1"/>
  <c r="AW30" i="10" l="1"/>
  <c r="AW29" i="10" l="1"/>
  <c r="AW28" i="10" l="1"/>
  <c r="AW27" i="10" l="1"/>
  <c r="AW26" i="10" l="1"/>
  <c r="AW25" i="10" l="1"/>
  <c r="AW24" i="10" l="1"/>
  <c r="AW23" i="10" l="1"/>
  <c r="AW22" i="10" l="1"/>
  <c r="AW21" i="10" l="1"/>
  <c r="AW20" i="10" l="1"/>
  <c r="AW19" i="10" l="1"/>
  <c r="AW18" i="10" l="1"/>
  <c r="AW17" i="10" l="1"/>
  <c r="AW16" i="10" l="1"/>
  <c r="AW15" i="10" l="1"/>
  <c r="AW15" i="1" s="1"/>
  <c r="AW16" i="1" s="1"/>
  <c r="AW17" i="1" s="1"/>
  <c r="AV16" i="8" l="1"/>
  <c r="AW18" i="1"/>
  <c r="AV17" i="8" l="1"/>
  <c r="AW19" i="1"/>
  <c r="AV18" i="8" l="1"/>
  <c r="AW20" i="1"/>
  <c r="AV19" i="8" l="1"/>
  <c r="AW21" i="1"/>
  <c r="AV20" i="8" l="1"/>
  <c r="AW22" i="1"/>
  <c r="AV21" i="8" l="1"/>
  <c r="AW23" i="1"/>
  <c r="AV22" i="8" l="1"/>
  <c r="AW24" i="1"/>
  <c r="AV23" i="8" l="1"/>
  <c r="AW25" i="1"/>
  <c r="AV24" i="8" l="1"/>
  <c r="AW26" i="1"/>
  <c r="AV25" i="8" l="1"/>
  <c r="AW27" i="1"/>
  <c r="AV26" i="8" l="1"/>
  <c r="AW28" i="1"/>
  <c r="AV27" i="8" l="1"/>
  <c r="AW29" i="1"/>
  <c r="AV28" i="8" l="1"/>
  <c r="AW30" i="1"/>
  <c r="AV29" i="8" l="1"/>
  <c r="AW31" i="1"/>
  <c r="AV30" i="8" l="1"/>
  <c r="AW32" i="1"/>
  <c r="AV31" i="8" l="1"/>
  <c r="AW33" i="1"/>
  <c r="AV32" i="8" l="1"/>
  <c r="AW34" i="1"/>
  <c r="AV33" i="8" l="1"/>
  <c r="AW35" i="1"/>
  <c r="AV34" i="8" l="1"/>
  <c r="AW36" i="1"/>
  <c r="AV35" i="8" l="1"/>
  <c r="AW37" i="1"/>
  <c r="AV36" i="8" l="1"/>
  <c r="AW38" i="1"/>
  <c r="AV37" i="8" l="1"/>
  <c r="AW39" i="1"/>
  <c r="AV38" i="8" l="1"/>
  <c r="AW40" i="1"/>
  <c r="AV39" i="8" l="1"/>
  <c r="AW41" i="1"/>
  <c r="AV40" i="8" l="1"/>
  <c r="AW42" i="1"/>
  <c r="AV41" i="8" l="1"/>
  <c r="AW43" i="1"/>
  <c r="AV42" i="8" l="1"/>
  <c r="AW44" i="1"/>
  <c r="AV43" i="8" l="1"/>
  <c r="AW45" i="1"/>
  <c r="AV44" i="8" l="1"/>
  <c r="AW46" i="1"/>
  <c r="AV45" i="8" l="1"/>
  <c r="AW47" i="1"/>
  <c r="AV46" i="8" l="1"/>
  <c r="AW48" i="1"/>
  <c r="AV47" i="8" l="1"/>
  <c r="AW49" i="1"/>
  <c r="AV48" i="8" l="1"/>
  <c r="AW50" i="1"/>
  <c r="AV49" i="8" l="1"/>
  <c r="AW51" i="1"/>
  <c r="AV50" i="8" l="1"/>
  <c r="AW52" i="1"/>
  <c r="AV51" i="8" l="1"/>
  <c r="AW53" i="1"/>
  <c r="AV52" i="8" l="1"/>
  <c r="AW54" i="1"/>
  <c r="AV53" i="8" l="1"/>
  <c r="AW55" i="1"/>
  <c r="AV54" i="8" l="1"/>
  <c r="AW56" i="1"/>
  <c r="AV55" i="8" l="1"/>
  <c r="AW57" i="1"/>
  <c r="AV56" i="8" l="1"/>
  <c r="AW58" i="1"/>
  <c r="AV57" i="8" l="1"/>
  <c r="AW59" i="1"/>
  <c r="AV58" i="8" l="1"/>
  <c r="AW60" i="1"/>
  <c r="AV59" i="8" l="1"/>
  <c r="AW61" i="1"/>
  <c r="AV60" i="8" l="1"/>
  <c r="AW62" i="1"/>
  <c r="AV61" i="8" l="1"/>
  <c r="AW63" i="1"/>
  <c r="AV62" i="8" l="1"/>
  <c r="AW64" i="1"/>
  <c r="AV63" i="8" l="1"/>
  <c r="AW65" i="1"/>
  <c r="AV64" i="8" s="1"/>
  <c r="AV64" i="10" s="1"/>
  <c r="AV63" i="10" l="1"/>
  <c r="AV62" i="10" l="1"/>
  <c r="AV61" i="10" l="1"/>
  <c r="AV60" i="10" l="1"/>
  <c r="AV59" i="10" l="1"/>
  <c r="AV58" i="10" l="1"/>
  <c r="AV57" i="10" l="1"/>
  <c r="AV56" i="10" l="1"/>
  <c r="AV55" i="10" l="1"/>
  <c r="AV54" i="10" l="1"/>
  <c r="AV53" i="10" l="1"/>
  <c r="AV52" i="10" l="1"/>
  <c r="AV51" i="10" l="1"/>
  <c r="AV50" i="10" l="1"/>
  <c r="AV49" i="10" l="1"/>
  <c r="AV48" i="10" l="1"/>
  <c r="AV47" i="10" l="1"/>
  <c r="AV46" i="10" l="1"/>
  <c r="AV45" i="10" l="1"/>
  <c r="AV44" i="10" l="1"/>
  <c r="AV43" i="10" l="1"/>
  <c r="AV42" i="10" l="1"/>
  <c r="AV41" i="10" l="1"/>
  <c r="AV40" i="10" l="1"/>
  <c r="AV39" i="10" l="1"/>
  <c r="AV38" i="10" l="1"/>
  <c r="AV37" i="10" l="1"/>
  <c r="AV36" i="10" l="1"/>
  <c r="AV35" i="10" l="1"/>
  <c r="AV34" i="10" l="1"/>
  <c r="AV33" i="10" l="1"/>
  <c r="AV32" i="10" l="1"/>
  <c r="AV31" i="10" l="1"/>
  <c r="AV30" i="10" l="1"/>
  <c r="AV29" i="10" l="1"/>
  <c r="AV28" i="10" l="1"/>
  <c r="AV27" i="10" l="1"/>
  <c r="AV26" i="10" l="1"/>
  <c r="AV25" i="10" l="1"/>
  <c r="AV24" i="10" l="1"/>
  <c r="AV23" i="10" l="1"/>
  <c r="AV22" i="10" l="1"/>
  <c r="AV21" i="10" l="1"/>
  <c r="AV20" i="10" l="1"/>
  <c r="AV19" i="10" l="1"/>
  <c r="AV18" i="10" l="1"/>
  <c r="AV17" i="10" l="1"/>
  <c r="AV16" i="10" l="1"/>
  <c r="AV15" i="10" l="1"/>
  <c r="AV15" i="1" s="1"/>
  <c r="AV16" i="1" s="1"/>
  <c r="AV17" i="1" s="1"/>
  <c r="AU16" i="8" l="1"/>
  <c r="AV18" i="1"/>
  <c r="AU17" i="8" l="1"/>
  <c r="AV19" i="1"/>
  <c r="AU18" i="8" l="1"/>
  <c r="AV20" i="1"/>
  <c r="AU19" i="8" l="1"/>
  <c r="AV21" i="1"/>
  <c r="AU20" i="8" l="1"/>
  <c r="AV22" i="1"/>
  <c r="AU21" i="8" l="1"/>
  <c r="AV23" i="1"/>
  <c r="AU22" i="8" l="1"/>
  <c r="AV24" i="1"/>
  <c r="AU23" i="8" l="1"/>
  <c r="AV25" i="1"/>
  <c r="AU24" i="8" l="1"/>
  <c r="AV26" i="1"/>
  <c r="AU25" i="8" l="1"/>
  <c r="AV27" i="1"/>
  <c r="AU26" i="8" l="1"/>
  <c r="AV28" i="1"/>
  <c r="AU27" i="8" l="1"/>
  <c r="AV29" i="1"/>
  <c r="AU28" i="8" l="1"/>
  <c r="AV30" i="1"/>
  <c r="AU29" i="8" l="1"/>
  <c r="AV31" i="1"/>
  <c r="AU30" i="8" l="1"/>
  <c r="AV32" i="1"/>
  <c r="AU31" i="8" l="1"/>
  <c r="AV33" i="1"/>
  <c r="AU32" i="8" l="1"/>
  <c r="AV34" i="1"/>
  <c r="AU33" i="8" l="1"/>
  <c r="AV35" i="1"/>
  <c r="AU34" i="8" l="1"/>
  <c r="AV36" i="1"/>
  <c r="AU35" i="8" l="1"/>
  <c r="AV37" i="1"/>
  <c r="AU36" i="8" l="1"/>
  <c r="AV38" i="1"/>
  <c r="AU37" i="8" l="1"/>
  <c r="AV39" i="1"/>
  <c r="AU38" i="8" l="1"/>
  <c r="AV40" i="1"/>
  <c r="AU39" i="8" l="1"/>
  <c r="AV41" i="1"/>
  <c r="AU40" i="8" l="1"/>
  <c r="AV42" i="1"/>
  <c r="AU41" i="8" l="1"/>
  <c r="AV43" i="1"/>
  <c r="AU42" i="8" l="1"/>
  <c r="AV44" i="1"/>
  <c r="AU43" i="8" l="1"/>
  <c r="AV45" i="1"/>
  <c r="AU44" i="8" l="1"/>
  <c r="AV46" i="1"/>
  <c r="AU45" i="8" l="1"/>
  <c r="AV47" i="1"/>
  <c r="AU46" i="8" l="1"/>
  <c r="AV48" i="1"/>
  <c r="AU47" i="8" l="1"/>
  <c r="AV49" i="1"/>
  <c r="AU48" i="8" l="1"/>
  <c r="AV50" i="1"/>
  <c r="AU49" i="8" l="1"/>
  <c r="AV51" i="1"/>
  <c r="AU50" i="8" l="1"/>
  <c r="AV52" i="1"/>
  <c r="AU51" i="8" l="1"/>
  <c r="AV53" i="1"/>
  <c r="AU52" i="8" l="1"/>
  <c r="AV54" i="1"/>
  <c r="AU53" i="8" l="1"/>
  <c r="AV55" i="1"/>
  <c r="AU54" i="8" l="1"/>
  <c r="AV56" i="1"/>
  <c r="AU55" i="8" l="1"/>
  <c r="AV57" i="1"/>
  <c r="AU56" i="8" l="1"/>
  <c r="AV58" i="1"/>
  <c r="AU57" i="8" l="1"/>
  <c r="AV59" i="1"/>
  <c r="AU58" i="8" l="1"/>
  <c r="AV60" i="1"/>
  <c r="AU59" i="8" l="1"/>
  <c r="AV61" i="1"/>
  <c r="AU60" i="8" l="1"/>
  <c r="AV62" i="1"/>
  <c r="AU61" i="8" l="1"/>
  <c r="AV63" i="1"/>
  <c r="AU62" i="8" l="1"/>
  <c r="AV64" i="1"/>
  <c r="AU63" i="8" l="1"/>
  <c r="AV65" i="1"/>
  <c r="AU64" i="8" s="1"/>
  <c r="AU64" i="10" s="1"/>
  <c r="AU63" i="10" l="1"/>
  <c r="AU62" i="10" l="1"/>
  <c r="AU61" i="10" l="1"/>
  <c r="AU60" i="10" l="1"/>
  <c r="AU59" i="10" l="1"/>
  <c r="AU58" i="10" l="1"/>
  <c r="AU57" i="10" l="1"/>
  <c r="AU56" i="10" l="1"/>
  <c r="AU55" i="10" l="1"/>
  <c r="AU54" i="10" l="1"/>
  <c r="AU53" i="10" l="1"/>
  <c r="AU52" i="10" l="1"/>
  <c r="AU51" i="10" l="1"/>
  <c r="AU50" i="10" l="1"/>
  <c r="AU49" i="10" l="1"/>
  <c r="AU48" i="10" l="1"/>
  <c r="AU47" i="10" l="1"/>
  <c r="AU46" i="10" l="1"/>
  <c r="AU45" i="10" l="1"/>
  <c r="AU44" i="10" l="1"/>
  <c r="AU43" i="10" l="1"/>
  <c r="AU42" i="10" l="1"/>
  <c r="AU41" i="10" l="1"/>
  <c r="AU40" i="10" l="1"/>
  <c r="AU39" i="10" l="1"/>
  <c r="AU38" i="10" l="1"/>
  <c r="AU37" i="10" l="1"/>
  <c r="AU36" i="10" l="1"/>
  <c r="AU35" i="10" l="1"/>
  <c r="AU34" i="10" l="1"/>
  <c r="AU33" i="10" l="1"/>
  <c r="AU32" i="10" l="1"/>
  <c r="AU31" i="10" l="1"/>
  <c r="AU30" i="10" l="1"/>
  <c r="AU29" i="10" l="1"/>
  <c r="AU28" i="10" l="1"/>
  <c r="AU27" i="10" l="1"/>
  <c r="AU26" i="10" l="1"/>
  <c r="AU25" i="10" l="1"/>
  <c r="AU24" i="10" l="1"/>
  <c r="AU23" i="10" l="1"/>
  <c r="AU22" i="10" l="1"/>
  <c r="AU21" i="10" l="1"/>
  <c r="AU20" i="10" l="1"/>
  <c r="AU19" i="10" l="1"/>
  <c r="AU18" i="10" l="1"/>
  <c r="AU17" i="10" l="1"/>
  <c r="AU16" i="10" l="1"/>
  <c r="AU15" i="10" l="1"/>
  <c r="AU15" i="1" s="1"/>
  <c r="AU16" i="1"/>
  <c r="AU17" i="1" s="1"/>
  <c r="AT16" i="8" l="1"/>
  <c r="AU18" i="1"/>
  <c r="AT17" i="8" l="1"/>
  <c r="AU19" i="1"/>
  <c r="AT18" i="8" l="1"/>
  <c r="AU20" i="1"/>
  <c r="AT19" i="8" l="1"/>
  <c r="AU21" i="1"/>
  <c r="AT20" i="8" l="1"/>
  <c r="AU22" i="1"/>
  <c r="AT21" i="8" l="1"/>
  <c r="AU23" i="1"/>
  <c r="AT22" i="8" l="1"/>
  <c r="AU24" i="1"/>
  <c r="AT23" i="8" l="1"/>
  <c r="AU25" i="1"/>
  <c r="AT24" i="8" l="1"/>
  <c r="AU26" i="1"/>
  <c r="AT25" i="8" l="1"/>
  <c r="AU27" i="1"/>
  <c r="AT26" i="8" l="1"/>
  <c r="AU28" i="1"/>
  <c r="AT27" i="8" l="1"/>
  <c r="AU29" i="1"/>
  <c r="AT28" i="8" l="1"/>
  <c r="AU30" i="1"/>
  <c r="AT29" i="8" l="1"/>
  <c r="AU31" i="1"/>
  <c r="AT30" i="8" l="1"/>
  <c r="AU32" i="1"/>
  <c r="AT31" i="8" l="1"/>
  <c r="AU33" i="1"/>
  <c r="AT32" i="8" l="1"/>
  <c r="AU34" i="1"/>
  <c r="AT33" i="8" l="1"/>
  <c r="AU35" i="1"/>
  <c r="AT34" i="8" l="1"/>
  <c r="AU36" i="1"/>
  <c r="AT35" i="8" l="1"/>
  <c r="AU37" i="1"/>
  <c r="AT36" i="8" l="1"/>
  <c r="AU38" i="1"/>
  <c r="AT37" i="8" l="1"/>
  <c r="AU39" i="1"/>
  <c r="AT38" i="8" l="1"/>
  <c r="AU40" i="1"/>
  <c r="AT39" i="8" l="1"/>
  <c r="AU41" i="1"/>
  <c r="AT40" i="8" l="1"/>
  <c r="AU42" i="1"/>
  <c r="AT41" i="8" l="1"/>
  <c r="AU43" i="1"/>
  <c r="AT42" i="8" l="1"/>
  <c r="AU44" i="1"/>
  <c r="AT43" i="8" l="1"/>
  <c r="AU45" i="1"/>
  <c r="AT44" i="8" l="1"/>
  <c r="AU46" i="1"/>
  <c r="AT45" i="8" l="1"/>
  <c r="AU47" i="1"/>
  <c r="AT46" i="8" l="1"/>
  <c r="AU48" i="1"/>
  <c r="AT47" i="8" l="1"/>
  <c r="AU49" i="1"/>
  <c r="AT48" i="8" l="1"/>
  <c r="AU50" i="1"/>
  <c r="AT49" i="8" l="1"/>
  <c r="AU51" i="1"/>
  <c r="AT50" i="8" l="1"/>
  <c r="AU52" i="1"/>
  <c r="AT51" i="8" l="1"/>
  <c r="AU53" i="1"/>
  <c r="AT52" i="8" l="1"/>
  <c r="AU54" i="1"/>
  <c r="AT53" i="8" l="1"/>
  <c r="AU55" i="1"/>
  <c r="AT54" i="8" l="1"/>
  <c r="AU56" i="1"/>
  <c r="AT55" i="8" l="1"/>
  <c r="AU57" i="1"/>
  <c r="AT56" i="8" l="1"/>
  <c r="AU58" i="1"/>
  <c r="AT57" i="8" l="1"/>
  <c r="AU59" i="1"/>
  <c r="AT58" i="8" l="1"/>
  <c r="AU60" i="1"/>
  <c r="AT59" i="8" l="1"/>
  <c r="AU61" i="1"/>
  <c r="AT60" i="8" l="1"/>
  <c r="AU62" i="1"/>
  <c r="AT61" i="8" l="1"/>
  <c r="AU63" i="1"/>
  <c r="AT62" i="8" l="1"/>
  <c r="AU64" i="1"/>
  <c r="AT63" i="8" l="1"/>
  <c r="AU65" i="1"/>
  <c r="AT64" i="8" s="1"/>
  <c r="AT64" i="10" s="1"/>
  <c r="AT63" i="10" l="1"/>
  <c r="AT62" i="10" l="1"/>
  <c r="AT61" i="10" l="1"/>
  <c r="AT60" i="10" l="1"/>
  <c r="AT59" i="10" l="1"/>
  <c r="AT58" i="10" l="1"/>
  <c r="AT57" i="10" l="1"/>
  <c r="AT56" i="10" l="1"/>
  <c r="AT55" i="10" l="1"/>
  <c r="AT54" i="10" l="1"/>
  <c r="AT53" i="10" l="1"/>
  <c r="AT52" i="10" l="1"/>
  <c r="AT51" i="10" l="1"/>
  <c r="AT50" i="10" l="1"/>
  <c r="AT49" i="10" l="1"/>
  <c r="AT48" i="10" l="1"/>
  <c r="AT47" i="10" l="1"/>
  <c r="AT46" i="10" l="1"/>
  <c r="AT45" i="10" l="1"/>
  <c r="AT44" i="10" l="1"/>
  <c r="AT43" i="10" l="1"/>
  <c r="AT42" i="10" l="1"/>
  <c r="AT41" i="10" l="1"/>
  <c r="AT40" i="10" l="1"/>
  <c r="AT39" i="10" l="1"/>
  <c r="AT38" i="10" l="1"/>
  <c r="AT37" i="10" l="1"/>
  <c r="AT36" i="10" l="1"/>
  <c r="AT35" i="10" l="1"/>
  <c r="AT34" i="10" l="1"/>
  <c r="AT33" i="10" l="1"/>
  <c r="AT32" i="10" l="1"/>
  <c r="AT31" i="10" l="1"/>
  <c r="AT30" i="10" l="1"/>
  <c r="AT29" i="10" l="1"/>
  <c r="AT28" i="10" l="1"/>
  <c r="AT27" i="10" l="1"/>
  <c r="AT26" i="10" l="1"/>
  <c r="AT25" i="10" l="1"/>
  <c r="AT24" i="10" l="1"/>
  <c r="AT23" i="10" l="1"/>
  <c r="AT22" i="10" l="1"/>
  <c r="AT21" i="10" l="1"/>
  <c r="AT20" i="10" l="1"/>
  <c r="AT19" i="10" l="1"/>
  <c r="AT18" i="10" l="1"/>
  <c r="AT17" i="10" l="1"/>
  <c r="AT16" i="10" l="1"/>
  <c r="AT15" i="10" l="1"/>
  <c r="AT15" i="1" s="1"/>
  <c r="AT16" i="1" s="1"/>
  <c r="AT17" i="1" s="1"/>
  <c r="AS16" i="8" l="1"/>
  <c r="AT18" i="1"/>
  <c r="AS17" i="8" l="1"/>
  <c r="AT19" i="1"/>
  <c r="AS18" i="8" l="1"/>
  <c r="AT20" i="1"/>
  <c r="AS19" i="8" l="1"/>
  <c r="AT21" i="1"/>
  <c r="AS20" i="8" l="1"/>
  <c r="AT22" i="1"/>
  <c r="AS21" i="8" l="1"/>
  <c r="AT23" i="1"/>
  <c r="AS22" i="8" l="1"/>
  <c r="AT24" i="1"/>
  <c r="AS23" i="8" l="1"/>
  <c r="AT25" i="1"/>
  <c r="AS24" i="8" l="1"/>
  <c r="AT26" i="1"/>
  <c r="AS25" i="8" l="1"/>
  <c r="AT27" i="1"/>
  <c r="AS26" i="8" l="1"/>
  <c r="AT28" i="1"/>
  <c r="AS27" i="8" l="1"/>
  <c r="AT29" i="1"/>
  <c r="AS28" i="8" l="1"/>
  <c r="AT30" i="1"/>
  <c r="AS29" i="8" l="1"/>
  <c r="AT31" i="1"/>
  <c r="AS30" i="8" l="1"/>
  <c r="AT32" i="1"/>
  <c r="AS31" i="8" l="1"/>
  <c r="AT33" i="1"/>
  <c r="AS32" i="8" l="1"/>
  <c r="AT34" i="1"/>
  <c r="AS33" i="8" l="1"/>
  <c r="AT35" i="1"/>
  <c r="AS34" i="8" l="1"/>
  <c r="AT36" i="1"/>
  <c r="AS35" i="8" l="1"/>
  <c r="AT37" i="1"/>
  <c r="AS36" i="8" l="1"/>
  <c r="AT38" i="1"/>
  <c r="AS37" i="8" l="1"/>
  <c r="AT39" i="1"/>
  <c r="AS38" i="8" l="1"/>
  <c r="AT40" i="1"/>
  <c r="AS39" i="8" l="1"/>
  <c r="AT41" i="1"/>
  <c r="AS40" i="8" l="1"/>
  <c r="AT42" i="1"/>
  <c r="AS41" i="8" l="1"/>
  <c r="AT43" i="1"/>
  <c r="AS42" i="8" l="1"/>
  <c r="AT44" i="1"/>
  <c r="AS43" i="8" l="1"/>
  <c r="AT45" i="1"/>
  <c r="AS44" i="8" l="1"/>
  <c r="AT46" i="1"/>
  <c r="AS45" i="8" l="1"/>
  <c r="AT47" i="1"/>
  <c r="AS46" i="8" l="1"/>
  <c r="AT48" i="1"/>
  <c r="AS47" i="8" l="1"/>
  <c r="AT49" i="1"/>
  <c r="AS48" i="8" l="1"/>
  <c r="AT50" i="1"/>
  <c r="AS49" i="8" l="1"/>
  <c r="AT51" i="1"/>
  <c r="AS50" i="8" l="1"/>
  <c r="AT52" i="1"/>
  <c r="AS51" i="8" l="1"/>
  <c r="AT53" i="1"/>
  <c r="AS52" i="8" l="1"/>
  <c r="AT54" i="1"/>
  <c r="AS53" i="8" l="1"/>
  <c r="AT55" i="1"/>
  <c r="AS54" i="8" l="1"/>
  <c r="AT56" i="1"/>
  <c r="AS55" i="8" l="1"/>
  <c r="AT57" i="1"/>
  <c r="AS56" i="8" l="1"/>
  <c r="AT58" i="1"/>
  <c r="AS57" i="8" l="1"/>
  <c r="AT59" i="1"/>
  <c r="AS58" i="8" l="1"/>
  <c r="AT60" i="1"/>
  <c r="AS59" i="8" l="1"/>
  <c r="AT61" i="1"/>
  <c r="AS60" i="8" l="1"/>
  <c r="AT62" i="1"/>
  <c r="AS61" i="8" l="1"/>
  <c r="AT63" i="1"/>
  <c r="AS62" i="8" l="1"/>
  <c r="AT64" i="1"/>
  <c r="AT65" i="1" l="1"/>
  <c r="AS64" i="8" s="1"/>
  <c r="AS64" i="10" s="1"/>
  <c r="AS63" i="8"/>
  <c r="AS63" i="10" l="1"/>
  <c r="AS62" i="10" l="1"/>
  <c r="AS61" i="10" l="1"/>
  <c r="AS60" i="10" l="1"/>
  <c r="AS59" i="10" l="1"/>
  <c r="AS58" i="10" l="1"/>
  <c r="AS57" i="10" l="1"/>
  <c r="AS56" i="10" l="1"/>
  <c r="AS55" i="10" l="1"/>
  <c r="AS54" i="10" l="1"/>
  <c r="AS53" i="10" l="1"/>
  <c r="AS52" i="10" l="1"/>
  <c r="AS51" i="10" l="1"/>
  <c r="AS50" i="10" l="1"/>
  <c r="AS49" i="10" l="1"/>
  <c r="AS48" i="10" l="1"/>
  <c r="AS47" i="10" l="1"/>
  <c r="AS46" i="10" l="1"/>
  <c r="AS45" i="10" l="1"/>
  <c r="AS44" i="10" l="1"/>
  <c r="AS43" i="10" l="1"/>
  <c r="AS42" i="10" l="1"/>
  <c r="AS41" i="10" l="1"/>
  <c r="AS40" i="10" l="1"/>
  <c r="AS39" i="10" l="1"/>
  <c r="AS38" i="10" l="1"/>
  <c r="AS37" i="10" l="1"/>
  <c r="AS36" i="10" l="1"/>
  <c r="AS35" i="10" l="1"/>
  <c r="AS34" i="10" l="1"/>
  <c r="AS33" i="10" l="1"/>
  <c r="AS32" i="10" l="1"/>
  <c r="AS31" i="10" l="1"/>
  <c r="AS30" i="10" l="1"/>
  <c r="AS29" i="10" l="1"/>
  <c r="AS28" i="10" l="1"/>
  <c r="AS27" i="10" l="1"/>
  <c r="AS26" i="10" l="1"/>
  <c r="AS25" i="10" l="1"/>
  <c r="AS24" i="10" l="1"/>
  <c r="AS23" i="10" l="1"/>
  <c r="AS22" i="10" l="1"/>
  <c r="AS21" i="10" l="1"/>
  <c r="AS20" i="10" l="1"/>
  <c r="AS19" i="10" l="1"/>
  <c r="AS18" i="10" l="1"/>
  <c r="AS17" i="10" l="1"/>
  <c r="AS16" i="10" l="1"/>
  <c r="AS15" i="10" l="1"/>
  <c r="AS15" i="1" s="1"/>
  <c r="AS16" i="1" s="1"/>
  <c r="AS17" i="1" s="1"/>
  <c r="AR16" i="8" l="1"/>
  <c r="AS18" i="1"/>
  <c r="AR17" i="8" l="1"/>
  <c r="AS19" i="1"/>
  <c r="AR18" i="8" l="1"/>
  <c r="AS20" i="1"/>
  <c r="AR19" i="8" l="1"/>
  <c r="AS21" i="1"/>
  <c r="AR20" i="8" l="1"/>
  <c r="AS22" i="1"/>
  <c r="AR21" i="8" l="1"/>
  <c r="AS23" i="1"/>
  <c r="AR22" i="8" l="1"/>
  <c r="AS24" i="1"/>
  <c r="AR23" i="8" l="1"/>
  <c r="AS25" i="1"/>
  <c r="AR24" i="8" l="1"/>
  <c r="AS26" i="1"/>
  <c r="AR25" i="8" l="1"/>
  <c r="AS27" i="1"/>
  <c r="AR26" i="8" l="1"/>
  <c r="AS28" i="1"/>
  <c r="AR27" i="8" l="1"/>
  <c r="AS29" i="1"/>
  <c r="AR28" i="8" l="1"/>
  <c r="AS30" i="1"/>
  <c r="AR29" i="8" l="1"/>
  <c r="AS31" i="1"/>
  <c r="AR30" i="8" l="1"/>
  <c r="AS32" i="1"/>
  <c r="AR31" i="8" l="1"/>
  <c r="AS33" i="1"/>
  <c r="AR32" i="8" l="1"/>
  <c r="AS34" i="1"/>
  <c r="AR33" i="8" l="1"/>
  <c r="AS35" i="1"/>
  <c r="AR34" i="8" l="1"/>
  <c r="AS36" i="1"/>
  <c r="AR35" i="8" l="1"/>
  <c r="AS37" i="1"/>
  <c r="AR36" i="8" l="1"/>
  <c r="AS38" i="1"/>
  <c r="AR37" i="8" l="1"/>
  <c r="AS39" i="1"/>
  <c r="AR38" i="8" l="1"/>
  <c r="AS40" i="1"/>
  <c r="AR39" i="8" l="1"/>
  <c r="AS41" i="1"/>
  <c r="AR40" i="8" l="1"/>
  <c r="AS42" i="1"/>
  <c r="AR41" i="8" l="1"/>
  <c r="AS43" i="1"/>
  <c r="AR42" i="8" l="1"/>
  <c r="AS44" i="1"/>
  <c r="AR43" i="8" l="1"/>
  <c r="AS45" i="1"/>
  <c r="AR44" i="8" l="1"/>
  <c r="AS46" i="1"/>
  <c r="AR45" i="8" l="1"/>
  <c r="AS47" i="1"/>
  <c r="AR46" i="8" l="1"/>
  <c r="AS48" i="1"/>
  <c r="AR47" i="8" l="1"/>
  <c r="AS49" i="1"/>
  <c r="AR48" i="8" l="1"/>
  <c r="AS50" i="1"/>
  <c r="AR49" i="8" l="1"/>
  <c r="AS51" i="1"/>
  <c r="AR50" i="8" l="1"/>
  <c r="AS52" i="1"/>
  <c r="AR51" i="8" l="1"/>
  <c r="AS53" i="1"/>
  <c r="AR52" i="8" l="1"/>
  <c r="AS54" i="1"/>
  <c r="AR53" i="8" l="1"/>
  <c r="AS55" i="1"/>
  <c r="AR54" i="8" l="1"/>
  <c r="AS56" i="1"/>
  <c r="AR55" i="8" l="1"/>
  <c r="AS57" i="1"/>
  <c r="AR56" i="8" l="1"/>
  <c r="AS58" i="1"/>
  <c r="AR57" i="8" l="1"/>
  <c r="AS59" i="1"/>
  <c r="AR58" i="8" l="1"/>
  <c r="AS60" i="1"/>
  <c r="AR59" i="8" l="1"/>
  <c r="AS61" i="1"/>
  <c r="AR60" i="8" l="1"/>
  <c r="AS62" i="1"/>
  <c r="AR61" i="8" l="1"/>
  <c r="AS63" i="1"/>
  <c r="AR62" i="8" l="1"/>
  <c r="AS64" i="1"/>
  <c r="AS65" i="1" l="1"/>
  <c r="AR64" i="8" s="1"/>
  <c r="AR64" i="10" s="1"/>
  <c r="AR63" i="8"/>
  <c r="AR63" i="10" l="1"/>
  <c r="AR62" i="10" l="1"/>
  <c r="AR61" i="10" l="1"/>
  <c r="AR60" i="10" l="1"/>
  <c r="AR59" i="10" l="1"/>
  <c r="AR58" i="10" l="1"/>
  <c r="AR57" i="10" l="1"/>
  <c r="AR56" i="10" l="1"/>
  <c r="AR55" i="10" l="1"/>
  <c r="AR54" i="10" l="1"/>
  <c r="AR53" i="10" l="1"/>
  <c r="AR52" i="10" l="1"/>
  <c r="AR51" i="10" l="1"/>
  <c r="AR50" i="10" l="1"/>
  <c r="AR49" i="10" l="1"/>
  <c r="AR48" i="10" l="1"/>
  <c r="AR47" i="10" l="1"/>
  <c r="AR46" i="10" l="1"/>
  <c r="AR45" i="10" l="1"/>
  <c r="AR44" i="10" l="1"/>
  <c r="AR43" i="10" l="1"/>
  <c r="AR42" i="10" l="1"/>
  <c r="AR41" i="10" l="1"/>
  <c r="AR40" i="10" l="1"/>
  <c r="AR39" i="10" l="1"/>
  <c r="AR38" i="10" l="1"/>
  <c r="AR37" i="10" l="1"/>
  <c r="AR36" i="10" l="1"/>
  <c r="AR35" i="10" l="1"/>
  <c r="AR34" i="10" l="1"/>
  <c r="AR33" i="10" l="1"/>
  <c r="AR32" i="10" l="1"/>
  <c r="AR31" i="10" l="1"/>
  <c r="AR30" i="10" l="1"/>
  <c r="AR29" i="10" l="1"/>
  <c r="AR28" i="10" l="1"/>
  <c r="AR27" i="10" l="1"/>
  <c r="AR26" i="10" l="1"/>
  <c r="AR25" i="10" l="1"/>
  <c r="AR24" i="10" l="1"/>
  <c r="AR23" i="10" l="1"/>
  <c r="AR22" i="10" l="1"/>
  <c r="AR21" i="10" l="1"/>
  <c r="AR20" i="10" l="1"/>
  <c r="AR19" i="10" l="1"/>
  <c r="AR18" i="10" l="1"/>
  <c r="AR17" i="10" l="1"/>
  <c r="AR16" i="10" l="1"/>
  <c r="AR15" i="10" l="1"/>
  <c r="AR15" i="1" s="1"/>
  <c r="AR16" i="1" s="1"/>
  <c r="AR17" i="1" s="1"/>
  <c r="AQ16" i="8" l="1"/>
  <c r="AR18" i="1"/>
  <c r="AQ17" i="8" l="1"/>
  <c r="AR19" i="1"/>
  <c r="AQ18" i="8" l="1"/>
  <c r="AR20" i="1"/>
  <c r="AQ19" i="8" l="1"/>
  <c r="AR21" i="1"/>
  <c r="AQ20" i="8" l="1"/>
  <c r="AR22" i="1"/>
  <c r="AQ21" i="8" l="1"/>
  <c r="AR23" i="1"/>
  <c r="AQ22" i="8" l="1"/>
  <c r="AR24" i="1"/>
  <c r="AQ23" i="8" l="1"/>
  <c r="AR25" i="1"/>
  <c r="AQ24" i="8" l="1"/>
  <c r="AR26" i="1"/>
  <c r="AQ25" i="8" l="1"/>
  <c r="AR27" i="1"/>
  <c r="AQ26" i="8" l="1"/>
  <c r="AR28" i="1"/>
  <c r="AQ27" i="8" l="1"/>
  <c r="AR29" i="1"/>
  <c r="AQ28" i="8" l="1"/>
  <c r="AR30" i="1"/>
  <c r="AQ29" i="8" l="1"/>
  <c r="AR31" i="1"/>
  <c r="AQ30" i="8" l="1"/>
  <c r="AR32" i="1"/>
  <c r="AQ31" i="8" l="1"/>
  <c r="AR33" i="1"/>
  <c r="AQ32" i="8" l="1"/>
  <c r="AR34" i="1"/>
  <c r="AQ33" i="8" l="1"/>
  <c r="AR35" i="1"/>
  <c r="AQ34" i="8" l="1"/>
  <c r="AR36" i="1"/>
  <c r="AQ35" i="8" l="1"/>
  <c r="AR37" i="1"/>
  <c r="AQ36" i="8" l="1"/>
  <c r="AR38" i="1"/>
  <c r="AQ37" i="8" l="1"/>
  <c r="AR39" i="1"/>
  <c r="AQ38" i="8" l="1"/>
  <c r="AR40" i="1"/>
  <c r="AQ39" i="8" l="1"/>
  <c r="AR41" i="1"/>
  <c r="AQ40" i="8" l="1"/>
  <c r="AR42" i="1"/>
  <c r="AQ41" i="8" l="1"/>
  <c r="AR43" i="1"/>
  <c r="AQ42" i="8" l="1"/>
  <c r="AR44" i="1"/>
  <c r="AQ43" i="8" l="1"/>
  <c r="AR45" i="1"/>
  <c r="AQ44" i="8" l="1"/>
  <c r="AR46" i="1"/>
  <c r="AQ45" i="8" l="1"/>
  <c r="AR47" i="1"/>
  <c r="AQ46" i="8" l="1"/>
  <c r="AR48" i="1"/>
  <c r="AQ47" i="8" l="1"/>
  <c r="AR49" i="1"/>
  <c r="AQ48" i="8" l="1"/>
  <c r="AR50" i="1"/>
  <c r="AQ49" i="8" l="1"/>
  <c r="AR51" i="1"/>
  <c r="AQ50" i="8" l="1"/>
  <c r="AR52" i="1"/>
  <c r="AQ51" i="8" l="1"/>
  <c r="AR53" i="1"/>
  <c r="AQ52" i="8" l="1"/>
  <c r="AR54" i="1"/>
  <c r="AQ53" i="8" l="1"/>
  <c r="AR55" i="1"/>
  <c r="AQ54" i="8" l="1"/>
  <c r="AR56" i="1"/>
  <c r="AQ55" i="8" l="1"/>
  <c r="AR57" i="1"/>
  <c r="AQ56" i="8" l="1"/>
  <c r="AR58" i="1"/>
  <c r="AQ57" i="8" l="1"/>
  <c r="AR59" i="1"/>
  <c r="AQ58" i="8" l="1"/>
  <c r="AR60" i="1"/>
  <c r="AQ59" i="8" l="1"/>
  <c r="AR61" i="1"/>
  <c r="AQ60" i="8" l="1"/>
  <c r="AR62" i="1"/>
  <c r="AQ61" i="8" l="1"/>
  <c r="AR63" i="1"/>
  <c r="AQ62" i="8" l="1"/>
  <c r="AR64" i="1"/>
  <c r="AR65" i="1" l="1"/>
  <c r="AQ64" i="8" s="1"/>
  <c r="AQ64" i="10" s="1"/>
  <c r="AQ63" i="8"/>
  <c r="AQ63" i="10" l="1"/>
  <c r="AQ62" i="10" l="1"/>
  <c r="AQ61" i="10" l="1"/>
  <c r="AQ60" i="10" l="1"/>
  <c r="AQ59" i="10" l="1"/>
  <c r="AQ58" i="10" l="1"/>
  <c r="AQ57" i="10" l="1"/>
  <c r="AQ56" i="10" l="1"/>
  <c r="AQ55" i="10" l="1"/>
  <c r="AQ54" i="10" l="1"/>
  <c r="AQ53" i="10" l="1"/>
  <c r="AQ52" i="10" l="1"/>
  <c r="AQ51" i="10" l="1"/>
  <c r="AQ50" i="10" l="1"/>
  <c r="AQ49" i="10" l="1"/>
  <c r="AQ48" i="10" l="1"/>
  <c r="AQ47" i="10" l="1"/>
  <c r="AQ46" i="10" l="1"/>
  <c r="AQ45" i="10" l="1"/>
  <c r="AQ44" i="10" l="1"/>
  <c r="AQ43" i="10" l="1"/>
  <c r="AQ42" i="10" l="1"/>
  <c r="AQ41" i="10" l="1"/>
  <c r="AQ40" i="10" l="1"/>
  <c r="AQ39" i="10" l="1"/>
  <c r="AQ38" i="10" l="1"/>
  <c r="AQ37" i="10" l="1"/>
  <c r="AQ36" i="10" l="1"/>
  <c r="AQ35" i="10" l="1"/>
  <c r="AQ34" i="10" l="1"/>
  <c r="AQ33" i="10" l="1"/>
  <c r="AQ32" i="10" l="1"/>
  <c r="AQ31" i="10" l="1"/>
  <c r="AQ30" i="10" l="1"/>
  <c r="AQ29" i="10" l="1"/>
  <c r="AQ28" i="10" l="1"/>
  <c r="AQ27" i="10" l="1"/>
  <c r="AQ26" i="10" l="1"/>
  <c r="AQ25" i="10" l="1"/>
  <c r="AQ24" i="10" l="1"/>
  <c r="AQ23" i="10" l="1"/>
  <c r="AQ22" i="10" l="1"/>
  <c r="AQ21" i="10" l="1"/>
  <c r="AQ20" i="10" l="1"/>
  <c r="AQ19" i="10" l="1"/>
  <c r="AQ18" i="10" l="1"/>
  <c r="AQ17" i="10" l="1"/>
  <c r="AQ16" i="10" l="1"/>
  <c r="AQ15" i="10" l="1"/>
  <c r="AQ15" i="1" s="1"/>
  <c r="AQ16" i="1" s="1"/>
  <c r="AQ17" i="1" s="1"/>
  <c r="AP16" i="8" l="1"/>
  <c r="AQ18" i="1"/>
  <c r="AP17" i="8" l="1"/>
  <c r="AQ19" i="1"/>
  <c r="AP18" i="8" l="1"/>
  <c r="AQ20" i="1"/>
  <c r="AP19" i="8" l="1"/>
  <c r="AQ21" i="1"/>
  <c r="AP20" i="8" l="1"/>
  <c r="AQ22" i="1"/>
  <c r="AP21" i="8" l="1"/>
  <c r="AQ23" i="1"/>
  <c r="AP22" i="8" l="1"/>
  <c r="AQ24" i="1"/>
  <c r="AP23" i="8" l="1"/>
  <c r="AQ25" i="1"/>
  <c r="AP24" i="8" l="1"/>
  <c r="AQ26" i="1"/>
  <c r="AP25" i="8" l="1"/>
  <c r="AQ27" i="1"/>
  <c r="AP26" i="8" l="1"/>
  <c r="AQ28" i="1"/>
  <c r="AP27" i="8" l="1"/>
  <c r="AQ29" i="1"/>
  <c r="AP28" i="8" l="1"/>
  <c r="AQ30" i="1"/>
  <c r="AP29" i="8" l="1"/>
  <c r="AQ31" i="1"/>
  <c r="AP30" i="8" l="1"/>
  <c r="AQ32" i="1"/>
  <c r="AP31" i="8" l="1"/>
  <c r="AQ33" i="1"/>
  <c r="AP32" i="8" l="1"/>
  <c r="AQ34" i="1"/>
  <c r="AP33" i="8" l="1"/>
  <c r="AQ35" i="1"/>
  <c r="AP34" i="8" l="1"/>
  <c r="AQ36" i="1"/>
  <c r="AP35" i="8" l="1"/>
  <c r="AQ37" i="1"/>
  <c r="AP36" i="8" l="1"/>
  <c r="AQ38" i="1"/>
  <c r="AP37" i="8" l="1"/>
  <c r="AQ39" i="1"/>
  <c r="AP38" i="8" l="1"/>
  <c r="AQ40" i="1"/>
  <c r="AP39" i="8" l="1"/>
  <c r="AQ41" i="1"/>
  <c r="AP40" i="8" l="1"/>
  <c r="AQ42" i="1"/>
  <c r="AP41" i="8" l="1"/>
  <c r="AQ43" i="1"/>
  <c r="AP42" i="8" l="1"/>
  <c r="AQ44" i="1"/>
  <c r="AP43" i="8" l="1"/>
  <c r="AQ45" i="1"/>
  <c r="AP44" i="8" l="1"/>
  <c r="AQ46" i="1"/>
  <c r="AP45" i="8" l="1"/>
  <c r="AQ47" i="1"/>
  <c r="AP46" i="8" l="1"/>
  <c r="AQ48" i="1"/>
  <c r="AP47" i="8" l="1"/>
  <c r="AQ49" i="1"/>
  <c r="AP48" i="8" l="1"/>
  <c r="AQ50" i="1"/>
  <c r="AP49" i="8" l="1"/>
  <c r="AQ51" i="1"/>
  <c r="AP50" i="8" l="1"/>
  <c r="AQ52" i="1"/>
  <c r="AP51" i="8" l="1"/>
  <c r="AQ53" i="1"/>
  <c r="AP52" i="8" l="1"/>
  <c r="AQ54" i="1"/>
  <c r="AP53" i="8" l="1"/>
  <c r="AQ55" i="1"/>
  <c r="AP54" i="8" l="1"/>
  <c r="AQ56" i="1"/>
  <c r="AP55" i="8" l="1"/>
  <c r="AQ57" i="1"/>
  <c r="AP56" i="8" l="1"/>
  <c r="AQ58" i="1"/>
  <c r="AP57" i="8" l="1"/>
  <c r="AQ59" i="1"/>
  <c r="AP58" i="8" l="1"/>
  <c r="AQ60" i="1"/>
  <c r="AP59" i="8" l="1"/>
  <c r="AQ61" i="1"/>
  <c r="AP60" i="8" l="1"/>
  <c r="AQ62" i="1"/>
  <c r="AP61" i="8" l="1"/>
  <c r="AQ63" i="1"/>
  <c r="AP62" i="8" l="1"/>
  <c r="AQ64" i="1"/>
  <c r="AQ65" i="1" l="1"/>
  <c r="AP64" i="8" s="1"/>
  <c r="AP64" i="10" s="1"/>
  <c r="AP63" i="8"/>
  <c r="AP63" i="10" l="1"/>
  <c r="AP62" i="10" l="1"/>
  <c r="AP61" i="10" l="1"/>
  <c r="AP60" i="10" l="1"/>
  <c r="AP59" i="10" l="1"/>
  <c r="AP58" i="10" l="1"/>
  <c r="AP57" i="10" l="1"/>
  <c r="AP56" i="10" l="1"/>
  <c r="AP55" i="10" l="1"/>
  <c r="AP54" i="10" l="1"/>
  <c r="AP53" i="10" l="1"/>
  <c r="AP52" i="10" l="1"/>
  <c r="AP51" i="10" l="1"/>
  <c r="AP50" i="10" l="1"/>
  <c r="AP49" i="10" l="1"/>
  <c r="AP48" i="10" l="1"/>
  <c r="AP47" i="10" l="1"/>
  <c r="AP46" i="10" l="1"/>
  <c r="AP45" i="10" l="1"/>
  <c r="AP44" i="10" l="1"/>
  <c r="AP43" i="10" l="1"/>
  <c r="AP42" i="10" l="1"/>
  <c r="AP41" i="10" l="1"/>
  <c r="AP40" i="10" l="1"/>
  <c r="AP39" i="10" l="1"/>
  <c r="AP38" i="10" l="1"/>
  <c r="AP37" i="10" l="1"/>
  <c r="AP36" i="10" l="1"/>
  <c r="AP35" i="10" l="1"/>
  <c r="AP34" i="10" l="1"/>
  <c r="AP33" i="10" l="1"/>
  <c r="AP32" i="10" l="1"/>
  <c r="AP31" i="10" l="1"/>
  <c r="AP30" i="10" l="1"/>
  <c r="AP29" i="10" l="1"/>
  <c r="AP28" i="10" l="1"/>
  <c r="AP27" i="10" l="1"/>
  <c r="AP26" i="10" l="1"/>
  <c r="AP25" i="10" l="1"/>
  <c r="AP24" i="10" l="1"/>
  <c r="AP23" i="10" l="1"/>
  <c r="AP22" i="10" l="1"/>
  <c r="AP21" i="10" l="1"/>
  <c r="AP20" i="10" l="1"/>
  <c r="AP19" i="10" l="1"/>
  <c r="AP18" i="10" l="1"/>
  <c r="AP17" i="10" l="1"/>
  <c r="AP16" i="10" l="1"/>
  <c r="AP15" i="10" l="1"/>
  <c r="AP15" i="1" s="1"/>
  <c r="AP16" i="1" s="1"/>
  <c r="AP17" i="1" s="1"/>
  <c r="AO16" i="8" l="1"/>
  <c r="AP18" i="1"/>
  <c r="AO17" i="8" l="1"/>
  <c r="AP19" i="1"/>
  <c r="AO18" i="8" l="1"/>
  <c r="AP20" i="1"/>
  <c r="AO19" i="8" l="1"/>
  <c r="AP21" i="1"/>
  <c r="AO20" i="8" l="1"/>
  <c r="AP22" i="1"/>
  <c r="AO21" i="8" l="1"/>
  <c r="AP23" i="1"/>
  <c r="AO22" i="8" l="1"/>
  <c r="AP24" i="1"/>
  <c r="AO23" i="8" l="1"/>
  <c r="AP25" i="1"/>
  <c r="AO24" i="8" l="1"/>
  <c r="AP26" i="1"/>
  <c r="AO25" i="8" l="1"/>
  <c r="AP27" i="1"/>
  <c r="AO26" i="8" l="1"/>
  <c r="AP28" i="1"/>
  <c r="AO27" i="8" l="1"/>
  <c r="AP29" i="1"/>
  <c r="AO28" i="8" l="1"/>
  <c r="AP30" i="1"/>
  <c r="AO29" i="8" l="1"/>
  <c r="AP31" i="1"/>
  <c r="AO30" i="8" l="1"/>
  <c r="AP32" i="1"/>
  <c r="AO31" i="8" l="1"/>
  <c r="AP33" i="1"/>
  <c r="AO32" i="8" l="1"/>
  <c r="AP34" i="1"/>
  <c r="AO33" i="8" l="1"/>
  <c r="AP35" i="1"/>
  <c r="AO34" i="8" l="1"/>
  <c r="AP36" i="1"/>
  <c r="AO35" i="8" l="1"/>
  <c r="AP37" i="1"/>
  <c r="AO36" i="8" l="1"/>
  <c r="AP38" i="1"/>
  <c r="AO37" i="8" l="1"/>
  <c r="AP39" i="1"/>
  <c r="AO38" i="8" l="1"/>
  <c r="AP40" i="1"/>
  <c r="AO39" i="8" l="1"/>
  <c r="AP41" i="1"/>
  <c r="AO40" i="8" l="1"/>
  <c r="AP42" i="1"/>
  <c r="AO41" i="8" l="1"/>
  <c r="AP43" i="1"/>
  <c r="AO42" i="8" l="1"/>
  <c r="AP44" i="1"/>
  <c r="AO43" i="8" l="1"/>
  <c r="AP45" i="1"/>
  <c r="AO44" i="8" l="1"/>
  <c r="AP46" i="1"/>
  <c r="AO45" i="8" l="1"/>
  <c r="AP47" i="1"/>
  <c r="AO46" i="8" l="1"/>
  <c r="AP48" i="1"/>
  <c r="AO47" i="8" l="1"/>
  <c r="AP49" i="1"/>
  <c r="AO48" i="8" l="1"/>
  <c r="AP50" i="1"/>
  <c r="AO49" i="8" l="1"/>
  <c r="AP51" i="1"/>
  <c r="AO50" i="8" l="1"/>
  <c r="AP52" i="1"/>
  <c r="AO51" i="8" l="1"/>
  <c r="AP53" i="1"/>
  <c r="AO52" i="8" l="1"/>
  <c r="AP54" i="1"/>
  <c r="AO53" i="8" l="1"/>
  <c r="AP55" i="1"/>
  <c r="AO54" i="8" l="1"/>
  <c r="AP56" i="1"/>
  <c r="AO55" i="8" l="1"/>
  <c r="AP57" i="1"/>
  <c r="AO56" i="8" l="1"/>
  <c r="AP58" i="1"/>
  <c r="AO57" i="8" l="1"/>
  <c r="AP59" i="1"/>
  <c r="AO58" i="8" l="1"/>
  <c r="AP60" i="1"/>
  <c r="AO59" i="8" l="1"/>
  <c r="AP61" i="1"/>
  <c r="AO60" i="8" l="1"/>
  <c r="AP62" i="1"/>
  <c r="AO61" i="8" l="1"/>
  <c r="AP63" i="1"/>
  <c r="AO62" i="8" l="1"/>
  <c r="AP64" i="1"/>
  <c r="AP65" i="1" l="1"/>
  <c r="AO64" i="8" s="1"/>
  <c r="AO64" i="10" s="1"/>
  <c r="AO63" i="8"/>
  <c r="AO63" i="10" l="1"/>
  <c r="AO62" i="10" l="1"/>
  <c r="AO61" i="10" l="1"/>
  <c r="AO60" i="10" l="1"/>
  <c r="AO59" i="10" l="1"/>
  <c r="AO58" i="10" l="1"/>
  <c r="AO57" i="10" l="1"/>
  <c r="AO56" i="10" l="1"/>
  <c r="AO55" i="10" l="1"/>
  <c r="AO54" i="10" l="1"/>
  <c r="AO53" i="10" l="1"/>
  <c r="AO52" i="10" l="1"/>
  <c r="AO51" i="10" l="1"/>
  <c r="AO50" i="10" l="1"/>
  <c r="AO49" i="10" l="1"/>
  <c r="AO48" i="10" l="1"/>
  <c r="AO47" i="10" l="1"/>
  <c r="AO46" i="10" l="1"/>
  <c r="AO45" i="10" l="1"/>
  <c r="AO44" i="10" l="1"/>
  <c r="AO43" i="10" l="1"/>
  <c r="AO42" i="10" l="1"/>
  <c r="AO41" i="10" l="1"/>
  <c r="AO40" i="10" l="1"/>
  <c r="AO39" i="10" l="1"/>
  <c r="AO38" i="10" l="1"/>
  <c r="AO37" i="10" l="1"/>
  <c r="AO36" i="10" l="1"/>
  <c r="AO35" i="10" l="1"/>
  <c r="AO34" i="10" l="1"/>
  <c r="AO33" i="10" l="1"/>
  <c r="AO32" i="10" l="1"/>
  <c r="AO31" i="10" l="1"/>
  <c r="AO30" i="10" l="1"/>
  <c r="AO29" i="10" l="1"/>
  <c r="AO28" i="10" l="1"/>
  <c r="AO27" i="10" l="1"/>
  <c r="AO26" i="10" l="1"/>
  <c r="AO25" i="10" l="1"/>
  <c r="AO24" i="10" l="1"/>
  <c r="AO23" i="10" l="1"/>
  <c r="AO22" i="10" l="1"/>
  <c r="AO21" i="10" l="1"/>
  <c r="AO20" i="10" l="1"/>
  <c r="AO19" i="10" l="1"/>
  <c r="AO18" i="10" l="1"/>
  <c r="AO17" i="10" l="1"/>
  <c r="AO16" i="10" l="1"/>
  <c r="AO15" i="10" l="1"/>
  <c r="AO15" i="1" s="1"/>
  <c r="AO16" i="1" s="1"/>
  <c r="AO17" i="1" s="1"/>
  <c r="AN16" i="8" l="1"/>
  <c r="AO18" i="1"/>
  <c r="AN17" i="8" l="1"/>
  <c r="AO19" i="1"/>
  <c r="AN18" i="8" l="1"/>
  <c r="AO20" i="1"/>
  <c r="AN19" i="8" l="1"/>
  <c r="AO21" i="1"/>
  <c r="AN20" i="8" l="1"/>
  <c r="AO22" i="1"/>
  <c r="AN21" i="8" l="1"/>
  <c r="AO23" i="1"/>
  <c r="AN22" i="8" l="1"/>
  <c r="AO24" i="1"/>
  <c r="AN23" i="8" l="1"/>
  <c r="AO25" i="1"/>
  <c r="AN24" i="8" l="1"/>
  <c r="AO26" i="1"/>
  <c r="AN25" i="8" l="1"/>
  <c r="AO27" i="1"/>
  <c r="AN26" i="8" l="1"/>
  <c r="AO28" i="1"/>
  <c r="AN27" i="8" l="1"/>
  <c r="AO29" i="1"/>
  <c r="AN28" i="8" l="1"/>
  <c r="AO30" i="1"/>
  <c r="AN29" i="8" l="1"/>
  <c r="AO31" i="1"/>
  <c r="AN30" i="8" l="1"/>
  <c r="AO32" i="1"/>
  <c r="AN31" i="8" l="1"/>
  <c r="AO33" i="1"/>
  <c r="AN32" i="8" l="1"/>
  <c r="AO34" i="1"/>
  <c r="AN33" i="8" l="1"/>
  <c r="AO35" i="1"/>
  <c r="AN34" i="8" l="1"/>
  <c r="AO36" i="1"/>
  <c r="AN35" i="8" l="1"/>
  <c r="AO37" i="1"/>
  <c r="AN36" i="8" l="1"/>
  <c r="AO38" i="1"/>
  <c r="AN37" i="8" l="1"/>
  <c r="AO39" i="1"/>
  <c r="AN38" i="8" l="1"/>
  <c r="AO40" i="1"/>
  <c r="AN39" i="8" l="1"/>
  <c r="AO41" i="1"/>
  <c r="AN40" i="8" l="1"/>
  <c r="AO42" i="1"/>
  <c r="AN41" i="8" l="1"/>
  <c r="AO43" i="1"/>
  <c r="AN42" i="8" l="1"/>
  <c r="AO44" i="1"/>
  <c r="AN43" i="8" l="1"/>
  <c r="AO45" i="1"/>
  <c r="AN44" i="8" l="1"/>
  <c r="AO46" i="1"/>
  <c r="AN45" i="8" l="1"/>
  <c r="AO47" i="1"/>
  <c r="AN46" i="8" l="1"/>
  <c r="AO48" i="1"/>
  <c r="AN47" i="8" l="1"/>
  <c r="AO49" i="1"/>
  <c r="AN48" i="8" l="1"/>
  <c r="AO50" i="1"/>
  <c r="AN49" i="8" l="1"/>
  <c r="AO51" i="1"/>
  <c r="AN50" i="8" l="1"/>
  <c r="AO52" i="1"/>
  <c r="AN51" i="8" l="1"/>
  <c r="AO53" i="1"/>
  <c r="AN52" i="8" l="1"/>
  <c r="AO54" i="1"/>
  <c r="AN53" i="8" l="1"/>
  <c r="AO55" i="1"/>
  <c r="AN54" i="8" l="1"/>
  <c r="AO56" i="1"/>
  <c r="AN55" i="8" l="1"/>
  <c r="AO57" i="1"/>
  <c r="AN56" i="8" l="1"/>
  <c r="AO58" i="1"/>
  <c r="AN57" i="8" l="1"/>
  <c r="AO59" i="1"/>
  <c r="AN58" i="8" l="1"/>
  <c r="AO60" i="1"/>
  <c r="AN59" i="8" l="1"/>
  <c r="AO61" i="1"/>
  <c r="AN60" i="8" l="1"/>
  <c r="AO62" i="1"/>
  <c r="AN61" i="8" l="1"/>
  <c r="AO63" i="1"/>
  <c r="AN62" i="8" l="1"/>
  <c r="AO64" i="1"/>
  <c r="AO65" i="1" l="1"/>
  <c r="AN64" i="8" s="1"/>
  <c r="AN64" i="10" s="1"/>
  <c r="AN63" i="8"/>
  <c r="AN63" i="10" l="1"/>
  <c r="AN62" i="10" l="1"/>
  <c r="AN61" i="10" l="1"/>
  <c r="AN60" i="10" l="1"/>
  <c r="AN59" i="10" l="1"/>
  <c r="AN58" i="10" l="1"/>
  <c r="AN57" i="10" l="1"/>
  <c r="AN56" i="10" l="1"/>
  <c r="AN55" i="10" l="1"/>
  <c r="AN54" i="10" l="1"/>
  <c r="AN53" i="10" l="1"/>
  <c r="AN52" i="10" l="1"/>
  <c r="AN51" i="10" l="1"/>
  <c r="AN50" i="10" l="1"/>
  <c r="AN49" i="10" l="1"/>
  <c r="AN48" i="10" l="1"/>
  <c r="AN47" i="10" l="1"/>
  <c r="AN46" i="10" l="1"/>
  <c r="AN45" i="10" l="1"/>
  <c r="AN44" i="10" l="1"/>
  <c r="AN43" i="10" l="1"/>
  <c r="AN42" i="10" l="1"/>
  <c r="AN41" i="10" l="1"/>
  <c r="AN40" i="10" l="1"/>
  <c r="AN39" i="10" l="1"/>
  <c r="AN38" i="10" l="1"/>
  <c r="AN37" i="10" l="1"/>
  <c r="AN36" i="10" l="1"/>
  <c r="AN35" i="10" l="1"/>
  <c r="AN34" i="10" l="1"/>
  <c r="AN33" i="10" l="1"/>
  <c r="AN32" i="10" l="1"/>
  <c r="AN31" i="10" l="1"/>
  <c r="AN30" i="10" l="1"/>
  <c r="AN29" i="10" l="1"/>
  <c r="AN28" i="10" l="1"/>
  <c r="AN27" i="10" l="1"/>
  <c r="AN26" i="10" l="1"/>
  <c r="AN25" i="10" l="1"/>
  <c r="AN24" i="10" l="1"/>
  <c r="AN23" i="10" l="1"/>
  <c r="AN22" i="10" l="1"/>
  <c r="AN21" i="10" l="1"/>
  <c r="AN20" i="10" l="1"/>
  <c r="AN19" i="10" l="1"/>
  <c r="AN18" i="10" l="1"/>
  <c r="AN17" i="10" l="1"/>
  <c r="AN16" i="10" l="1"/>
  <c r="AN15" i="10" l="1"/>
  <c r="AN15" i="1" s="1"/>
  <c r="AN16" i="1" s="1"/>
  <c r="AN17" i="1" s="1"/>
  <c r="AM16" i="8" l="1"/>
  <c r="AN18" i="1"/>
  <c r="AM17" i="8" l="1"/>
  <c r="AN19" i="1"/>
  <c r="AM18" i="8" l="1"/>
  <c r="AN20" i="1"/>
  <c r="AM19" i="8" l="1"/>
  <c r="AN21" i="1"/>
  <c r="AM20" i="8" l="1"/>
  <c r="AN22" i="1"/>
  <c r="AM21" i="8" l="1"/>
  <c r="AN23" i="1"/>
  <c r="AM22" i="8" l="1"/>
  <c r="AN24" i="1"/>
  <c r="AM23" i="8" l="1"/>
  <c r="AN25" i="1"/>
  <c r="AM24" i="8" l="1"/>
  <c r="AN26" i="1"/>
  <c r="AM25" i="8" l="1"/>
  <c r="AN27" i="1"/>
  <c r="AM26" i="8" l="1"/>
  <c r="AN28" i="1"/>
  <c r="AM27" i="8" l="1"/>
  <c r="AN29" i="1"/>
  <c r="AM28" i="8" l="1"/>
  <c r="AN30" i="1"/>
  <c r="AM29" i="8" l="1"/>
  <c r="AN31" i="1"/>
  <c r="AM30" i="8" l="1"/>
  <c r="AN32" i="1"/>
  <c r="AM31" i="8" l="1"/>
  <c r="AN33" i="1"/>
  <c r="AM32" i="8" l="1"/>
  <c r="AN34" i="1"/>
  <c r="AM33" i="8" l="1"/>
  <c r="AN35" i="1"/>
  <c r="AM34" i="8" l="1"/>
  <c r="AN36" i="1"/>
  <c r="AM35" i="8" l="1"/>
  <c r="AN37" i="1"/>
  <c r="AM36" i="8" l="1"/>
  <c r="AN38" i="1"/>
  <c r="AM37" i="8" l="1"/>
  <c r="AN39" i="1"/>
  <c r="AM38" i="8" l="1"/>
  <c r="AN40" i="1"/>
  <c r="AM39" i="8" l="1"/>
  <c r="AN41" i="1"/>
  <c r="AM40" i="8" l="1"/>
  <c r="AN42" i="1"/>
  <c r="AM41" i="8" l="1"/>
  <c r="AN43" i="1"/>
  <c r="AM42" i="8" l="1"/>
  <c r="AN44" i="1"/>
  <c r="AM43" i="8" l="1"/>
  <c r="AN45" i="1"/>
  <c r="AM44" i="8" l="1"/>
  <c r="AN46" i="1"/>
  <c r="AM45" i="8" l="1"/>
  <c r="AN47" i="1"/>
  <c r="AM46" i="8" l="1"/>
  <c r="AN48" i="1"/>
  <c r="AM47" i="8" l="1"/>
  <c r="AN49" i="1"/>
  <c r="AM48" i="8" l="1"/>
  <c r="AN50" i="1"/>
  <c r="AM49" i="8" l="1"/>
  <c r="AN51" i="1"/>
  <c r="AM50" i="8" l="1"/>
  <c r="AN52" i="1"/>
  <c r="AM51" i="8" l="1"/>
  <c r="AN53" i="1"/>
  <c r="AM52" i="8" l="1"/>
  <c r="AN54" i="1"/>
  <c r="AM53" i="8" l="1"/>
  <c r="AN55" i="1"/>
  <c r="AM54" i="8" l="1"/>
  <c r="AN56" i="1"/>
  <c r="AM55" i="8" l="1"/>
  <c r="AN57" i="1"/>
  <c r="AM56" i="8" l="1"/>
  <c r="AN58" i="1"/>
  <c r="AM57" i="8" l="1"/>
  <c r="AN59" i="1"/>
  <c r="AM58" i="8" l="1"/>
  <c r="AN60" i="1"/>
  <c r="AM59" i="8" l="1"/>
  <c r="AN61" i="1"/>
  <c r="AM60" i="8" l="1"/>
  <c r="AN62" i="1"/>
  <c r="AM61" i="8" l="1"/>
  <c r="AN63" i="1"/>
  <c r="AM62" i="8" l="1"/>
  <c r="AN64" i="1"/>
  <c r="AN65" i="1" l="1"/>
  <c r="AM64" i="8" s="1"/>
  <c r="AM64" i="10" s="1"/>
  <c r="AM63" i="8"/>
  <c r="AM63" i="10" l="1"/>
  <c r="AM62" i="10" l="1"/>
  <c r="AM61" i="10" l="1"/>
  <c r="AM60" i="10" l="1"/>
  <c r="AM59" i="10" l="1"/>
  <c r="AM58" i="10" l="1"/>
  <c r="AM57" i="10" l="1"/>
  <c r="AM56" i="10" l="1"/>
  <c r="AM55" i="10" l="1"/>
  <c r="AM54" i="10" l="1"/>
  <c r="AM53" i="10" l="1"/>
  <c r="AM52" i="10" l="1"/>
  <c r="AM51" i="10" l="1"/>
  <c r="AM50" i="10" l="1"/>
  <c r="AM49" i="10" l="1"/>
  <c r="AM48" i="10" l="1"/>
  <c r="AM47" i="10" l="1"/>
  <c r="AM46" i="10" l="1"/>
  <c r="AM45" i="10" l="1"/>
  <c r="AM44" i="10" l="1"/>
  <c r="AM43" i="10" l="1"/>
  <c r="AM42" i="10" l="1"/>
  <c r="AM41" i="10" l="1"/>
  <c r="AM40" i="10" l="1"/>
  <c r="AM39" i="10" l="1"/>
  <c r="AM38" i="10" l="1"/>
  <c r="AM37" i="10" l="1"/>
  <c r="AM36" i="10" l="1"/>
  <c r="AM35" i="10" l="1"/>
  <c r="AM34" i="10" l="1"/>
  <c r="AM33" i="10" l="1"/>
  <c r="AM32" i="10" l="1"/>
  <c r="AM31" i="10" l="1"/>
  <c r="AM30" i="10" l="1"/>
  <c r="AM29" i="10" l="1"/>
  <c r="AM28" i="10" l="1"/>
  <c r="AM27" i="10" l="1"/>
  <c r="AM26" i="10" l="1"/>
  <c r="AM25" i="10" l="1"/>
  <c r="AM24" i="10" l="1"/>
  <c r="AM23" i="10" l="1"/>
  <c r="AM22" i="10" l="1"/>
  <c r="AM21" i="10" l="1"/>
  <c r="AM20" i="10" l="1"/>
  <c r="AM19" i="10" l="1"/>
  <c r="AM18" i="10" l="1"/>
  <c r="AM17" i="10" l="1"/>
  <c r="AM16" i="10" l="1"/>
  <c r="AM15" i="10" l="1"/>
  <c r="AM15" i="1" s="1"/>
  <c r="AM16" i="1" s="1"/>
  <c r="AM17" i="1" s="1"/>
  <c r="AL16" i="8" l="1"/>
  <c r="AM18" i="1"/>
  <c r="AL17" i="8" l="1"/>
  <c r="AM19" i="1"/>
  <c r="AL18" i="8" l="1"/>
  <c r="AM20" i="1"/>
  <c r="AL19" i="8" l="1"/>
  <c r="AM21" i="1"/>
  <c r="AL20" i="8" l="1"/>
  <c r="AM22" i="1"/>
  <c r="AL21" i="8" l="1"/>
  <c r="AM23" i="1"/>
  <c r="AL22" i="8" l="1"/>
  <c r="AM24" i="1"/>
  <c r="AL23" i="8" l="1"/>
  <c r="AM25" i="1"/>
  <c r="AL24" i="8" l="1"/>
  <c r="AM26" i="1"/>
  <c r="AL25" i="8" l="1"/>
  <c r="AM27" i="1"/>
  <c r="AL26" i="8" l="1"/>
  <c r="AM28" i="1"/>
  <c r="AL27" i="8" l="1"/>
  <c r="AM29" i="1"/>
  <c r="AL28" i="8" l="1"/>
  <c r="AM30" i="1"/>
  <c r="AL29" i="8" l="1"/>
  <c r="AM31" i="1"/>
  <c r="AL30" i="8" l="1"/>
  <c r="AM32" i="1"/>
  <c r="AL31" i="8" l="1"/>
  <c r="AM33" i="1"/>
  <c r="AL32" i="8" l="1"/>
  <c r="AM34" i="1"/>
  <c r="AL33" i="8" l="1"/>
  <c r="AM35" i="1"/>
  <c r="AL34" i="8" l="1"/>
  <c r="AM36" i="1"/>
  <c r="AL35" i="8" l="1"/>
  <c r="AM37" i="1"/>
  <c r="AL36" i="8" l="1"/>
  <c r="AM38" i="1"/>
  <c r="AL37" i="8" l="1"/>
  <c r="AM39" i="1"/>
  <c r="AL38" i="8" l="1"/>
  <c r="AM40" i="1"/>
  <c r="AL39" i="8" l="1"/>
  <c r="AM41" i="1"/>
  <c r="AL40" i="8" l="1"/>
  <c r="AM42" i="1"/>
  <c r="AL41" i="8" l="1"/>
  <c r="AM43" i="1"/>
  <c r="AL42" i="8" l="1"/>
  <c r="AM44" i="1"/>
  <c r="AL43" i="8" l="1"/>
  <c r="AM45" i="1"/>
  <c r="AL44" i="8" l="1"/>
  <c r="AM46" i="1"/>
  <c r="AL45" i="8" l="1"/>
  <c r="AM47" i="1"/>
  <c r="AL46" i="8" l="1"/>
  <c r="AM48" i="1"/>
  <c r="AL47" i="8" l="1"/>
  <c r="AM49" i="1"/>
  <c r="AL48" i="8" l="1"/>
  <c r="AM50" i="1"/>
  <c r="AL49" i="8" l="1"/>
  <c r="AM51" i="1"/>
  <c r="AL50" i="8" l="1"/>
  <c r="AM52" i="1"/>
  <c r="AL51" i="8" l="1"/>
  <c r="AM53" i="1"/>
  <c r="AL52" i="8" l="1"/>
  <c r="AM54" i="1"/>
  <c r="AL53" i="8" l="1"/>
  <c r="AM55" i="1"/>
  <c r="AL54" i="8" l="1"/>
  <c r="AM56" i="1"/>
  <c r="AL55" i="8" l="1"/>
  <c r="AM57" i="1"/>
  <c r="AL56" i="8" l="1"/>
  <c r="AM58" i="1"/>
  <c r="AL57" i="8" l="1"/>
  <c r="AM59" i="1"/>
  <c r="AL58" i="8" l="1"/>
  <c r="AM60" i="1"/>
  <c r="AL59" i="8" l="1"/>
  <c r="AM61" i="1"/>
  <c r="AL60" i="8" l="1"/>
  <c r="AM62" i="1"/>
  <c r="AL61" i="8" l="1"/>
  <c r="AM63" i="1"/>
  <c r="AL62" i="8" l="1"/>
  <c r="AM64" i="1"/>
  <c r="AL63" i="8" l="1"/>
  <c r="AM65" i="1"/>
  <c r="AL64" i="8" s="1"/>
  <c r="AL64" i="10" s="1"/>
  <c r="AL63" i="10" l="1"/>
  <c r="AL62" i="10" l="1"/>
  <c r="AL61" i="10" l="1"/>
  <c r="AL60" i="10" l="1"/>
  <c r="AL59" i="10" l="1"/>
  <c r="AL58" i="10" l="1"/>
  <c r="AL57" i="10" l="1"/>
  <c r="AL56" i="10" l="1"/>
  <c r="AL55" i="10" l="1"/>
  <c r="AL54" i="10" l="1"/>
  <c r="AL53" i="10" l="1"/>
  <c r="AL52" i="10" l="1"/>
  <c r="AL51" i="10" l="1"/>
  <c r="AL50" i="10" l="1"/>
  <c r="AL49" i="10" l="1"/>
  <c r="AL48" i="10" l="1"/>
  <c r="AL47" i="10" l="1"/>
  <c r="AL46" i="10" l="1"/>
  <c r="AL45" i="10" l="1"/>
  <c r="AL44" i="10" l="1"/>
  <c r="AL43" i="10" l="1"/>
  <c r="AL42" i="10" l="1"/>
  <c r="AL41" i="10" l="1"/>
  <c r="AL40" i="10" l="1"/>
  <c r="AL39" i="10" l="1"/>
  <c r="AL38" i="10" l="1"/>
  <c r="AL37" i="10" l="1"/>
  <c r="AL36" i="10" l="1"/>
  <c r="AL35" i="10" l="1"/>
  <c r="AL34" i="10" l="1"/>
  <c r="AL33" i="10" l="1"/>
  <c r="AL32" i="10" l="1"/>
  <c r="AL31" i="10" l="1"/>
  <c r="AL30" i="10" l="1"/>
  <c r="AL29" i="10" l="1"/>
  <c r="AL28" i="10" l="1"/>
  <c r="AL27" i="10" l="1"/>
  <c r="AL26" i="10" l="1"/>
  <c r="AL25" i="10" l="1"/>
  <c r="AL24" i="10" l="1"/>
  <c r="AL23" i="10" l="1"/>
  <c r="AL22" i="10" l="1"/>
  <c r="AL21" i="10" l="1"/>
  <c r="AL20" i="10" l="1"/>
  <c r="AL19" i="10" l="1"/>
  <c r="AL18" i="10" l="1"/>
  <c r="AL17" i="10" l="1"/>
  <c r="AL16" i="10" l="1"/>
  <c r="AL15" i="10" l="1"/>
  <c r="AL15" i="1" s="1"/>
  <c r="AL16" i="1" s="1"/>
  <c r="AL17" i="1" s="1"/>
  <c r="AK16" i="8" l="1"/>
  <c r="AL18" i="1"/>
  <c r="AK17" i="8" l="1"/>
  <c r="AL19" i="1"/>
  <c r="AK18" i="8" l="1"/>
  <c r="AL20" i="1"/>
  <c r="AK19" i="8" l="1"/>
  <c r="AL21" i="1"/>
  <c r="AK20" i="8" l="1"/>
  <c r="AL22" i="1"/>
  <c r="AK21" i="8" l="1"/>
  <c r="AL23" i="1"/>
  <c r="AK22" i="8" l="1"/>
  <c r="AL24" i="1"/>
  <c r="AK23" i="8" l="1"/>
  <c r="AL25" i="1"/>
  <c r="AK24" i="8" l="1"/>
  <c r="AL26" i="1"/>
  <c r="AK25" i="8" l="1"/>
  <c r="AL27" i="1"/>
  <c r="AK26" i="8" l="1"/>
  <c r="AL28" i="1"/>
  <c r="AK27" i="8" l="1"/>
  <c r="AL29" i="1"/>
  <c r="AK28" i="8" l="1"/>
  <c r="AL30" i="1"/>
  <c r="AK29" i="8" l="1"/>
  <c r="AL31" i="1"/>
  <c r="AK30" i="8" l="1"/>
  <c r="AL32" i="1"/>
  <c r="AK31" i="8" l="1"/>
  <c r="AL33" i="1"/>
  <c r="AK32" i="8" l="1"/>
  <c r="AL34" i="1"/>
  <c r="AK33" i="8" l="1"/>
  <c r="AL35" i="1"/>
  <c r="AK34" i="8" l="1"/>
  <c r="AL36" i="1"/>
  <c r="AK35" i="8" l="1"/>
  <c r="AL37" i="1"/>
  <c r="AK36" i="8" l="1"/>
  <c r="AL38" i="1"/>
  <c r="AK37" i="8" l="1"/>
  <c r="AL39" i="1"/>
  <c r="AK38" i="8" l="1"/>
  <c r="AL40" i="1"/>
  <c r="AK39" i="8" l="1"/>
  <c r="AL41" i="1"/>
  <c r="AK40" i="8" l="1"/>
  <c r="AL42" i="1"/>
  <c r="AK41" i="8" l="1"/>
  <c r="AL43" i="1"/>
  <c r="AK42" i="8" l="1"/>
  <c r="AL44" i="1"/>
  <c r="AK43" i="8" l="1"/>
  <c r="AL45" i="1"/>
  <c r="AK44" i="8" l="1"/>
  <c r="AL46" i="1"/>
  <c r="AK45" i="8" l="1"/>
  <c r="AL47" i="1"/>
  <c r="AK46" i="8" l="1"/>
  <c r="AL48" i="1"/>
  <c r="AK47" i="8" l="1"/>
  <c r="AL49" i="1"/>
  <c r="AK48" i="8" l="1"/>
  <c r="AL50" i="1"/>
  <c r="AK49" i="8" l="1"/>
  <c r="AL51" i="1"/>
  <c r="AK50" i="8" l="1"/>
  <c r="AL52" i="1"/>
  <c r="AK51" i="8" l="1"/>
  <c r="AL53" i="1"/>
  <c r="AK52" i="8" l="1"/>
  <c r="AL54" i="1"/>
  <c r="AK53" i="8" l="1"/>
  <c r="AL55" i="1"/>
  <c r="AK54" i="8" l="1"/>
  <c r="AL56" i="1"/>
  <c r="AK55" i="8" l="1"/>
  <c r="AL57" i="1"/>
  <c r="AK56" i="8" l="1"/>
  <c r="AL58" i="1"/>
  <c r="AK57" i="8" l="1"/>
  <c r="AL59" i="1"/>
  <c r="AK58" i="8" l="1"/>
  <c r="AL60" i="1"/>
  <c r="AK59" i="8" l="1"/>
  <c r="AL61" i="1"/>
  <c r="AK60" i="8" l="1"/>
  <c r="AL62" i="1"/>
  <c r="AK61" i="8" l="1"/>
  <c r="AL63" i="1"/>
  <c r="AK62" i="8" l="1"/>
  <c r="AL64" i="1"/>
  <c r="AK63" i="8" l="1"/>
  <c r="AL65" i="1"/>
  <c r="AK64" i="8" s="1"/>
  <c r="AK64" i="10" s="1"/>
  <c r="AK63" i="10" l="1"/>
  <c r="AK62" i="10" l="1"/>
  <c r="AK61" i="10" l="1"/>
  <c r="AK60" i="10" l="1"/>
  <c r="AK59" i="10" l="1"/>
  <c r="AK58" i="10" l="1"/>
  <c r="AK57" i="10" l="1"/>
  <c r="AK56" i="10" l="1"/>
  <c r="AK55" i="10" l="1"/>
  <c r="AK54" i="10" l="1"/>
  <c r="AK53" i="10" l="1"/>
  <c r="AK52" i="10" l="1"/>
  <c r="AK51" i="10" l="1"/>
  <c r="AK50" i="10" l="1"/>
  <c r="AK49" i="10" l="1"/>
  <c r="AK48" i="10" l="1"/>
  <c r="AK47" i="10" l="1"/>
  <c r="AK46" i="10" l="1"/>
  <c r="AK45" i="10" l="1"/>
  <c r="AK44" i="10" l="1"/>
  <c r="AK43" i="10" l="1"/>
  <c r="AK42" i="10" l="1"/>
  <c r="AK41" i="10" l="1"/>
  <c r="AK40" i="10" l="1"/>
  <c r="AK39" i="10" l="1"/>
  <c r="AK38" i="10" l="1"/>
  <c r="AK37" i="10" l="1"/>
  <c r="AK36" i="10" l="1"/>
  <c r="AK35" i="10" l="1"/>
  <c r="AK34" i="10" l="1"/>
  <c r="AK33" i="10" l="1"/>
  <c r="AK32" i="10" l="1"/>
  <c r="AK31" i="10" l="1"/>
  <c r="AK30" i="10" l="1"/>
  <c r="AK29" i="10" l="1"/>
  <c r="AK28" i="10" l="1"/>
  <c r="AK27" i="10" l="1"/>
  <c r="AK26" i="10" l="1"/>
  <c r="AK25" i="10" l="1"/>
  <c r="AK24" i="10" l="1"/>
  <c r="AK23" i="10" l="1"/>
  <c r="AK22" i="10" l="1"/>
  <c r="AK21" i="10" l="1"/>
  <c r="AK20" i="10" l="1"/>
  <c r="AK19" i="10" l="1"/>
  <c r="AK18" i="10" l="1"/>
  <c r="AK17" i="10" l="1"/>
  <c r="AK16" i="10" l="1"/>
  <c r="AK15" i="10" l="1"/>
  <c r="AK15" i="1" s="1"/>
  <c r="AK16" i="1" s="1"/>
  <c r="AK17" i="1" s="1"/>
  <c r="AJ16" i="8" l="1"/>
  <c r="AK18" i="1"/>
  <c r="AJ17" i="8" l="1"/>
  <c r="AK19" i="1"/>
  <c r="AJ18" i="8" l="1"/>
  <c r="AK20" i="1"/>
  <c r="AJ19" i="8" l="1"/>
  <c r="AK21" i="1"/>
  <c r="AJ20" i="8" l="1"/>
  <c r="AK22" i="1"/>
  <c r="AJ21" i="8" l="1"/>
  <c r="AK23" i="1"/>
  <c r="AJ22" i="8" l="1"/>
  <c r="AK24" i="1"/>
  <c r="AJ23" i="8" l="1"/>
  <c r="AK25" i="1"/>
  <c r="AJ24" i="8" l="1"/>
  <c r="AK26" i="1"/>
  <c r="AJ25" i="8" l="1"/>
  <c r="AK27" i="1"/>
  <c r="AJ26" i="8" l="1"/>
  <c r="AK28" i="1"/>
  <c r="AJ27" i="8" l="1"/>
  <c r="AK29" i="1"/>
  <c r="AJ28" i="8" l="1"/>
  <c r="AK30" i="1"/>
  <c r="AJ29" i="8" l="1"/>
  <c r="AK31" i="1"/>
  <c r="AJ30" i="8" l="1"/>
  <c r="AK32" i="1"/>
  <c r="AJ31" i="8" l="1"/>
  <c r="AK33" i="1"/>
  <c r="AJ32" i="8" l="1"/>
  <c r="AK34" i="1"/>
  <c r="AJ33" i="8" l="1"/>
  <c r="AK35" i="1"/>
  <c r="AJ34" i="8" l="1"/>
  <c r="AK36" i="1"/>
  <c r="AJ35" i="8" l="1"/>
  <c r="AK37" i="1"/>
  <c r="AJ36" i="8" l="1"/>
  <c r="AK38" i="1"/>
  <c r="AJ37" i="8" l="1"/>
  <c r="AK39" i="1"/>
  <c r="AJ38" i="8" l="1"/>
  <c r="AK40" i="1"/>
  <c r="AJ39" i="8" l="1"/>
  <c r="AK41" i="1"/>
  <c r="AJ40" i="8" l="1"/>
  <c r="AK42" i="1"/>
  <c r="AJ41" i="8" l="1"/>
  <c r="AK43" i="1"/>
  <c r="AJ42" i="8" l="1"/>
  <c r="AK44" i="1"/>
  <c r="AJ43" i="8" l="1"/>
  <c r="AK45" i="1"/>
  <c r="AJ44" i="8" l="1"/>
  <c r="AK46" i="1"/>
  <c r="AJ45" i="8" l="1"/>
  <c r="AK47" i="1"/>
  <c r="AJ46" i="8" l="1"/>
  <c r="AK48" i="1"/>
  <c r="AJ47" i="8" l="1"/>
  <c r="AK49" i="1"/>
  <c r="AJ48" i="8" l="1"/>
  <c r="AK50" i="1"/>
  <c r="AJ49" i="8" l="1"/>
  <c r="AK51" i="1"/>
  <c r="AJ50" i="8" l="1"/>
  <c r="AK52" i="1"/>
  <c r="AJ51" i="8" l="1"/>
  <c r="AK53" i="1"/>
  <c r="AJ52" i="8" l="1"/>
  <c r="AK54" i="1"/>
  <c r="AJ53" i="8" l="1"/>
  <c r="AK55" i="1"/>
  <c r="AJ54" i="8" l="1"/>
  <c r="AK56" i="1"/>
  <c r="AJ55" i="8" l="1"/>
  <c r="AK57" i="1"/>
  <c r="AJ56" i="8" l="1"/>
  <c r="AK58" i="1"/>
  <c r="AJ57" i="8" l="1"/>
  <c r="AK59" i="1"/>
  <c r="AJ58" i="8" l="1"/>
  <c r="AK60" i="1"/>
  <c r="AJ59" i="8" l="1"/>
  <c r="AK61" i="1"/>
  <c r="AJ60" i="8" l="1"/>
  <c r="AK62" i="1"/>
  <c r="AJ61" i="8" l="1"/>
  <c r="AK63" i="1"/>
  <c r="AJ62" i="8" l="1"/>
  <c r="AK64" i="1"/>
  <c r="AJ63" i="8" l="1"/>
  <c r="AK65" i="1"/>
  <c r="AJ64" i="8" s="1"/>
  <c r="AJ64" i="10" s="1"/>
  <c r="AJ63" i="10" l="1"/>
  <c r="AJ62" i="10" l="1"/>
  <c r="AJ61" i="10" l="1"/>
  <c r="AJ60" i="10" l="1"/>
  <c r="AJ59" i="10" l="1"/>
  <c r="AJ58" i="10" l="1"/>
  <c r="AJ57" i="10" l="1"/>
  <c r="AJ56" i="10" l="1"/>
  <c r="AJ55" i="10" l="1"/>
  <c r="AJ54" i="10" l="1"/>
  <c r="AJ53" i="10" l="1"/>
  <c r="AJ52" i="10" l="1"/>
  <c r="AJ51" i="10" l="1"/>
  <c r="AJ50" i="10" l="1"/>
  <c r="AJ49" i="10" l="1"/>
  <c r="AJ48" i="10" l="1"/>
  <c r="AJ47" i="10" l="1"/>
  <c r="AJ46" i="10" l="1"/>
  <c r="AJ45" i="10" l="1"/>
  <c r="AJ44" i="10" l="1"/>
  <c r="AJ43" i="10" l="1"/>
  <c r="AJ42" i="10" l="1"/>
  <c r="AJ41" i="10" l="1"/>
  <c r="AJ40" i="10" l="1"/>
  <c r="AJ39" i="10" l="1"/>
  <c r="AJ38" i="10" l="1"/>
  <c r="AJ37" i="10" l="1"/>
  <c r="AJ36" i="10" l="1"/>
  <c r="AJ35" i="10" l="1"/>
  <c r="AJ34" i="10" l="1"/>
  <c r="AJ33" i="10" l="1"/>
  <c r="AJ32" i="10" l="1"/>
  <c r="AJ31" i="10" l="1"/>
  <c r="AJ30" i="10" l="1"/>
  <c r="AJ29" i="10" l="1"/>
  <c r="AJ28" i="10" l="1"/>
  <c r="AJ27" i="10" l="1"/>
  <c r="AJ26" i="10" l="1"/>
  <c r="AJ25" i="10" l="1"/>
  <c r="AJ24" i="10" l="1"/>
  <c r="AJ23" i="10" l="1"/>
  <c r="AJ22" i="10" l="1"/>
  <c r="AJ21" i="10" l="1"/>
  <c r="AJ20" i="10" l="1"/>
  <c r="AJ19" i="10" l="1"/>
  <c r="AJ18" i="10" l="1"/>
  <c r="AJ17" i="10" l="1"/>
  <c r="AJ16" i="10" l="1"/>
  <c r="AJ15" i="10" l="1"/>
  <c r="AJ15" i="1" s="1"/>
  <c r="AJ16" i="1" s="1"/>
  <c r="AJ17" i="1" s="1"/>
  <c r="AI16" i="8" l="1"/>
  <c r="AJ18" i="1"/>
  <c r="AI17" i="8" l="1"/>
  <c r="AJ19" i="1"/>
  <c r="AI18" i="8" l="1"/>
  <c r="AJ20" i="1"/>
  <c r="AI19" i="8" l="1"/>
  <c r="AJ21" i="1"/>
  <c r="AI20" i="8" l="1"/>
  <c r="AJ22" i="1"/>
  <c r="AI21" i="8" l="1"/>
  <c r="AJ23" i="1"/>
  <c r="AI22" i="8" l="1"/>
  <c r="AJ24" i="1"/>
  <c r="AI23" i="8" l="1"/>
  <c r="AJ25" i="1"/>
  <c r="AI24" i="8" l="1"/>
  <c r="AJ26" i="1"/>
  <c r="AI25" i="8" l="1"/>
  <c r="AJ27" i="1"/>
  <c r="AI26" i="8" l="1"/>
  <c r="AJ28" i="1"/>
  <c r="AI27" i="8" l="1"/>
  <c r="AJ29" i="1"/>
  <c r="AI28" i="8" l="1"/>
  <c r="AJ30" i="1"/>
  <c r="AI29" i="8" l="1"/>
  <c r="AJ31" i="1"/>
  <c r="AI30" i="8" l="1"/>
  <c r="AJ32" i="1"/>
  <c r="AI31" i="8" l="1"/>
  <c r="AJ33" i="1"/>
  <c r="AI32" i="8" l="1"/>
  <c r="AJ34" i="1"/>
  <c r="AI33" i="8" l="1"/>
  <c r="AJ35" i="1"/>
  <c r="AI34" i="8" l="1"/>
  <c r="AJ36" i="1"/>
  <c r="AI35" i="8" l="1"/>
  <c r="AJ37" i="1"/>
  <c r="AI36" i="8" l="1"/>
  <c r="AJ38" i="1"/>
  <c r="AI37" i="8" l="1"/>
  <c r="AJ39" i="1"/>
  <c r="AI38" i="8" l="1"/>
  <c r="AJ40" i="1"/>
  <c r="AI39" i="8" l="1"/>
  <c r="AJ41" i="1"/>
  <c r="AI40" i="8" l="1"/>
  <c r="AJ42" i="1"/>
  <c r="AI41" i="8" l="1"/>
  <c r="AJ43" i="1"/>
  <c r="AI42" i="8" l="1"/>
  <c r="AJ44" i="1"/>
  <c r="AI43" i="8" l="1"/>
  <c r="AJ45" i="1"/>
  <c r="AI44" i="8" l="1"/>
  <c r="AJ46" i="1"/>
  <c r="AI45" i="8" l="1"/>
  <c r="AJ47" i="1"/>
  <c r="AI46" i="8" l="1"/>
  <c r="AJ48" i="1"/>
  <c r="AI47" i="8" l="1"/>
  <c r="AJ49" i="1"/>
  <c r="AI48" i="8" l="1"/>
  <c r="AJ50" i="1"/>
  <c r="AI49" i="8" l="1"/>
  <c r="AJ51" i="1"/>
  <c r="AI50" i="8" l="1"/>
  <c r="AJ52" i="1"/>
  <c r="AI51" i="8" l="1"/>
  <c r="AJ53" i="1"/>
  <c r="AI52" i="8" l="1"/>
  <c r="AJ54" i="1"/>
  <c r="AI53" i="8" l="1"/>
  <c r="AJ55" i="1"/>
  <c r="AI54" i="8" l="1"/>
  <c r="AJ56" i="1"/>
  <c r="AI55" i="8" l="1"/>
  <c r="AJ57" i="1"/>
  <c r="AI56" i="8" l="1"/>
  <c r="AJ58" i="1"/>
  <c r="AI57" i="8" l="1"/>
  <c r="AJ59" i="1"/>
  <c r="AI58" i="8" l="1"/>
  <c r="AJ60" i="1"/>
  <c r="AI59" i="8" l="1"/>
  <c r="AJ61" i="1"/>
  <c r="AI60" i="8" l="1"/>
  <c r="AJ62" i="1"/>
  <c r="AI61" i="8" l="1"/>
  <c r="AJ63" i="1"/>
  <c r="AI62" i="8" l="1"/>
  <c r="AJ64" i="1"/>
  <c r="AI63" i="8" l="1"/>
  <c r="AJ65" i="1"/>
  <c r="AI64" i="8" s="1"/>
  <c r="AI64" i="10" s="1"/>
  <c r="AI63" i="10" l="1"/>
  <c r="AI62" i="10" l="1"/>
  <c r="AI61" i="10" l="1"/>
  <c r="AI60" i="10" l="1"/>
  <c r="AI59" i="10" l="1"/>
  <c r="AI58" i="10" l="1"/>
  <c r="AI57" i="10" l="1"/>
  <c r="AI56" i="10" l="1"/>
  <c r="AI55" i="10" l="1"/>
  <c r="AI54" i="10" l="1"/>
  <c r="AI53" i="10" l="1"/>
  <c r="AI52" i="10" l="1"/>
  <c r="AI51" i="10" l="1"/>
  <c r="AI50" i="10" l="1"/>
  <c r="AI49" i="10" l="1"/>
  <c r="AI48" i="10" l="1"/>
  <c r="AI47" i="10" l="1"/>
  <c r="AI46" i="10" l="1"/>
  <c r="AI45" i="10" l="1"/>
  <c r="AI44" i="10" l="1"/>
  <c r="AI43" i="10" l="1"/>
  <c r="AI42" i="10" l="1"/>
  <c r="AI41" i="10" l="1"/>
  <c r="AI40" i="10" l="1"/>
  <c r="AI39" i="10" l="1"/>
  <c r="AI38" i="10" l="1"/>
  <c r="AI37" i="10" l="1"/>
  <c r="AI36" i="10" l="1"/>
  <c r="AI35" i="10" l="1"/>
  <c r="AI34" i="10" l="1"/>
  <c r="AI33" i="10" l="1"/>
  <c r="AI32" i="10" l="1"/>
  <c r="AI31" i="10" l="1"/>
  <c r="AI30" i="10" l="1"/>
  <c r="AI29" i="10" l="1"/>
  <c r="AI28" i="10" l="1"/>
  <c r="AI27" i="10" l="1"/>
  <c r="AI26" i="10" l="1"/>
  <c r="AI25" i="10" l="1"/>
  <c r="AI24" i="10" l="1"/>
  <c r="AI23" i="10" l="1"/>
  <c r="AI22" i="10" l="1"/>
  <c r="AI21" i="10" l="1"/>
  <c r="AI20" i="10" l="1"/>
  <c r="AI19" i="10" l="1"/>
  <c r="AI18" i="10" l="1"/>
  <c r="AI17" i="10" l="1"/>
  <c r="AI16" i="10" l="1"/>
  <c r="AI15" i="10" l="1"/>
  <c r="AI15" i="1" s="1"/>
  <c r="AI16" i="1" s="1"/>
  <c r="AI17" i="1" s="1"/>
  <c r="AH16" i="8" l="1"/>
  <c r="AI18" i="1"/>
  <c r="AH17" i="8" l="1"/>
  <c r="AI19" i="1"/>
  <c r="AH18" i="8" l="1"/>
  <c r="AI20" i="1"/>
  <c r="AH19" i="8" l="1"/>
  <c r="AI21" i="1"/>
  <c r="AH20" i="8" l="1"/>
  <c r="AI22" i="1"/>
  <c r="AH21" i="8" l="1"/>
  <c r="AI23" i="1"/>
  <c r="AH22" i="8" l="1"/>
  <c r="AI24" i="1"/>
  <c r="AH23" i="8" l="1"/>
  <c r="AI25" i="1"/>
  <c r="AH24" i="8" l="1"/>
  <c r="AI26" i="1"/>
  <c r="AH25" i="8" l="1"/>
  <c r="AI27" i="1"/>
  <c r="AH26" i="8" l="1"/>
  <c r="AI28" i="1"/>
  <c r="AH27" i="8" l="1"/>
  <c r="AI29" i="1"/>
  <c r="AH28" i="8" l="1"/>
  <c r="AI30" i="1"/>
  <c r="AH29" i="8" l="1"/>
  <c r="AI31" i="1"/>
  <c r="AH30" i="8" l="1"/>
  <c r="AI32" i="1"/>
  <c r="AH31" i="8" l="1"/>
  <c r="AI33" i="1"/>
  <c r="AH32" i="8" l="1"/>
  <c r="AI34" i="1"/>
  <c r="AH33" i="8" l="1"/>
  <c r="AI35" i="1"/>
  <c r="AH34" i="8" l="1"/>
  <c r="AI36" i="1"/>
  <c r="AH35" i="8" l="1"/>
  <c r="AI37" i="1"/>
  <c r="AH36" i="8" l="1"/>
  <c r="AI38" i="1"/>
  <c r="AH37" i="8" l="1"/>
  <c r="AI39" i="1"/>
  <c r="AH38" i="8" l="1"/>
  <c r="AI40" i="1"/>
  <c r="AH39" i="8" l="1"/>
  <c r="AI41" i="1"/>
  <c r="AH40" i="8" l="1"/>
  <c r="AI42" i="1"/>
  <c r="AH41" i="8" l="1"/>
  <c r="AI43" i="1"/>
  <c r="AH42" i="8" l="1"/>
  <c r="AI44" i="1"/>
  <c r="AH43" i="8" l="1"/>
  <c r="AI45" i="1"/>
  <c r="AH44" i="8" l="1"/>
  <c r="AI46" i="1"/>
  <c r="AH45" i="8" l="1"/>
  <c r="AI47" i="1"/>
  <c r="AH46" i="8" l="1"/>
  <c r="AI48" i="1"/>
  <c r="AH47" i="8" l="1"/>
  <c r="AI49" i="1"/>
  <c r="AH48" i="8" l="1"/>
  <c r="AI50" i="1"/>
  <c r="AH49" i="8" l="1"/>
  <c r="AI51" i="1"/>
  <c r="AH50" i="8" l="1"/>
  <c r="AI52" i="1"/>
  <c r="AH51" i="8" l="1"/>
  <c r="AI53" i="1"/>
  <c r="AH52" i="8" l="1"/>
  <c r="AI54" i="1"/>
  <c r="AH53" i="8" l="1"/>
  <c r="AI55" i="1"/>
  <c r="AH54" i="8" l="1"/>
  <c r="AI56" i="1"/>
  <c r="AH55" i="8" l="1"/>
  <c r="AI57" i="1"/>
  <c r="AH56" i="8" l="1"/>
  <c r="AI58" i="1"/>
  <c r="AH57" i="8" l="1"/>
  <c r="AI59" i="1"/>
  <c r="AH58" i="8" l="1"/>
  <c r="AI60" i="1"/>
  <c r="AH59" i="8" l="1"/>
  <c r="AI61" i="1"/>
  <c r="AH60" i="8" l="1"/>
  <c r="AI62" i="1"/>
  <c r="AH61" i="8" l="1"/>
  <c r="AI63" i="1"/>
  <c r="AH62" i="8" l="1"/>
  <c r="AI64" i="1"/>
  <c r="AH63" i="8" l="1"/>
  <c r="AI65" i="1"/>
  <c r="AH64" i="8" s="1"/>
  <c r="AH64" i="10" s="1"/>
  <c r="AH63" i="10" l="1"/>
  <c r="AH62" i="10" l="1"/>
  <c r="AH61" i="10" l="1"/>
  <c r="AH60" i="10" l="1"/>
  <c r="AH59" i="10" l="1"/>
  <c r="AH58" i="10" l="1"/>
  <c r="AH57" i="10" l="1"/>
  <c r="AH56" i="10" l="1"/>
  <c r="AH55" i="10" l="1"/>
  <c r="AH54" i="10" l="1"/>
  <c r="AH53" i="10" l="1"/>
  <c r="AH52" i="10" l="1"/>
  <c r="AH51" i="10" l="1"/>
  <c r="AH50" i="10" l="1"/>
  <c r="AH49" i="10" l="1"/>
  <c r="AH48" i="10" l="1"/>
  <c r="AH47" i="10" l="1"/>
  <c r="AH46" i="10" l="1"/>
  <c r="AH45" i="10" l="1"/>
  <c r="AH44" i="10" l="1"/>
  <c r="AH43" i="10" l="1"/>
  <c r="AH42" i="10" l="1"/>
  <c r="AH41" i="10" l="1"/>
  <c r="AH40" i="10" l="1"/>
  <c r="AH39" i="10" l="1"/>
  <c r="AH38" i="10" l="1"/>
  <c r="AH37" i="10" l="1"/>
  <c r="AH36" i="10" l="1"/>
  <c r="AH35" i="10" l="1"/>
  <c r="AH34" i="10" l="1"/>
  <c r="AH33" i="10" l="1"/>
  <c r="AH32" i="10" l="1"/>
  <c r="AH31" i="10" l="1"/>
  <c r="AH30" i="10" l="1"/>
  <c r="AH29" i="10" l="1"/>
  <c r="AH28" i="10" l="1"/>
  <c r="AH27" i="10" l="1"/>
  <c r="AH26" i="10" l="1"/>
  <c r="AH25" i="10" l="1"/>
  <c r="AH24" i="10" l="1"/>
  <c r="AH23" i="10" l="1"/>
  <c r="AH22" i="10" l="1"/>
  <c r="AH21" i="10" l="1"/>
  <c r="AH20" i="10" l="1"/>
  <c r="AH19" i="10" l="1"/>
  <c r="AH18" i="10" l="1"/>
  <c r="AH17" i="10" l="1"/>
  <c r="AH16" i="10" l="1"/>
  <c r="AH15" i="10" l="1"/>
  <c r="AH15" i="1" s="1"/>
  <c r="AH16" i="1" s="1"/>
  <c r="AH17" i="1" s="1"/>
  <c r="AG16" i="8" l="1"/>
  <c r="AH18" i="1"/>
  <c r="AG17" i="8" l="1"/>
  <c r="AH19" i="1"/>
  <c r="AG18" i="8" l="1"/>
  <c r="AH20" i="1"/>
  <c r="AG19" i="8" l="1"/>
  <c r="AH21" i="1"/>
  <c r="AG20" i="8" l="1"/>
  <c r="AH22" i="1"/>
  <c r="AG21" i="8" l="1"/>
  <c r="AH23" i="1"/>
  <c r="AG22" i="8" l="1"/>
  <c r="AH24" i="1"/>
  <c r="AG23" i="8" l="1"/>
  <c r="AH25" i="1"/>
  <c r="AG24" i="8" l="1"/>
  <c r="AH26" i="1"/>
  <c r="AG25" i="8" l="1"/>
  <c r="AH27" i="1"/>
  <c r="AG26" i="8" l="1"/>
  <c r="AH28" i="1"/>
  <c r="AG27" i="8" l="1"/>
  <c r="AH29" i="1"/>
  <c r="AG28" i="8" l="1"/>
  <c r="AH30" i="1"/>
  <c r="AG29" i="8" l="1"/>
  <c r="AH31" i="1"/>
  <c r="AG30" i="8" l="1"/>
  <c r="AH32" i="1"/>
  <c r="AG31" i="8" l="1"/>
  <c r="AH33" i="1"/>
  <c r="AG32" i="8" l="1"/>
  <c r="AH34" i="1"/>
  <c r="AG33" i="8" l="1"/>
  <c r="AH35" i="1"/>
  <c r="AG34" i="8" l="1"/>
  <c r="AH36" i="1"/>
  <c r="AG35" i="8" l="1"/>
  <c r="AH37" i="1"/>
  <c r="AG36" i="8" l="1"/>
  <c r="AH38" i="1"/>
  <c r="AG37" i="8" l="1"/>
  <c r="AH39" i="1"/>
  <c r="AG38" i="8" l="1"/>
  <c r="AH40" i="1"/>
  <c r="AG39" i="8" l="1"/>
  <c r="AH41" i="1"/>
  <c r="AG40" i="8" l="1"/>
  <c r="AH42" i="1"/>
  <c r="AG41" i="8" l="1"/>
  <c r="AH43" i="1"/>
  <c r="AG42" i="8" l="1"/>
  <c r="AH44" i="1"/>
  <c r="AG43" i="8" l="1"/>
  <c r="AH45" i="1"/>
  <c r="AG44" i="8" l="1"/>
  <c r="AH46" i="1"/>
  <c r="AG45" i="8" l="1"/>
  <c r="AH47" i="1"/>
  <c r="AG46" i="8" l="1"/>
  <c r="AH48" i="1"/>
  <c r="AG47" i="8" l="1"/>
  <c r="AH49" i="1"/>
  <c r="AG48" i="8" l="1"/>
  <c r="AH50" i="1"/>
  <c r="AG49" i="8" l="1"/>
  <c r="AH51" i="1"/>
  <c r="AG50" i="8" l="1"/>
  <c r="AH52" i="1"/>
  <c r="AG51" i="8" l="1"/>
  <c r="AH53" i="1"/>
  <c r="AG52" i="8" l="1"/>
  <c r="AH54" i="1"/>
  <c r="AG53" i="8" l="1"/>
  <c r="AH55" i="1"/>
  <c r="AG54" i="8" l="1"/>
  <c r="AH56" i="1"/>
  <c r="AG55" i="8" l="1"/>
  <c r="AH57" i="1"/>
  <c r="AG56" i="8" l="1"/>
  <c r="AH58" i="1"/>
  <c r="AG57" i="8" l="1"/>
  <c r="AH59" i="1"/>
  <c r="AG58" i="8" l="1"/>
  <c r="AH60" i="1"/>
  <c r="AG59" i="8" l="1"/>
  <c r="AH61" i="1"/>
  <c r="AG60" i="8" l="1"/>
  <c r="AH62" i="1"/>
  <c r="AG61" i="8" l="1"/>
  <c r="AH63" i="1"/>
  <c r="AG62" i="8" l="1"/>
  <c r="AH64" i="1"/>
  <c r="AG63" i="8" l="1"/>
  <c r="AH65" i="1"/>
  <c r="AG64" i="8" s="1"/>
  <c r="AG64" i="10" s="1"/>
  <c r="AG63" i="10" l="1"/>
  <c r="AG62" i="10" l="1"/>
  <c r="AG61" i="10" l="1"/>
  <c r="AG60" i="10" l="1"/>
  <c r="AG59" i="10" l="1"/>
  <c r="AG58" i="10" l="1"/>
  <c r="AG57" i="10" l="1"/>
  <c r="AG56" i="10" l="1"/>
  <c r="AG55" i="10" l="1"/>
  <c r="AG54" i="10" l="1"/>
  <c r="AG53" i="10" l="1"/>
  <c r="AG52" i="10" l="1"/>
  <c r="AG51" i="10" l="1"/>
  <c r="AG50" i="10" l="1"/>
  <c r="AG49" i="10" l="1"/>
  <c r="AG48" i="10" l="1"/>
  <c r="AG47" i="10" l="1"/>
  <c r="AG46" i="10" l="1"/>
  <c r="AG45" i="10" l="1"/>
  <c r="AG44" i="10" l="1"/>
  <c r="AG43" i="10" l="1"/>
  <c r="AG42" i="10" l="1"/>
  <c r="AG41" i="10" l="1"/>
  <c r="AG40" i="10" l="1"/>
  <c r="AG39" i="10" l="1"/>
  <c r="AG38" i="10" l="1"/>
  <c r="AG37" i="10" l="1"/>
  <c r="AG36" i="10" l="1"/>
  <c r="AG35" i="10" l="1"/>
  <c r="AG34" i="10" l="1"/>
  <c r="AG33" i="10" l="1"/>
  <c r="AG32" i="10" l="1"/>
  <c r="AG31" i="10" l="1"/>
  <c r="AG30" i="10" l="1"/>
  <c r="AG29" i="10" l="1"/>
  <c r="AG28" i="10" l="1"/>
  <c r="AG27" i="10" l="1"/>
  <c r="AG26" i="10" l="1"/>
  <c r="AG25" i="10" l="1"/>
  <c r="AG24" i="10" l="1"/>
  <c r="AG23" i="10" l="1"/>
  <c r="AG22" i="10" l="1"/>
  <c r="AG21" i="10" l="1"/>
  <c r="AG20" i="10" l="1"/>
  <c r="AG19" i="10" l="1"/>
  <c r="AG18" i="10" l="1"/>
  <c r="AG17" i="10" l="1"/>
  <c r="AG16" i="10" l="1"/>
  <c r="AG15" i="10" l="1"/>
  <c r="AG15" i="1" s="1"/>
  <c r="AG16" i="1" s="1"/>
  <c r="AG17" i="1" s="1"/>
  <c r="AF16" i="8" l="1"/>
  <c r="AG18" i="1"/>
  <c r="AF17" i="8" l="1"/>
  <c r="AG19" i="1"/>
  <c r="AF18" i="8" l="1"/>
  <c r="AG20" i="1"/>
  <c r="AF19" i="8" l="1"/>
  <c r="AG21" i="1"/>
  <c r="AF20" i="8" l="1"/>
  <c r="AG22" i="1"/>
  <c r="AF21" i="8" l="1"/>
  <c r="AG23" i="1"/>
  <c r="AF22" i="8" l="1"/>
  <c r="AG24" i="1"/>
  <c r="AF23" i="8" l="1"/>
  <c r="AG25" i="1"/>
  <c r="AF24" i="8" l="1"/>
  <c r="AG26" i="1"/>
  <c r="AF25" i="8" l="1"/>
  <c r="AG27" i="1"/>
  <c r="AF26" i="8" l="1"/>
  <c r="AG28" i="1"/>
  <c r="AF27" i="8" l="1"/>
  <c r="AG29" i="1"/>
  <c r="AF28" i="8" l="1"/>
  <c r="AG30" i="1"/>
  <c r="AF29" i="8" l="1"/>
  <c r="AG31" i="1"/>
  <c r="AF30" i="8" l="1"/>
  <c r="AG32" i="1"/>
  <c r="AF31" i="8" l="1"/>
  <c r="AG33" i="1"/>
  <c r="AF32" i="8" l="1"/>
  <c r="AG34" i="1"/>
  <c r="AF33" i="8" l="1"/>
  <c r="AG35" i="1"/>
  <c r="AF34" i="8" l="1"/>
  <c r="AG36" i="1"/>
  <c r="AF35" i="8" l="1"/>
  <c r="AG37" i="1"/>
  <c r="AF36" i="8" l="1"/>
  <c r="AG38" i="1"/>
  <c r="AF37" i="8" l="1"/>
  <c r="AG39" i="1"/>
  <c r="AF38" i="8" l="1"/>
  <c r="AG40" i="1"/>
  <c r="AF39" i="8" l="1"/>
  <c r="AG41" i="1"/>
  <c r="AF40" i="8" l="1"/>
  <c r="AG42" i="1"/>
  <c r="AF41" i="8" l="1"/>
  <c r="AG43" i="1"/>
  <c r="AF42" i="8" l="1"/>
  <c r="AG44" i="1"/>
  <c r="AF43" i="8" l="1"/>
  <c r="AG45" i="1"/>
  <c r="AF44" i="8" l="1"/>
  <c r="AG46" i="1"/>
  <c r="AF45" i="8" l="1"/>
  <c r="AG47" i="1"/>
  <c r="AF46" i="8" l="1"/>
  <c r="AG48" i="1"/>
  <c r="AF47" i="8" l="1"/>
  <c r="AG49" i="1"/>
  <c r="AF48" i="8" l="1"/>
  <c r="AG50" i="1"/>
  <c r="AF49" i="8" l="1"/>
  <c r="AG51" i="1"/>
  <c r="AF50" i="8" l="1"/>
  <c r="AG52" i="1"/>
  <c r="AF51" i="8" l="1"/>
  <c r="AG53" i="1"/>
  <c r="AF52" i="8" l="1"/>
  <c r="AG54" i="1"/>
  <c r="AF53" i="8" l="1"/>
  <c r="AG55" i="1"/>
  <c r="AF54" i="8" l="1"/>
  <c r="AG56" i="1"/>
  <c r="AF55" i="8" l="1"/>
  <c r="AG57" i="1"/>
  <c r="AF56" i="8" l="1"/>
  <c r="AG58" i="1"/>
  <c r="AF57" i="8" l="1"/>
  <c r="AG59" i="1"/>
  <c r="AF58" i="8" l="1"/>
  <c r="AG60" i="1"/>
  <c r="AF59" i="8" l="1"/>
  <c r="AG61" i="1"/>
  <c r="AF60" i="8" l="1"/>
  <c r="AG62" i="1"/>
  <c r="AF61" i="8" l="1"/>
  <c r="AG63" i="1"/>
  <c r="AF62" i="8" l="1"/>
  <c r="AG64" i="1"/>
  <c r="AF63" i="8" l="1"/>
  <c r="AG65" i="1"/>
  <c r="AF64" i="8" s="1"/>
  <c r="AF64" i="10" s="1"/>
  <c r="AF63" i="10" l="1"/>
  <c r="AF62" i="10" l="1"/>
  <c r="AF61" i="10" l="1"/>
  <c r="AF60" i="10" l="1"/>
  <c r="AF59" i="10" l="1"/>
  <c r="AF58" i="10" l="1"/>
  <c r="AF57" i="10" l="1"/>
  <c r="AF56" i="10" l="1"/>
  <c r="AF55" i="10" l="1"/>
  <c r="AF54" i="10" l="1"/>
  <c r="AF53" i="10" l="1"/>
  <c r="AF52" i="10" l="1"/>
  <c r="AF51" i="10" l="1"/>
  <c r="AF50" i="10" l="1"/>
  <c r="AF49" i="10" l="1"/>
  <c r="AF48" i="10" l="1"/>
  <c r="AF47" i="10" l="1"/>
  <c r="AF46" i="10" l="1"/>
  <c r="AF45" i="10" l="1"/>
  <c r="AF44" i="10" l="1"/>
  <c r="AF43" i="10" l="1"/>
  <c r="AF42" i="10" l="1"/>
  <c r="AF41" i="10" l="1"/>
  <c r="AF40" i="10" l="1"/>
  <c r="AF39" i="10" l="1"/>
  <c r="AF38" i="10" l="1"/>
  <c r="AF37" i="10" l="1"/>
  <c r="AF36" i="10" l="1"/>
  <c r="AF35" i="10" l="1"/>
  <c r="AF34" i="10" l="1"/>
  <c r="AF33" i="10" l="1"/>
  <c r="AF32" i="10" l="1"/>
  <c r="AF31" i="10" l="1"/>
  <c r="AF30" i="10" l="1"/>
  <c r="AF29" i="10" l="1"/>
  <c r="AF28" i="10" l="1"/>
  <c r="AF27" i="10" l="1"/>
  <c r="AF26" i="10" l="1"/>
  <c r="AF25" i="10" l="1"/>
  <c r="AF24" i="10" l="1"/>
  <c r="AF23" i="10" l="1"/>
  <c r="AF22" i="10" l="1"/>
  <c r="AF21" i="10" l="1"/>
  <c r="AF20" i="10" l="1"/>
  <c r="AF19" i="10" l="1"/>
  <c r="AF18" i="10" l="1"/>
  <c r="AF17" i="10" l="1"/>
  <c r="AF16" i="10" l="1"/>
  <c r="AF15" i="10" l="1"/>
  <c r="AF15" i="1" s="1"/>
  <c r="AF16" i="1" s="1"/>
  <c r="AF17" i="1" s="1"/>
  <c r="AE16" i="8" l="1"/>
  <c r="AF18" i="1"/>
  <c r="AE17" i="8" l="1"/>
  <c r="AF19" i="1"/>
  <c r="AE18" i="8" l="1"/>
  <c r="AF20" i="1"/>
  <c r="AE19" i="8" l="1"/>
  <c r="AF21" i="1"/>
  <c r="AE20" i="8" l="1"/>
  <c r="AF22" i="1"/>
  <c r="AE21" i="8" l="1"/>
  <c r="AF23" i="1"/>
  <c r="AE22" i="8" l="1"/>
  <c r="AF24" i="1"/>
  <c r="AE23" i="8" l="1"/>
  <c r="AF25" i="1"/>
  <c r="AE24" i="8" l="1"/>
  <c r="AF26" i="1"/>
  <c r="AE25" i="8" l="1"/>
  <c r="AF27" i="1"/>
  <c r="AE26" i="8" l="1"/>
  <c r="AF28" i="1"/>
  <c r="AE27" i="8" l="1"/>
  <c r="AF29" i="1"/>
  <c r="AE28" i="8" l="1"/>
  <c r="AF30" i="1"/>
  <c r="AE29" i="8" l="1"/>
  <c r="AF31" i="1"/>
  <c r="AE30" i="8" l="1"/>
  <c r="AF32" i="1"/>
  <c r="AE31" i="8" l="1"/>
  <c r="AF33" i="1"/>
  <c r="AE32" i="8" l="1"/>
  <c r="AF34" i="1"/>
  <c r="AE33" i="8" l="1"/>
  <c r="AF35" i="1"/>
  <c r="AE34" i="8" l="1"/>
  <c r="AF36" i="1"/>
  <c r="AE35" i="8" l="1"/>
  <c r="AF37" i="1"/>
  <c r="AE36" i="8" l="1"/>
  <c r="AF38" i="1"/>
  <c r="AE37" i="8" l="1"/>
  <c r="AF39" i="1"/>
  <c r="AE38" i="8" l="1"/>
  <c r="AF40" i="1"/>
  <c r="AE39" i="8" l="1"/>
  <c r="AF41" i="1"/>
  <c r="AE40" i="8" l="1"/>
  <c r="AF42" i="1"/>
  <c r="AE41" i="8" l="1"/>
  <c r="AF43" i="1"/>
  <c r="AE42" i="8" l="1"/>
  <c r="AF44" i="1"/>
  <c r="AE43" i="8" l="1"/>
  <c r="AF45" i="1"/>
  <c r="AE44" i="8" l="1"/>
  <c r="AF46" i="1"/>
  <c r="AE45" i="8" l="1"/>
  <c r="AF47" i="1"/>
  <c r="AE46" i="8" l="1"/>
  <c r="AF48" i="1"/>
  <c r="AE47" i="8" l="1"/>
  <c r="AF49" i="1"/>
  <c r="AE48" i="8" l="1"/>
  <c r="AF50" i="1"/>
  <c r="AE49" i="8" l="1"/>
  <c r="AF51" i="1"/>
  <c r="AE50" i="8" l="1"/>
  <c r="AF52" i="1"/>
  <c r="AE51" i="8" l="1"/>
  <c r="AF53" i="1"/>
  <c r="AE52" i="8" l="1"/>
  <c r="AF54" i="1"/>
  <c r="AE53" i="8" l="1"/>
  <c r="AF55" i="1"/>
  <c r="AE54" i="8" l="1"/>
  <c r="AF56" i="1"/>
  <c r="AE55" i="8" l="1"/>
  <c r="AF57" i="1"/>
  <c r="AE56" i="8" l="1"/>
  <c r="AF58" i="1"/>
  <c r="AE57" i="8" l="1"/>
  <c r="AF59" i="1"/>
  <c r="AE58" i="8" l="1"/>
  <c r="AF60" i="1"/>
  <c r="AE59" i="8" l="1"/>
  <c r="AF61" i="1"/>
  <c r="AE60" i="8" l="1"/>
  <c r="AF62" i="1"/>
  <c r="AE61" i="8" l="1"/>
  <c r="AF63" i="1"/>
  <c r="AE62" i="8" l="1"/>
  <c r="AF64" i="1"/>
  <c r="AF65" i="1" l="1"/>
  <c r="AE64" i="8" s="1"/>
  <c r="AE64" i="10" s="1"/>
  <c r="AE63" i="8"/>
  <c r="AE63" i="10" l="1"/>
  <c r="AE62" i="10" l="1"/>
  <c r="AE61" i="10" l="1"/>
  <c r="AE60" i="10" l="1"/>
  <c r="AE59" i="10" l="1"/>
  <c r="AE58" i="10" l="1"/>
  <c r="AE57" i="10" l="1"/>
  <c r="AE56" i="10" l="1"/>
  <c r="AE55" i="10" l="1"/>
  <c r="AE54" i="10" l="1"/>
  <c r="AE53" i="10" l="1"/>
  <c r="AE52" i="10" l="1"/>
  <c r="AE51" i="10" l="1"/>
  <c r="AE50" i="10" l="1"/>
  <c r="AE49" i="10" l="1"/>
  <c r="AE48" i="10" l="1"/>
  <c r="AE47" i="10" l="1"/>
  <c r="AE46" i="10" l="1"/>
  <c r="AE45" i="10" l="1"/>
  <c r="AE44" i="10" l="1"/>
  <c r="AE43" i="10" l="1"/>
  <c r="AE42" i="10" l="1"/>
  <c r="AE41" i="10" l="1"/>
  <c r="AE40" i="10" l="1"/>
  <c r="AE39" i="10" l="1"/>
  <c r="AE38" i="10" l="1"/>
  <c r="AE37" i="10" l="1"/>
  <c r="AE36" i="10" l="1"/>
  <c r="AE35" i="10" l="1"/>
  <c r="AE34" i="10" l="1"/>
  <c r="AE33" i="10" l="1"/>
  <c r="AE32" i="10" l="1"/>
  <c r="AE31" i="10" l="1"/>
  <c r="AE30" i="10" l="1"/>
  <c r="AE29" i="10" l="1"/>
  <c r="AE28" i="10" l="1"/>
  <c r="AE27" i="10" l="1"/>
  <c r="AE26" i="10" l="1"/>
  <c r="AE25" i="10" l="1"/>
  <c r="AE24" i="10" l="1"/>
  <c r="AE23" i="10" l="1"/>
  <c r="AE22" i="10" l="1"/>
  <c r="AE21" i="10" l="1"/>
  <c r="AE20" i="10" l="1"/>
  <c r="AE19" i="10" l="1"/>
  <c r="AE18" i="10" l="1"/>
  <c r="AE17" i="10" l="1"/>
  <c r="AE16" i="10" l="1"/>
  <c r="AE15" i="10" l="1"/>
  <c r="AE15" i="1" s="1"/>
  <c r="AE16" i="1" s="1"/>
  <c r="AE17" i="1" s="1"/>
  <c r="AD16" i="8" l="1"/>
  <c r="AE18" i="1"/>
  <c r="AD17" i="8" l="1"/>
  <c r="AE19" i="1"/>
  <c r="AD18" i="8" l="1"/>
  <c r="AE20" i="1"/>
  <c r="AD19" i="8" l="1"/>
  <c r="AE21" i="1"/>
  <c r="AD20" i="8" l="1"/>
  <c r="AE22" i="1"/>
  <c r="AD21" i="8" l="1"/>
  <c r="AE23" i="1"/>
  <c r="AD22" i="8" l="1"/>
  <c r="AE24" i="1"/>
  <c r="AD23" i="8" l="1"/>
  <c r="AE25" i="1"/>
  <c r="AD24" i="8" l="1"/>
  <c r="AE26" i="1"/>
  <c r="AD25" i="8" l="1"/>
  <c r="AE27" i="1"/>
  <c r="AD26" i="8" l="1"/>
  <c r="AE28" i="1"/>
  <c r="AD27" i="8" l="1"/>
  <c r="AE29" i="1"/>
  <c r="AD28" i="8" l="1"/>
  <c r="AE30" i="1"/>
  <c r="AD29" i="8" l="1"/>
  <c r="AE31" i="1"/>
  <c r="AD30" i="8" l="1"/>
  <c r="AE32" i="1"/>
  <c r="AD31" i="8" l="1"/>
  <c r="AE33" i="1"/>
  <c r="AD32" i="8" l="1"/>
  <c r="AE34" i="1"/>
  <c r="AD33" i="8" l="1"/>
  <c r="AE35" i="1"/>
  <c r="AD34" i="8" l="1"/>
  <c r="AE36" i="1"/>
  <c r="AD35" i="8" l="1"/>
  <c r="AE37" i="1"/>
  <c r="AD36" i="8" l="1"/>
  <c r="AE38" i="1"/>
  <c r="AD37" i="8" l="1"/>
  <c r="AE39" i="1"/>
  <c r="AD38" i="8" l="1"/>
  <c r="AE40" i="1"/>
  <c r="AD39" i="8" l="1"/>
  <c r="AE41" i="1"/>
  <c r="AD40" i="8" l="1"/>
  <c r="AE42" i="1"/>
  <c r="AD41" i="8" l="1"/>
  <c r="AE43" i="1"/>
  <c r="AD42" i="8" l="1"/>
  <c r="AE44" i="1"/>
  <c r="AD43" i="8" l="1"/>
  <c r="AE45" i="1"/>
  <c r="AD44" i="8" l="1"/>
  <c r="AE46" i="1"/>
  <c r="AD45" i="8" l="1"/>
  <c r="AE47" i="1"/>
  <c r="AD46" i="8" l="1"/>
  <c r="AE48" i="1"/>
  <c r="AD47" i="8" l="1"/>
  <c r="AE49" i="1"/>
  <c r="AD48" i="8" l="1"/>
  <c r="AE50" i="1"/>
  <c r="AD49" i="8" l="1"/>
  <c r="AE51" i="1"/>
  <c r="AD50" i="8" l="1"/>
  <c r="AE52" i="1"/>
  <c r="AD51" i="8" l="1"/>
  <c r="AE53" i="1"/>
  <c r="AD52" i="8" l="1"/>
  <c r="AE54" i="1"/>
  <c r="AD53" i="8" l="1"/>
  <c r="AE55" i="1"/>
  <c r="AD54" i="8" l="1"/>
  <c r="AE56" i="1"/>
  <c r="AD55" i="8" l="1"/>
  <c r="AE57" i="1"/>
  <c r="AD56" i="8" l="1"/>
  <c r="AE58" i="1"/>
  <c r="AD57" i="8" l="1"/>
  <c r="AE59" i="1"/>
  <c r="AD58" i="8" l="1"/>
  <c r="AE60" i="1"/>
  <c r="AD59" i="8" l="1"/>
  <c r="AE61" i="1"/>
  <c r="AD60" i="8" l="1"/>
  <c r="AE62" i="1"/>
  <c r="AD61" i="8" l="1"/>
  <c r="AE63" i="1"/>
  <c r="AD62" i="8" l="1"/>
  <c r="AE64" i="1"/>
  <c r="AD63" i="8" l="1"/>
  <c r="AE65" i="1"/>
  <c r="AD64" i="8" s="1"/>
  <c r="AD64" i="10" s="1"/>
  <c r="AD63" i="10" l="1"/>
  <c r="AD62" i="10" l="1"/>
  <c r="AD61" i="10" l="1"/>
  <c r="AD60" i="10" l="1"/>
  <c r="AD59" i="10" l="1"/>
  <c r="AD58" i="10" l="1"/>
  <c r="AD57" i="10" l="1"/>
  <c r="AD56" i="10" l="1"/>
  <c r="AD55" i="10" l="1"/>
  <c r="AD54" i="10" l="1"/>
  <c r="AD53" i="10" l="1"/>
  <c r="AD52" i="10" l="1"/>
  <c r="AD51" i="10" l="1"/>
  <c r="AD50" i="10" l="1"/>
  <c r="AD49" i="10" l="1"/>
  <c r="AD48" i="10" l="1"/>
  <c r="AD47" i="10" l="1"/>
  <c r="AD46" i="10" l="1"/>
  <c r="AD45" i="10" l="1"/>
  <c r="AD44" i="10" l="1"/>
  <c r="AD43" i="10" l="1"/>
  <c r="AD42" i="10" l="1"/>
  <c r="AD41" i="10" l="1"/>
  <c r="AD40" i="10" l="1"/>
  <c r="AD39" i="10" l="1"/>
  <c r="AD38" i="10" l="1"/>
  <c r="AD37" i="10" l="1"/>
  <c r="AD36" i="10" l="1"/>
  <c r="AD35" i="10" l="1"/>
  <c r="AD34" i="10" l="1"/>
  <c r="AD33" i="10" l="1"/>
  <c r="AD32" i="10" l="1"/>
  <c r="AD31" i="10" l="1"/>
  <c r="AD30" i="10" l="1"/>
  <c r="AD29" i="10" l="1"/>
  <c r="AD28" i="10" l="1"/>
  <c r="AD27" i="10" l="1"/>
  <c r="AD26" i="10" l="1"/>
  <c r="AD25" i="10" l="1"/>
  <c r="AD24" i="10" l="1"/>
  <c r="AD23" i="10" l="1"/>
  <c r="AD22" i="10" l="1"/>
  <c r="AD21" i="10" l="1"/>
  <c r="AD20" i="10" l="1"/>
  <c r="AD19" i="10" l="1"/>
  <c r="AD18" i="10" l="1"/>
  <c r="AD17" i="10" l="1"/>
  <c r="AD16" i="10" l="1"/>
  <c r="AD15" i="10" l="1"/>
  <c r="AD15" i="1" s="1"/>
  <c r="AD16" i="1" s="1"/>
  <c r="AD17" i="1" s="1"/>
  <c r="AC16" i="8" l="1"/>
  <c r="AD18" i="1"/>
  <c r="AC17" i="8" l="1"/>
  <c r="AD19" i="1"/>
  <c r="AC18" i="8" l="1"/>
  <c r="AD20" i="1"/>
  <c r="AC19" i="8" l="1"/>
  <c r="AD21" i="1"/>
  <c r="AC20" i="8" l="1"/>
  <c r="AD22" i="1"/>
  <c r="AC21" i="8" l="1"/>
  <c r="AD23" i="1"/>
  <c r="AC22" i="8" l="1"/>
  <c r="AD24" i="1"/>
  <c r="AC23" i="8" l="1"/>
  <c r="AD25" i="1"/>
  <c r="AC24" i="8" l="1"/>
  <c r="AD26" i="1"/>
  <c r="AC25" i="8" l="1"/>
  <c r="AD27" i="1"/>
  <c r="AC26" i="8" l="1"/>
  <c r="AD28" i="1"/>
  <c r="AC27" i="8" l="1"/>
  <c r="AD29" i="1"/>
  <c r="AC28" i="8" l="1"/>
  <c r="AD30" i="1"/>
  <c r="AC29" i="8" l="1"/>
  <c r="AD31" i="1"/>
  <c r="AC30" i="8" l="1"/>
  <c r="AD32" i="1"/>
  <c r="AC31" i="8" l="1"/>
  <c r="AD33" i="1"/>
  <c r="AC32" i="8" l="1"/>
  <c r="AD34" i="1"/>
  <c r="AC33" i="8" l="1"/>
  <c r="AD35" i="1"/>
  <c r="AC34" i="8" l="1"/>
  <c r="AD36" i="1"/>
  <c r="AC35" i="8" l="1"/>
  <c r="AD37" i="1"/>
  <c r="AC36" i="8" l="1"/>
  <c r="AD38" i="1"/>
  <c r="AC37" i="8" l="1"/>
  <c r="AD39" i="1"/>
  <c r="AC38" i="8" l="1"/>
  <c r="AD40" i="1"/>
  <c r="AC39" i="8" l="1"/>
  <c r="AD41" i="1"/>
  <c r="AC40" i="8" l="1"/>
  <c r="AD42" i="1"/>
  <c r="AC41" i="8" l="1"/>
  <c r="AD43" i="1"/>
  <c r="AC42" i="8" l="1"/>
  <c r="AD44" i="1"/>
  <c r="AC43" i="8" l="1"/>
  <c r="AD45" i="1"/>
  <c r="AC44" i="8" l="1"/>
  <c r="AD46" i="1"/>
  <c r="AC45" i="8" l="1"/>
  <c r="AD47" i="1"/>
  <c r="AC46" i="8" l="1"/>
  <c r="AD48" i="1"/>
  <c r="AC47" i="8" l="1"/>
  <c r="AD49" i="1"/>
  <c r="AC48" i="8" l="1"/>
  <c r="AD50" i="1"/>
  <c r="AC49" i="8" l="1"/>
  <c r="AD51" i="1"/>
  <c r="AC50" i="8" l="1"/>
  <c r="AD52" i="1"/>
  <c r="AC51" i="8" l="1"/>
  <c r="AD53" i="1"/>
  <c r="AC52" i="8" l="1"/>
  <c r="AD54" i="1"/>
  <c r="AC53" i="8" l="1"/>
  <c r="AD55" i="1"/>
  <c r="AC54" i="8" l="1"/>
  <c r="AD56" i="1"/>
  <c r="AC55" i="8" l="1"/>
  <c r="AD57" i="1"/>
  <c r="AC56" i="8" l="1"/>
  <c r="AD58" i="1"/>
  <c r="AC57" i="8" l="1"/>
  <c r="AD59" i="1"/>
  <c r="AC58" i="8" l="1"/>
  <c r="AD60" i="1"/>
  <c r="AC59" i="8" l="1"/>
  <c r="AD61" i="1"/>
  <c r="AC60" i="8" l="1"/>
  <c r="AD62" i="1"/>
  <c r="AC61" i="8" l="1"/>
  <c r="AD63" i="1"/>
  <c r="AC62" i="8" l="1"/>
  <c r="AD64" i="1"/>
  <c r="AC63" i="8" l="1"/>
  <c r="AD65" i="1"/>
  <c r="AC64" i="8" s="1"/>
  <c r="AC64" i="10" s="1"/>
  <c r="AC63" i="10" l="1"/>
  <c r="AC62" i="10" l="1"/>
  <c r="AC61" i="10" l="1"/>
  <c r="AC60" i="10" l="1"/>
  <c r="AC59" i="10" l="1"/>
  <c r="AC58" i="10" l="1"/>
  <c r="AC57" i="10" l="1"/>
  <c r="AC56" i="10" l="1"/>
  <c r="AC55" i="10" l="1"/>
  <c r="AC54" i="10" l="1"/>
  <c r="AC53" i="10" l="1"/>
  <c r="AC52" i="10" l="1"/>
  <c r="AC51" i="10" l="1"/>
  <c r="AC50" i="10" l="1"/>
  <c r="AC49" i="10" l="1"/>
  <c r="AC48" i="10" l="1"/>
  <c r="AC47" i="10" l="1"/>
  <c r="AC46" i="10" l="1"/>
  <c r="AC45" i="10" l="1"/>
  <c r="AC44" i="10" l="1"/>
  <c r="AC43" i="10" l="1"/>
  <c r="AC42" i="10" l="1"/>
  <c r="AC41" i="10" l="1"/>
  <c r="AC40" i="10" l="1"/>
  <c r="AC39" i="10" l="1"/>
  <c r="AC38" i="10" l="1"/>
  <c r="AC37" i="10" l="1"/>
  <c r="AC36" i="10" l="1"/>
  <c r="AC35" i="10" l="1"/>
  <c r="AC34" i="10" l="1"/>
  <c r="AC33" i="10" l="1"/>
  <c r="AC32" i="10" l="1"/>
  <c r="AC31" i="10" l="1"/>
  <c r="AC30" i="10" l="1"/>
  <c r="AC29" i="10" l="1"/>
  <c r="AC28" i="10" l="1"/>
  <c r="AC27" i="10" l="1"/>
  <c r="AC26" i="10" l="1"/>
  <c r="AC25" i="10" l="1"/>
  <c r="AC24" i="10" l="1"/>
  <c r="AC23" i="10" l="1"/>
  <c r="AC22" i="10" l="1"/>
  <c r="AC21" i="10" l="1"/>
  <c r="AC20" i="10" l="1"/>
  <c r="AC19" i="10" l="1"/>
  <c r="AC18" i="10" l="1"/>
  <c r="AC17" i="10" l="1"/>
  <c r="AC16" i="10" l="1"/>
  <c r="AC15" i="10" l="1"/>
  <c r="AC15" i="1" s="1"/>
  <c r="AC16" i="1" s="1"/>
  <c r="AC17" i="1" s="1"/>
  <c r="AB16" i="8" l="1"/>
  <c r="AC18" i="1"/>
  <c r="AB17" i="8" l="1"/>
  <c r="AC19" i="1"/>
  <c r="AB18" i="8" l="1"/>
  <c r="AC20" i="1"/>
  <c r="AB19" i="8" l="1"/>
  <c r="AC21" i="1"/>
  <c r="AB20" i="8" l="1"/>
  <c r="AC22" i="1"/>
  <c r="AB21" i="8" l="1"/>
  <c r="AC23" i="1"/>
  <c r="AB22" i="8" l="1"/>
  <c r="AC24" i="1"/>
  <c r="AB23" i="8" l="1"/>
  <c r="AC25" i="1"/>
  <c r="AB24" i="8" l="1"/>
  <c r="AC26" i="1"/>
  <c r="AB25" i="8" l="1"/>
  <c r="AC27" i="1"/>
  <c r="AB26" i="8" l="1"/>
  <c r="AC28" i="1"/>
  <c r="AB27" i="8" l="1"/>
  <c r="AC29" i="1"/>
  <c r="AB28" i="8" l="1"/>
  <c r="AC30" i="1"/>
  <c r="AB29" i="8" l="1"/>
  <c r="AC31" i="1"/>
  <c r="AB30" i="8" l="1"/>
  <c r="AC32" i="1"/>
  <c r="AB31" i="8" l="1"/>
  <c r="AC33" i="1"/>
  <c r="AB32" i="8" l="1"/>
  <c r="AC34" i="1"/>
  <c r="AB33" i="8" l="1"/>
  <c r="AC35" i="1"/>
  <c r="AB34" i="8" l="1"/>
  <c r="AC36" i="1"/>
  <c r="AB35" i="8" l="1"/>
  <c r="AC37" i="1"/>
  <c r="AB36" i="8" l="1"/>
  <c r="AC38" i="1"/>
  <c r="AB37" i="8" l="1"/>
  <c r="AC39" i="1"/>
  <c r="AB38" i="8" l="1"/>
  <c r="AC40" i="1"/>
  <c r="AB39" i="8" l="1"/>
  <c r="AC41" i="1"/>
  <c r="AB40" i="8" l="1"/>
  <c r="AC42" i="1"/>
  <c r="AB41" i="8" l="1"/>
  <c r="AC43" i="1"/>
  <c r="AB42" i="8" l="1"/>
  <c r="AC44" i="1"/>
  <c r="AB43" i="8" l="1"/>
  <c r="AC45" i="1"/>
  <c r="AB44" i="8" l="1"/>
  <c r="AC46" i="1"/>
  <c r="AB45" i="8" l="1"/>
  <c r="AC47" i="1"/>
  <c r="AB46" i="8" l="1"/>
  <c r="AC48" i="1"/>
  <c r="AB47" i="8" l="1"/>
  <c r="AC49" i="1"/>
  <c r="AB48" i="8" l="1"/>
  <c r="AC50" i="1"/>
  <c r="AB49" i="8" l="1"/>
  <c r="AC51" i="1"/>
  <c r="AB50" i="8" l="1"/>
  <c r="AC52" i="1"/>
  <c r="AB51" i="8" l="1"/>
  <c r="AC53" i="1"/>
  <c r="AB52" i="8" l="1"/>
  <c r="AC54" i="1"/>
  <c r="AB53" i="8" l="1"/>
  <c r="AC55" i="1"/>
  <c r="AB54" i="8" l="1"/>
  <c r="AC56" i="1"/>
  <c r="AB55" i="8" l="1"/>
  <c r="AC57" i="1"/>
  <c r="AB56" i="8" l="1"/>
  <c r="AC58" i="1"/>
  <c r="AB57" i="8" l="1"/>
  <c r="AC59" i="1"/>
  <c r="AB58" i="8" l="1"/>
  <c r="AC60" i="1"/>
  <c r="AB59" i="8" l="1"/>
  <c r="AC61" i="1"/>
  <c r="AB60" i="8" l="1"/>
  <c r="AC62" i="1"/>
  <c r="AB61" i="8" l="1"/>
  <c r="AC63" i="1"/>
  <c r="AB62" i="8" l="1"/>
  <c r="AC64" i="1"/>
  <c r="AB63" i="8" l="1"/>
  <c r="AC65" i="1"/>
  <c r="AB64" i="8" s="1"/>
  <c r="AB64" i="10" s="1"/>
  <c r="AB63" i="10" l="1"/>
  <c r="AB62" i="10" l="1"/>
  <c r="AB61" i="10" l="1"/>
  <c r="AB60" i="10" l="1"/>
  <c r="AB59" i="10" l="1"/>
  <c r="AB58" i="10" l="1"/>
  <c r="AB57" i="10" l="1"/>
  <c r="AB56" i="10" l="1"/>
  <c r="AB55" i="10" l="1"/>
  <c r="AB54" i="10" l="1"/>
  <c r="AB53" i="10" l="1"/>
  <c r="AB52" i="10" l="1"/>
  <c r="AB51" i="10" l="1"/>
  <c r="AB50" i="10" l="1"/>
  <c r="AB49" i="10" l="1"/>
  <c r="AB48" i="10" l="1"/>
  <c r="AB47" i="10" l="1"/>
  <c r="AB46" i="10" l="1"/>
  <c r="AB45" i="10" l="1"/>
  <c r="AB44" i="10" l="1"/>
  <c r="AB43" i="10" l="1"/>
  <c r="AB42" i="10" l="1"/>
  <c r="AB41" i="10" l="1"/>
  <c r="AB40" i="10" l="1"/>
  <c r="AB39" i="10" l="1"/>
  <c r="AB38" i="10" l="1"/>
  <c r="AB37" i="10" l="1"/>
  <c r="AB36" i="10" l="1"/>
  <c r="AB35" i="10" l="1"/>
  <c r="AB34" i="10" l="1"/>
  <c r="AB33" i="10" l="1"/>
  <c r="AB32" i="10" l="1"/>
  <c r="AB31" i="10" l="1"/>
  <c r="AB30" i="10" l="1"/>
  <c r="AB29" i="10" l="1"/>
  <c r="AB28" i="10" l="1"/>
  <c r="AB27" i="10" l="1"/>
  <c r="AB26" i="10" l="1"/>
  <c r="AB25" i="10" l="1"/>
  <c r="AB24" i="10" l="1"/>
  <c r="AB23" i="10" l="1"/>
  <c r="AB22" i="10" l="1"/>
  <c r="AB21" i="10" l="1"/>
  <c r="AB20" i="10" l="1"/>
  <c r="AB19" i="10" l="1"/>
  <c r="AB18" i="10" l="1"/>
  <c r="AB17" i="10" l="1"/>
  <c r="AB16" i="10" l="1"/>
  <c r="AB15" i="10" l="1"/>
  <c r="AB15" i="1" s="1"/>
  <c r="AB16" i="1" s="1"/>
  <c r="AB17" i="1" s="1"/>
  <c r="AA16" i="8" l="1"/>
  <c r="AB18" i="1"/>
  <c r="AA17" i="8" l="1"/>
  <c r="AB19" i="1"/>
  <c r="AA18" i="8" l="1"/>
  <c r="AB20" i="1"/>
  <c r="AA19" i="8" l="1"/>
  <c r="AB21" i="1"/>
  <c r="AA20" i="8" l="1"/>
  <c r="AB22" i="1"/>
  <c r="AA21" i="8" l="1"/>
  <c r="AB23" i="1"/>
  <c r="AA22" i="8" l="1"/>
  <c r="AB24" i="1"/>
  <c r="AA23" i="8" l="1"/>
  <c r="AB25" i="1"/>
  <c r="AA24" i="8" l="1"/>
  <c r="AB26" i="1"/>
  <c r="AA25" i="8" l="1"/>
  <c r="AB27" i="1"/>
  <c r="AA26" i="8" l="1"/>
  <c r="AB28" i="1"/>
  <c r="AA27" i="8" l="1"/>
  <c r="AB29" i="1"/>
  <c r="AA28" i="8" l="1"/>
  <c r="AB30" i="1"/>
  <c r="AA29" i="8" l="1"/>
  <c r="AB31" i="1"/>
  <c r="AA30" i="8" l="1"/>
  <c r="AB32" i="1"/>
  <c r="AA31" i="8" l="1"/>
  <c r="AB33" i="1"/>
  <c r="AA32" i="8" l="1"/>
  <c r="AB34" i="1"/>
  <c r="AA33" i="8" l="1"/>
  <c r="AB35" i="1"/>
  <c r="AA34" i="8" l="1"/>
  <c r="AB36" i="1"/>
  <c r="AA35" i="8" l="1"/>
  <c r="AB37" i="1"/>
  <c r="AA36" i="8" l="1"/>
  <c r="AB38" i="1"/>
  <c r="AA37" i="8" l="1"/>
  <c r="AB39" i="1"/>
  <c r="AA38" i="8" l="1"/>
  <c r="AB40" i="1"/>
  <c r="AA39" i="8" l="1"/>
  <c r="AB41" i="1"/>
  <c r="AA40" i="8" l="1"/>
  <c r="AB42" i="1"/>
  <c r="AA41" i="8" l="1"/>
  <c r="AB43" i="1"/>
  <c r="AA42" i="8" l="1"/>
  <c r="AB44" i="1"/>
  <c r="AA43" i="8" l="1"/>
  <c r="AB45" i="1"/>
  <c r="AA44" i="8" l="1"/>
  <c r="AB46" i="1"/>
  <c r="AA45" i="8" l="1"/>
  <c r="AB47" i="1"/>
  <c r="AA46" i="8" l="1"/>
  <c r="AB48" i="1"/>
  <c r="AA47" i="8" l="1"/>
  <c r="AB49" i="1"/>
  <c r="AA48" i="8" l="1"/>
  <c r="AB50" i="1"/>
  <c r="AA49" i="8" l="1"/>
  <c r="AB51" i="1"/>
  <c r="AA50" i="8" l="1"/>
  <c r="AB52" i="1"/>
  <c r="AA51" i="8" l="1"/>
  <c r="AB53" i="1"/>
  <c r="AA52" i="8" l="1"/>
  <c r="AB54" i="1"/>
  <c r="AA53" i="8" l="1"/>
  <c r="AB55" i="1"/>
  <c r="AA54" i="8" l="1"/>
  <c r="AB56" i="1"/>
  <c r="AA55" i="8" l="1"/>
  <c r="AB57" i="1"/>
  <c r="AA56" i="8" l="1"/>
  <c r="AB58" i="1"/>
  <c r="AA57" i="8" l="1"/>
  <c r="AB59" i="1"/>
  <c r="AA58" i="8" l="1"/>
  <c r="AB60" i="1"/>
  <c r="AA59" i="8" l="1"/>
  <c r="AB61" i="1"/>
  <c r="AA60" i="8" l="1"/>
  <c r="AB62" i="1"/>
  <c r="AA61" i="8" l="1"/>
  <c r="AB63" i="1"/>
  <c r="AA62" i="8" l="1"/>
  <c r="AB64" i="1"/>
  <c r="AB65" i="1" l="1"/>
  <c r="AA64" i="8" s="1"/>
  <c r="AA64" i="10" s="1"/>
  <c r="AA63" i="8"/>
  <c r="AA63" i="10" l="1"/>
  <c r="AA62" i="10" l="1"/>
  <c r="AA61" i="10" l="1"/>
  <c r="AA60" i="10" l="1"/>
  <c r="AA59" i="10" l="1"/>
  <c r="AA58" i="10" l="1"/>
  <c r="AA57" i="10" l="1"/>
  <c r="AA56" i="10" l="1"/>
  <c r="AA55" i="10" l="1"/>
  <c r="AA54" i="10" l="1"/>
  <c r="AA53" i="10" l="1"/>
  <c r="AA52" i="10" l="1"/>
  <c r="AA51" i="10" l="1"/>
  <c r="AA50" i="10" l="1"/>
  <c r="AA49" i="10" l="1"/>
  <c r="AA48" i="10" l="1"/>
  <c r="AA47" i="10" l="1"/>
  <c r="AA46" i="10" l="1"/>
  <c r="AA45" i="10" l="1"/>
  <c r="AA44" i="10" l="1"/>
  <c r="AA43" i="10" l="1"/>
  <c r="AA42" i="10" l="1"/>
  <c r="AA41" i="10" l="1"/>
  <c r="AA40" i="10" l="1"/>
  <c r="AA39" i="10" l="1"/>
  <c r="AA38" i="10" l="1"/>
  <c r="AA37" i="10" l="1"/>
  <c r="AA36" i="10" l="1"/>
  <c r="AA35" i="10" l="1"/>
  <c r="AA34" i="10" l="1"/>
  <c r="AA33" i="10" l="1"/>
  <c r="AA32" i="10" l="1"/>
  <c r="AA31" i="10" l="1"/>
  <c r="AA30" i="10" l="1"/>
  <c r="AA29" i="10" l="1"/>
  <c r="AA28" i="10" l="1"/>
  <c r="AA27" i="10" l="1"/>
  <c r="AA26" i="10" l="1"/>
  <c r="AA25" i="10" l="1"/>
  <c r="AA24" i="10" l="1"/>
  <c r="AA23" i="10" l="1"/>
  <c r="AA22" i="10" l="1"/>
  <c r="AA21" i="10" l="1"/>
  <c r="AA20" i="10" l="1"/>
  <c r="AA19" i="10" l="1"/>
  <c r="AA18" i="10" l="1"/>
  <c r="AA17" i="10" l="1"/>
  <c r="AA16" i="10" l="1"/>
  <c r="AA15" i="10" l="1"/>
  <c r="AA15" i="1" s="1"/>
  <c r="AA16" i="1" s="1"/>
  <c r="AA17" i="1" s="1"/>
  <c r="Z16" i="8" l="1"/>
  <c r="AA18" i="1"/>
  <c r="Z17" i="8" l="1"/>
  <c r="AA19" i="1"/>
  <c r="Z18" i="8" l="1"/>
  <c r="AA20" i="1"/>
  <c r="Z19" i="8" l="1"/>
  <c r="AA21" i="1"/>
  <c r="Z20" i="8" l="1"/>
  <c r="AA22" i="1"/>
  <c r="Z21" i="8" l="1"/>
  <c r="AA23" i="1"/>
  <c r="Z22" i="8" l="1"/>
  <c r="AA24" i="1"/>
  <c r="Z23" i="8" l="1"/>
  <c r="AA25" i="1"/>
  <c r="Z24" i="8" l="1"/>
  <c r="AA26" i="1"/>
  <c r="Z25" i="8" l="1"/>
  <c r="AA27" i="1"/>
  <c r="Z26" i="8" l="1"/>
  <c r="AA28" i="1"/>
  <c r="Z27" i="8" l="1"/>
  <c r="AA29" i="1"/>
  <c r="Z28" i="8" l="1"/>
  <c r="AA30" i="1"/>
  <c r="Z29" i="8" l="1"/>
  <c r="AA31" i="1"/>
  <c r="Z30" i="8" l="1"/>
  <c r="AA32" i="1"/>
  <c r="Z31" i="8" l="1"/>
  <c r="AA33" i="1"/>
  <c r="Z32" i="8" l="1"/>
  <c r="AA34" i="1"/>
  <c r="Z33" i="8" l="1"/>
  <c r="AA35" i="1"/>
  <c r="Z34" i="8" l="1"/>
  <c r="AA36" i="1"/>
  <c r="Z35" i="8" l="1"/>
  <c r="AA37" i="1"/>
  <c r="Z36" i="8" l="1"/>
  <c r="AA38" i="1"/>
  <c r="Z37" i="8" l="1"/>
  <c r="AA39" i="1"/>
  <c r="Z38" i="8" l="1"/>
  <c r="AA40" i="1"/>
  <c r="Z39" i="8" l="1"/>
  <c r="AA41" i="1"/>
  <c r="Z40" i="8" l="1"/>
  <c r="AA42" i="1"/>
  <c r="Z41" i="8" l="1"/>
  <c r="AA43" i="1"/>
  <c r="Z42" i="8" l="1"/>
  <c r="AA44" i="1"/>
  <c r="Z43" i="8" l="1"/>
  <c r="AA45" i="1"/>
  <c r="Z44" i="8" l="1"/>
  <c r="AA46" i="1"/>
  <c r="Z45" i="8" l="1"/>
  <c r="AA47" i="1"/>
  <c r="Z46" i="8" l="1"/>
  <c r="AA48" i="1"/>
  <c r="Z47" i="8" l="1"/>
  <c r="AA49" i="1"/>
  <c r="Z48" i="8" l="1"/>
  <c r="AA50" i="1"/>
  <c r="Z49" i="8" l="1"/>
  <c r="AA51" i="1"/>
  <c r="Z50" i="8" l="1"/>
  <c r="AA52" i="1"/>
  <c r="Z51" i="8" l="1"/>
  <c r="AA53" i="1"/>
  <c r="Z52" i="8" l="1"/>
  <c r="AA54" i="1"/>
  <c r="Z53" i="8" l="1"/>
  <c r="AA55" i="1"/>
  <c r="Z54" i="8" l="1"/>
  <c r="AA56" i="1"/>
  <c r="Z55" i="8" l="1"/>
  <c r="AA57" i="1"/>
  <c r="Z56" i="8" l="1"/>
  <c r="AA58" i="1"/>
  <c r="Z57" i="8" l="1"/>
  <c r="AA59" i="1"/>
  <c r="Z58" i="8" l="1"/>
  <c r="AA60" i="1"/>
  <c r="Z59" i="8" l="1"/>
  <c r="AA61" i="1"/>
  <c r="Z60" i="8" l="1"/>
  <c r="AA62" i="1"/>
  <c r="Z61" i="8" l="1"/>
  <c r="AA63" i="1"/>
  <c r="Z62" i="8" l="1"/>
  <c r="AA64" i="1"/>
  <c r="Z63" i="8" l="1"/>
  <c r="AA65" i="1"/>
  <c r="Z64" i="8" s="1"/>
  <c r="Z64" i="10" s="1"/>
  <c r="Z63" i="10" l="1"/>
  <c r="Z62" i="10" l="1"/>
  <c r="Z61" i="10" l="1"/>
  <c r="Z60" i="10" l="1"/>
  <c r="Z59" i="10" l="1"/>
  <c r="Z58" i="10" l="1"/>
  <c r="Z57" i="10" l="1"/>
  <c r="Z56" i="10" l="1"/>
  <c r="Z55" i="10" l="1"/>
  <c r="Z54" i="10" l="1"/>
  <c r="Z53" i="10" l="1"/>
  <c r="Z52" i="10" l="1"/>
  <c r="Z51" i="10" l="1"/>
  <c r="Z50" i="10" l="1"/>
  <c r="Z49" i="10" l="1"/>
  <c r="Z48" i="10" l="1"/>
  <c r="Z47" i="10" l="1"/>
  <c r="Z46" i="10" l="1"/>
  <c r="Z45" i="10" l="1"/>
  <c r="Z44" i="10" l="1"/>
  <c r="Z43" i="10" l="1"/>
  <c r="Z42" i="10" l="1"/>
  <c r="Z41" i="10" l="1"/>
  <c r="Z40" i="10" l="1"/>
  <c r="Z39" i="10" l="1"/>
  <c r="Z38" i="10" l="1"/>
  <c r="Z37" i="10" l="1"/>
  <c r="Z36" i="10" l="1"/>
  <c r="Z35" i="10" l="1"/>
  <c r="Z34" i="10" l="1"/>
  <c r="Z33" i="10" l="1"/>
  <c r="Z32" i="10" l="1"/>
  <c r="Z31" i="10" l="1"/>
  <c r="Z30" i="10" l="1"/>
  <c r="Z29" i="10" l="1"/>
  <c r="Z28" i="10" l="1"/>
  <c r="Z27" i="10" l="1"/>
  <c r="Z26" i="10" l="1"/>
  <c r="Z25" i="10" l="1"/>
  <c r="Z24" i="10" l="1"/>
  <c r="Z23" i="10" l="1"/>
  <c r="Z22" i="10" l="1"/>
  <c r="Z21" i="10" l="1"/>
  <c r="Z20" i="10" l="1"/>
  <c r="Z19" i="10" l="1"/>
  <c r="Z18" i="10" l="1"/>
  <c r="Z17" i="10" l="1"/>
  <c r="Z16" i="10" l="1"/>
  <c r="Z15" i="10" l="1"/>
  <c r="Z15" i="1" s="1"/>
  <c r="Z16" i="1" s="1"/>
  <c r="Z17" i="1" s="1"/>
  <c r="Y16" i="8" l="1"/>
  <c r="Z18" i="1"/>
  <c r="Y17" i="8" l="1"/>
  <c r="Z19" i="1"/>
  <c r="Y18" i="8" l="1"/>
  <c r="Z20" i="1"/>
  <c r="Y19" i="8" l="1"/>
  <c r="Z21" i="1"/>
  <c r="Y20" i="8" l="1"/>
  <c r="Z22" i="1"/>
  <c r="Y21" i="8" l="1"/>
  <c r="Z23" i="1"/>
  <c r="Y22" i="8" l="1"/>
  <c r="Z24" i="1"/>
  <c r="Y23" i="8" l="1"/>
  <c r="Z25" i="1"/>
  <c r="Y24" i="8" l="1"/>
  <c r="Z26" i="1"/>
  <c r="Y25" i="8" l="1"/>
  <c r="Z27" i="1"/>
  <c r="Y26" i="8" l="1"/>
  <c r="Z28" i="1"/>
  <c r="Y27" i="8" l="1"/>
  <c r="Z29" i="1"/>
  <c r="Y28" i="8" l="1"/>
  <c r="Z30" i="1"/>
  <c r="Y29" i="8" l="1"/>
  <c r="Z31" i="1"/>
  <c r="Y30" i="8" l="1"/>
  <c r="Z32" i="1"/>
  <c r="Y31" i="8" l="1"/>
  <c r="Z33" i="1"/>
  <c r="Y32" i="8" l="1"/>
  <c r="Z34" i="1"/>
  <c r="Y33" i="8" l="1"/>
  <c r="Z35" i="1"/>
  <c r="Y34" i="8" l="1"/>
  <c r="Z36" i="1"/>
  <c r="Y35" i="8" l="1"/>
  <c r="Z37" i="1"/>
  <c r="Y36" i="8" l="1"/>
  <c r="Z38" i="1"/>
  <c r="Y37" i="8" l="1"/>
  <c r="Z39" i="1"/>
  <c r="Y38" i="8" l="1"/>
  <c r="Z40" i="1"/>
  <c r="Y39" i="8" l="1"/>
  <c r="Z41" i="1"/>
  <c r="Y40" i="8" l="1"/>
  <c r="Z42" i="1"/>
  <c r="Y41" i="8" l="1"/>
  <c r="Z43" i="1"/>
  <c r="Y42" i="8" l="1"/>
  <c r="Z44" i="1"/>
  <c r="Y43" i="8" l="1"/>
  <c r="Z45" i="1"/>
  <c r="Y44" i="8" l="1"/>
  <c r="Z46" i="1"/>
  <c r="Y45" i="8" l="1"/>
  <c r="Z47" i="1"/>
  <c r="Y46" i="8" l="1"/>
  <c r="Z48" i="1"/>
  <c r="Y47" i="8" l="1"/>
  <c r="Z49" i="1"/>
  <c r="Y48" i="8" l="1"/>
  <c r="Z50" i="1"/>
  <c r="Y49" i="8" l="1"/>
  <c r="Z51" i="1"/>
  <c r="Y50" i="8" l="1"/>
  <c r="Z52" i="1"/>
  <c r="Y51" i="8" l="1"/>
  <c r="Z53" i="1"/>
  <c r="Y52" i="8" l="1"/>
  <c r="Z54" i="1"/>
  <c r="Y53" i="8" l="1"/>
  <c r="Z55" i="1"/>
  <c r="Y54" i="8" l="1"/>
  <c r="Z56" i="1"/>
  <c r="Y55" i="8" l="1"/>
  <c r="Z57" i="1"/>
  <c r="Y56" i="8" l="1"/>
  <c r="Z58" i="1"/>
  <c r="Y57" i="8" l="1"/>
  <c r="Z59" i="1"/>
  <c r="Y58" i="8" l="1"/>
  <c r="Z60" i="1"/>
  <c r="Y59" i="8" l="1"/>
  <c r="Z61" i="1"/>
  <c r="Y60" i="8" l="1"/>
  <c r="Z62" i="1"/>
  <c r="Y61" i="8" l="1"/>
  <c r="Z63" i="1"/>
  <c r="Y62" i="8" l="1"/>
  <c r="Z64" i="1"/>
  <c r="Y63" i="8" l="1"/>
  <c r="Z65" i="1"/>
  <c r="Y64" i="8" s="1"/>
  <c r="Y64" i="10" s="1"/>
  <c r="Y63" i="10" l="1"/>
  <c r="Y62" i="10" s="1"/>
  <c r="Y61" i="10" s="1"/>
  <c r="Y60" i="10" l="1"/>
  <c r="Y59" i="10" l="1"/>
  <c r="Y58" i="10" l="1"/>
  <c r="Y57" i="10" l="1"/>
  <c r="Y56" i="10" l="1"/>
  <c r="Y55" i="10" l="1"/>
  <c r="Y54" i="10" l="1"/>
  <c r="Y53" i="10" l="1"/>
  <c r="Y52" i="10" l="1"/>
  <c r="Y51" i="10" l="1"/>
  <c r="Y50" i="10" l="1"/>
  <c r="Y49" i="10" l="1"/>
  <c r="Y48" i="10" l="1"/>
  <c r="Y47" i="10" l="1"/>
  <c r="Y46" i="10" l="1"/>
  <c r="Y45" i="10" l="1"/>
  <c r="Y44" i="10" l="1"/>
  <c r="Y43" i="10" l="1"/>
  <c r="Y42" i="10" l="1"/>
  <c r="Y41" i="10" l="1"/>
  <c r="Y40" i="10" l="1"/>
  <c r="Y39" i="10" l="1"/>
  <c r="Y38" i="10" l="1"/>
  <c r="Y37" i="10" l="1"/>
  <c r="Y36" i="10" l="1"/>
  <c r="Y35" i="10" l="1"/>
  <c r="Y34" i="10" l="1"/>
  <c r="Y33" i="10" l="1"/>
  <c r="Y32" i="10" l="1"/>
  <c r="Y31" i="10" l="1"/>
  <c r="Y30" i="10" l="1"/>
  <c r="Y29" i="10" l="1"/>
  <c r="Y28" i="10" l="1"/>
  <c r="Y27" i="10" l="1"/>
  <c r="Y26" i="10" l="1"/>
  <c r="Y25" i="10" l="1"/>
  <c r="Y24" i="10" l="1"/>
  <c r="Y23" i="10" l="1"/>
  <c r="Y22" i="10" l="1"/>
  <c r="Y21" i="10" l="1"/>
  <c r="Y20" i="10" l="1"/>
  <c r="Y19" i="10" l="1"/>
  <c r="Y18" i="10" l="1"/>
  <c r="Y17" i="10" l="1"/>
  <c r="Y16" i="10" l="1"/>
  <c r="Y15" i="10" l="1"/>
  <c r="Y15" i="1" s="1"/>
  <c r="Y16" i="1" s="1"/>
  <c r="Y17" i="1" s="1"/>
  <c r="X16" i="8" l="1"/>
  <c r="Y18" i="1"/>
  <c r="X17" i="8" l="1"/>
  <c r="Y19" i="1"/>
  <c r="X18" i="8" l="1"/>
  <c r="Y20" i="1"/>
  <c r="X19" i="8" l="1"/>
  <c r="Y21" i="1"/>
  <c r="X20" i="8" l="1"/>
  <c r="Y22" i="1"/>
  <c r="X21" i="8" l="1"/>
  <c r="Y23" i="1"/>
  <c r="X22" i="8" l="1"/>
  <c r="Y24" i="1"/>
  <c r="X23" i="8" l="1"/>
  <c r="Y25" i="1"/>
  <c r="X24" i="8" l="1"/>
  <c r="Y26" i="1"/>
  <c r="X25" i="8" l="1"/>
  <c r="Y27" i="1"/>
  <c r="X26" i="8" l="1"/>
  <c r="Y28" i="1"/>
  <c r="X27" i="8" l="1"/>
  <c r="Y29" i="1"/>
  <c r="X28" i="8" l="1"/>
  <c r="Y30" i="1"/>
  <c r="X29" i="8" l="1"/>
  <c r="Y31" i="1"/>
  <c r="X30" i="8" l="1"/>
  <c r="Y32" i="1"/>
  <c r="X31" i="8" l="1"/>
  <c r="Y33" i="1"/>
  <c r="X32" i="8" l="1"/>
  <c r="Y34" i="1"/>
  <c r="X33" i="8" l="1"/>
  <c r="Y35" i="1"/>
  <c r="X34" i="8" l="1"/>
  <c r="Y36" i="1"/>
  <c r="X35" i="8" l="1"/>
  <c r="Y37" i="1"/>
  <c r="X36" i="8" l="1"/>
  <c r="Y38" i="1"/>
  <c r="X37" i="8" l="1"/>
  <c r="Y39" i="1"/>
  <c r="X38" i="8" l="1"/>
  <c r="Y40" i="1"/>
  <c r="X39" i="8" l="1"/>
  <c r="Y41" i="1"/>
  <c r="X40" i="8" l="1"/>
  <c r="Y42" i="1"/>
  <c r="X41" i="8" l="1"/>
  <c r="Y43" i="1"/>
  <c r="X42" i="8" l="1"/>
  <c r="Y44" i="1"/>
  <c r="X43" i="8" l="1"/>
  <c r="Y45" i="1"/>
  <c r="X44" i="8" l="1"/>
  <c r="Y46" i="1"/>
  <c r="X45" i="8" l="1"/>
  <c r="Y47" i="1"/>
  <c r="X46" i="8" l="1"/>
  <c r="Y48" i="1"/>
  <c r="X47" i="8" l="1"/>
  <c r="Y49" i="1"/>
  <c r="X48" i="8" l="1"/>
  <c r="Y50" i="1"/>
  <c r="X49" i="8" l="1"/>
  <c r="Y51" i="1"/>
  <c r="X50" i="8" l="1"/>
  <c r="Y52" i="1"/>
  <c r="X51" i="8" l="1"/>
  <c r="Y53" i="1"/>
  <c r="X52" i="8" l="1"/>
  <c r="Y54" i="1"/>
  <c r="X53" i="8" l="1"/>
  <c r="Y55" i="1"/>
  <c r="X54" i="8" l="1"/>
  <c r="Y56" i="1"/>
  <c r="X55" i="8" l="1"/>
  <c r="Y57" i="1"/>
  <c r="X56" i="8" l="1"/>
  <c r="Y58" i="1"/>
  <c r="X57" i="8" l="1"/>
  <c r="Y59" i="1"/>
  <c r="X58" i="8" l="1"/>
  <c r="Y60" i="1"/>
  <c r="X59" i="8" l="1"/>
  <c r="Y61" i="1"/>
  <c r="X60" i="8" l="1"/>
  <c r="Y62" i="1"/>
  <c r="X61" i="8" l="1"/>
  <c r="Y63" i="1"/>
  <c r="X62" i="8" l="1"/>
  <c r="Y64" i="1"/>
  <c r="X63" i="8" l="1"/>
  <c r="Y65" i="1"/>
  <c r="X64" i="8" s="1"/>
  <c r="X64" i="10" s="1"/>
  <c r="X63" i="10" l="1"/>
  <c r="X62" i="10" l="1"/>
  <c r="X61" i="10" l="1"/>
  <c r="X60" i="10" l="1"/>
  <c r="X59" i="10" l="1"/>
  <c r="X58" i="10" l="1"/>
  <c r="X57" i="10" l="1"/>
  <c r="X56" i="10" l="1"/>
  <c r="X55" i="10" l="1"/>
  <c r="X54" i="10" l="1"/>
  <c r="X53" i="10" l="1"/>
  <c r="X52" i="10" l="1"/>
  <c r="X51" i="10" l="1"/>
  <c r="X50" i="10" l="1"/>
  <c r="X49" i="10" l="1"/>
  <c r="X48" i="10" l="1"/>
  <c r="X47" i="10" l="1"/>
  <c r="X46" i="10" l="1"/>
  <c r="X45" i="10" l="1"/>
  <c r="X44" i="10" l="1"/>
  <c r="X43" i="10" l="1"/>
  <c r="X42" i="10" l="1"/>
  <c r="X41" i="10" l="1"/>
  <c r="X40" i="10" l="1"/>
  <c r="X39" i="10" l="1"/>
  <c r="X38" i="10" l="1"/>
  <c r="X37" i="10" l="1"/>
  <c r="X36" i="10" l="1"/>
  <c r="X35" i="10" l="1"/>
  <c r="X34" i="10" l="1"/>
  <c r="X33" i="10" l="1"/>
  <c r="X32" i="10" l="1"/>
  <c r="X31" i="10" l="1"/>
  <c r="X30" i="10" l="1"/>
  <c r="X29" i="10" l="1"/>
  <c r="X28" i="10" l="1"/>
  <c r="X27" i="10" l="1"/>
  <c r="X26" i="10" l="1"/>
  <c r="X25" i="10" l="1"/>
  <c r="X24" i="10" l="1"/>
  <c r="X23" i="10" l="1"/>
  <c r="X22" i="10" l="1"/>
  <c r="X21" i="10" l="1"/>
  <c r="X20" i="10" l="1"/>
  <c r="X19" i="10" l="1"/>
  <c r="X18" i="10" l="1"/>
  <c r="X17" i="10" l="1"/>
  <c r="X16" i="10" l="1"/>
  <c r="X15" i="10" l="1"/>
  <c r="X15" i="1" s="1"/>
  <c r="X16" i="1" s="1"/>
  <c r="X17" i="1" s="1"/>
  <c r="W16" i="8" l="1"/>
  <c r="X18" i="1"/>
  <c r="W17" i="8" l="1"/>
  <c r="X19" i="1"/>
  <c r="W18" i="8" l="1"/>
  <c r="X20" i="1"/>
  <c r="W19" i="8" l="1"/>
  <c r="X21" i="1"/>
  <c r="W20" i="8" l="1"/>
  <c r="X22" i="1"/>
  <c r="W21" i="8" l="1"/>
  <c r="X23" i="1"/>
  <c r="W22" i="8" l="1"/>
  <c r="X24" i="1"/>
  <c r="W23" i="8" l="1"/>
  <c r="X25" i="1"/>
  <c r="W24" i="8" l="1"/>
  <c r="X26" i="1"/>
  <c r="W25" i="8" l="1"/>
  <c r="X27" i="1"/>
  <c r="W26" i="8" l="1"/>
  <c r="X28" i="1"/>
  <c r="W27" i="8" l="1"/>
  <c r="X29" i="1"/>
  <c r="W28" i="8" l="1"/>
  <c r="X30" i="1"/>
  <c r="W29" i="8" l="1"/>
  <c r="X31" i="1"/>
  <c r="W30" i="8" l="1"/>
  <c r="X32" i="1"/>
  <c r="W31" i="8" l="1"/>
  <c r="X33" i="1"/>
  <c r="W32" i="8" l="1"/>
  <c r="X34" i="1"/>
  <c r="W33" i="8" l="1"/>
  <c r="X35" i="1"/>
  <c r="W34" i="8" l="1"/>
  <c r="X36" i="1"/>
  <c r="W35" i="8" l="1"/>
  <c r="X37" i="1"/>
  <c r="W36" i="8" l="1"/>
  <c r="X38" i="1"/>
  <c r="W37" i="8" l="1"/>
  <c r="X39" i="1"/>
  <c r="W38" i="8" l="1"/>
  <c r="X40" i="1"/>
  <c r="W39" i="8" l="1"/>
  <c r="X41" i="1"/>
  <c r="W40" i="8" l="1"/>
  <c r="X42" i="1"/>
  <c r="W41" i="8" l="1"/>
  <c r="X43" i="1"/>
  <c r="W42" i="8" l="1"/>
  <c r="X44" i="1"/>
  <c r="W43" i="8" l="1"/>
  <c r="X45" i="1"/>
  <c r="W44" i="8" l="1"/>
  <c r="X46" i="1"/>
  <c r="W45" i="8" l="1"/>
  <c r="X47" i="1"/>
  <c r="W46" i="8" l="1"/>
  <c r="X48" i="1"/>
  <c r="W47" i="8" l="1"/>
  <c r="X49" i="1"/>
  <c r="W48" i="8" l="1"/>
  <c r="X50" i="1"/>
  <c r="W49" i="8" l="1"/>
  <c r="X51" i="1"/>
  <c r="W50" i="8" l="1"/>
  <c r="X52" i="1"/>
  <c r="W51" i="8" l="1"/>
  <c r="X53" i="1"/>
  <c r="W52" i="8" l="1"/>
  <c r="X54" i="1"/>
  <c r="W53" i="8" l="1"/>
  <c r="X55" i="1"/>
  <c r="W54" i="8" l="1"/>
  <c r="X56" i="1"/>
  <c r="W55" i="8" l="1"/>
  <c r="X57" i="1"/>
  <c r="W56" i="8" l="1"/>
  <c r="X58" i="1"/>
  <c r="W57" i="8" l="1"/>
  <c r="X59" i="1"/>
  <c r="W58" i="8" l="1"/>
  <c r="X60" i="1"/>
  <c r="W59" i="8" l="1"/>
  <c r="X61" i="1"/>
  <c r="W60" i="8" l="1"/>
  <c r="X62" i="1"/>
  <c r="W61" i="8" l="1"/>
  <c r="X63" i="1"/>
  <c r="W62" i="8" l="1"/>
  <c r="X64" i="1"/>
  <c r="W63" i="8" l="1"/>
  <c r="X65" i="1"/>
  <c r="W64" i="8" s="1"/>
  <c r="W64" i="10" s="1"/>
  <c r="W63" i="10" l="1"/>
  <c r="W62" i="10" l="1"/>
  <c r="W61" i="10" l="1"/>
  <c r="W60" i="10" l="1"/>
  <c r="W59" i="10" l="1"/>
  <c r="W58" i="10" l="1"/>
  <c r="W57" i="10" l="1"/>
  <c r="W56" i="10" l="1"/>
  <c r="W55" i="10" l="1"/>
  <c r="W54" i="10" l="1"/>
  <c r="W53" i="10" l="1"/>
  <c r="W52" i="10" l="1"/>
  <c r="W51" i="10" l="1"/>
  <c r="W50" i="10" l="1"/>
  <c r="W49" i="10" l="1"/>
  <c r="W48" i="10" l="1"/>
  <c r="W47" i="10" l="1"/>
  <c r="W46" i="10" l="1"/>
  <c r="W45" i="10" l="1"/>
  <c r="W44" i="10" l="1"/>
  <c r="W43" i="10" l="1"/>
  <c r="W42" i="10" l="1"/>
  <c r="W41" i="10" l="1"/>
  <c r="W40" i="10" l="1"/>
  <c r="W39" i="10" l="1"/>
  <c r="W38" i="10" l="1"/>
  <c r="W37" i="10" l="1"/>
  <c r="W36" i="10" l="1"/>
  <c r="W35" i="10" l="1"/>
  <c r="W34" i="10" l="1"/>
  <c r="W33" i="10" l="1"/>
  <c r="W32" i="10" l="1"/>
  <c r="W31" i="10" l="1"/>
  <c r="W30" i="10" l="1"/>
  <c r="W29" i="10" l="1"/>
  <c r="W28" i="10" l="1"/>
  <c r="W27" i="10" l="1"/>
  <c r="W26" i="10" l="1"/>
  <c r="W25" i="10" l="1"/>
  <c r="W24" i="10" l="1"/>
  <c r="W23" i="10" l="1"/>
  <c r="W22" i="10" l="1"/>
  <c r="W21" i="10" l="1"/>
  <c r="W20" i="10" l="1"/>
  <c r="W19" i="10" l="1"/>
  <c r="W18" i="10" l="1"/>
  <c r="W17" i="10" l="1"/>
  <c r="W16" i="10" l="1"/>
  <c r="W15" i="10" l="1"/>
  <c r="W15" i="1" s="1"/>
  <c r="W16" i="1" s="1"/>
  <c r="W17" i="1" s="1"/>
  <c r="V16" i="8" l="1"/>
  <c r="W18" i="1"/>
  <c r="V17" i="8" l="1"/>
  <c r="W19" i="1"/>
  <c r="V18" i="8" l="1"/>
  <c r="W20" i="1"/>
  <c r="V19" i="8" l="1"/>
  <c r="W21" i="1"/>
  <c r="V20" i="8" l="1"/>
  <c r="W22" i="1"/>
  <c r="V21" i="8" l="1"/>
  <c r="W23" i="1"/>
  <c r="V22" i="8" l="1"/>
  <c r="W24" i="1"/>
  <c r="V23" i="8" l="1"/>
  <c r="W25" i="1"/>
  <c r="V24" i="8" l="1"/>
  <c r="W26" i="1"/>
  <c r="V25" i="8" l="1"/>
  <c r="W27" i="1"/>
  <c r="V26" i="8" l="1"/>
  <c r="W28" i="1"/>
  <c r="V27" i="8" l="1"/>
  <c r="W29" i="1"/>
  <c r="V28" i="8" l="1"/>
  <c r="W30" i="1"/>
  <c r="V29" i="8" l="1"/>
  <c r="W31" i="1"/>
  <c r="V30" i="8" l="1"/>
  <c r="W32" i="1"/>
  <c r="V31" i="8" l="1"/>
  <c r="W33" i="1"/>
  <c r="V32" i="8" l="1"/>
  <c r="W34" i="1"/>
  <c r="V33" i="8" l="1"/>
  <c r="W35" i="1"/>
  <c r="V34" i="8" l="1"/>
  <c r="W36" i="1"/>
  <c r="V35" i="8" l="1"/>
  <c r="W37" i="1"/>
  <c r="V36" i="8" l="1"/>
  <c r="W38" i="1"/>
  <c r="V37" i="8" l="1"/>
  <c r="W39" i="1"/>
  <c r="V38" i="8" l="1"/>
  <c r="W40" i="1"/>
  <c r="V39" i="8" l="1"/>
  <c r="W41" i="1"/>
  <c r="V40" i="8" l="1"/>
  <c r="W42" i="1"/>
  <c r="V41" i="8" l="1"/>
  <c r="W43" i="1"/>
  <c r="V42" i="8" l="1"/>
  <c r="W44" i="1"/>
  <c r="V43" i="8" l="1"/>
  <c r="W45" i="1"/>
  <c r="V44" i="8" l="1"/>
  <c r="W46" i="1"/>
  <c r="V45" i="8" l="1"/>
  <c r="W47" i="1"/>
  <c r="V46" i="8" l="1"/>
  <c r="W48" i="1"/>
  <c r="V47" i="8" l="1"/>
  <c r="W49" i="1"/>
  <c r="V48" i="8" l="1"/>
  <c r="W50" i="1"/>
  <c r="V49" i="8" l="1"/>
  <c r="W51" i="1"/>
  <c r="V50" i="8" l="1"/>
  <c r="W52" i="1"/>
  <c r="V51" i="8" l="1"/>
  <c r="W53" i="1"/>
  <c r="V52" i="8" l="1"/>
  <c r="W54" i="1"/>
  <c r="V53" i="8" l="1"/>
  <c r="W55" i="1"/>
  <c r="V54" i="8" l="1"/>
  <c r="W56" i="1"/>
  <c r="V55" i="8" l="1"/>
  <c r="W57" i="1"/>
  <c r="V56" i="8" l="1"/>
  <c r="W58" i="1"/>
  <c r="V57" i="8" l="1"/>
  <c r="W59" i="1"/>
  <c r="V58" i="8" l="1"/>
  <c r="W60" i="1"/>
  <c r="V59" i="8" l="1"/>
  <c r="W61" i="1"/>
  <c r="V60" i="8" l="1"/>
  <c r="W62" i="1"/>
  <c r="V61" i="8" l="1"/>
  <c r="W63" i="1"/>
  <c r="V62" i="8" l="1"/>
  <c r="W64" i="1"/>
  <c r="V63" i="8" l="1"/>
  <c r="W65" i="1"/>
  <c r="V64" i="8" s="1"/>
  <c r="V64" i="10" s="1"/>
  <c r="V63" i="10" l="1"/>
  <c r="V62" i="10" l="1"/>
  <c r="V61" i="10" l="1"/>
  <c r="V60" i="10" l="1"/>
  <c r="V59" i="10" l="1"/>
  <c r="V58" i="10" l="1"/>
  <c r="V57" i="10" l="1"/>
  <c r="V56" i="10" l="1"/>
  <c r="V55" i="10" l="1"/>
  <c r="V54" i="10" l="1"/>
  <c r="V53" i="10" l="1"/>
  <c r="V52" i="10" l="1"/>
  <c r="V51" i="10" l="1"/>
  <c r="V50" i="10" l="1"/>
  <c r="V49" i="10" l="1"/>
  <c r="V48" i="10" l="1"/>
  <c r="V47" i="10" l="1"/>
  <c r="V46" i="10" l="1"/>
  <c r="V45" i="10" l="1"/>
  <c r="V44" i="10" l="1"/>
  <c r="V43" i="10" l="1"/>
  <c r="V42" i="10" l="1"/>
  <c r="V41" i="10" l="1"/>
  <c r="V40" i="10" l="1"/>
  <c r="V39" i="10" l="1"/>
  <c r="V38" i="10" l="1"/>
  <c r="V37" i="10" l="1"/>
  <c r="V36" i="10" l="1"/>
  <c r="V35" i="10" l="1"/>
  <c r="V34" i="10" l="1"/>
  <c r="V33" i="10" l="1"/>
  <c r="V32" i="10" l="1"/>
  <c r="V31" i="10" l="1"/>
  <c r="V30" i="10" l="1"/>
  <c r="V29" i="10" l="1"/>
  <c r="V28" i="10" l="1"/>
  <c r="V27" i="10" l="1"/>
  <c r="V26" i="10" l="1"/>
  <c r="V25" i="10" l="1"/>
  <c r="V24" i="10" l="1"/>
  <c r="V23" i="10" l="1"/>
  <c r="V22" i="10" l="1"/>
  <c r="V21" i="10" l="1"/>
  <c r="V20" i="10" l="1"/>
  <c r="V19" i="10" l="1"/>
  <c r="V18" i="10" l="1"/>
  <c r="V17" i="10" l="1"/>
  <c r="V16" i="10" l="1"/>
  <c r="V15" i="10" l="1"/>
  <c r="V15" i="1" s="1"/>
  <c r="V16" i="1" s="1"/>
  <c r="V17" i="1" s="1"/>
  <c r="U16" i="8" l="1"/>
  <c r="V18" i="1"/>
  <c r="U17" i="8" l="1"/>
  <c r="V19" i="1"/>
  <c r="U18" i="8" l="1"/>
  <c r="V20" i="1"/>
  <c r="U19" i="8" l="1"/>
  <c r="V21" i="1"/>
  <c r="U20" i="8" l="1"/>
  <c r="V22" i="1"/>
  <c r="U21" i="8" l="1"/>
  <c r="V23" i="1"/>
  <c r="U22" i="8" l="1"/>
  <c r="V24" i="1"/>
  <c r="U23" i="8" l="1"/>
  <c r="V25" i="1"/>
  <c r="U24" i="8" l="1"/>
  <c r="V26" i="1"/>
  <c r="U25" i="8" l="1"/>
  <c r="V27" i="1"/>
  <c r="U26" i="8" l="1"/>
  <c r="V28" i="1"/>
  <c r="U27" i="8" l="1"/>
  <c r="V29" i="1"/>
  <c r="U28" i="8" l="1"/>
  <c r="V30" i="1"/>
  <c r="U29" i="8" l="1"/>
  <c r="V31" i="1"/>
  <c r="U30" i="8" l="1"/>
  <c r="V32" i="1"/>
  <c r="U31" i="8" l="1"/>
  <c r="V33" i="1"/>
  <c r="U32" i="8" l="1"/>
  <c r="V34" i="1"/>
  <c r="U33" i="8" l="1"/>
  <c r="V35" i="1"/>
  <c r="U34" i="8" l="1"/>
  <c r="V36" i="1"/>
  <c r="U35" i="8" l="1"/>
  <c r="V37" i="1"/>
  <c r="U36" i="8" l="1"/>
  <c r="V38" i="1"/>
  <c r="U37" i="8" l="1"/>
  <c r="V39" i="1"/>
  <c r="U38" i="8" l="1"/>
  <c r="V40" i="1"/>
  <c r="U39" i="8" l="1"/>
  <c r="V41" i="1"/>
  <c r="U40" i="8" l="1"/>
  <c r="V42" i="1"/>
  <c r="U41" i="8" l="1"/>
  <c r="V43" i="1"/>
  <c r="U42" i="8" l="1"/>
  <c r="V44" i="1"/>
  <c r="U43" i="8" l="1"/>
  <c r="V45" i="1"/>
  <c r="U44" i="8" l="1"/>
  <c r="V46" i="1"/>
  <c r="U45" i="8" l="1"/>
  <c r="V47" i="1"/>
  <c r="U46" i="8" l="1"/>
  <c r="V48" i="1"/>
  <c r="U47" i="8" l="1"/>
  <c r="V49" i="1"/>
  <c r="U48" i="8" l="1"/>
  <c r="V50" i="1"/>
  <c r="U49" i="8" l="1"/>
  <c r="V51" i="1"/>
  <c r="U50" i="8" l="1"/>
  <c r="V52" i="1"/>
  <c r="U51" i="8" l="1"/>
  <c r="V53" i="1"/>
  <c r="U52" i="8" l="1"/>
  <c r="V54" i="1"/>
  <c r="U53" i="8" l="1"/>
  <c r="V55" i="1"/>
  <c r="U54" i="8" l="1"/>
  <c r="V56" i="1"/>
  <c r="U55" i="8" l="1"/>
  <c r="V57" i="1"/>
  <c r="U56" i="8" l="1"/>
  <c r="V58" i="1"/>
  <c r="U57" i="8" l="1"/>
  <c r="V59" i="1"/>
  <c r="U58" i="8" l="1"/>
  <c r="V60" i="1"/>
  <c r="U59" i="8" l="1"/>
  <c r="V61" i="1"/>
  <c r="U60" i="8" l="1"/>
  <c r="V62" i="1"/>
  <c r="U61" i="8" l="1"/>
  <c r="V63" i="1"/>
  <c r="U62" i="8" l="1"/>
  <c r="V64" i="1"/>
  <c r="U63" i="8" l="1"/>
  <c r="V65" i="1"/>
  <c r="U64" i="8" s="1"/>
  <c r="U64" i="10" s="1"/>
  <c r="U63" i="10" l="1"/>
  <c r="U62" i="10" l="1"/>
  <c r="U61" i="10" l="1"/>
  <c r="U60" i="10" l="1"/>
  <c r="U59" i="10" l="1"/>
  <c r="U58" i="10" l="1"/>
  <c r="U57" i="10" l="1"/>
  <c r="U56" i="10" l="1"/>
  <c r="U55" i="10" l="1"/>
  <c r="U54" i="10" l="1"/>
  <c r="U53" i="10" l="1"/>
  <c r="U52" i="10" l="1"/>
  <c r="U51" i="10" l="1"/>
  <c r="U50" i="10" l="1"/>
  <c r="U49" i="10" l="1"/>
  <c r="U48" i="10" l="1"/>
  <c r="U47" i="10" l="1"/>
  <c r="U46" i="10" l="1"/>
  <c r="U45" i="10" l="1"/>
  <c r="U44" i="10" l="1"/>
  <c r="U43" i="10" l="1"/>
  <c r="U42" i="10" l="1"/>
  <c r="U41" i="10" l="1"/>
  <c r="U40" i="10" l="1"/>
  <c r="U39" i="10" l="1"/>
  <c r="U38" i="10" l="1"/>
  <c r="U37" i="10" l="1"/>
  <c r="U36" i="10" l="1"/>
  <c r="U35" i="10" l="1"/>
  <c r="U34" i="10" l="1"/>
  <c r="U33" i="10" l="1"/>
  <c r="U32" i="10" l="1"/>
  <c r="U31" i="10" l="1"/>
  <c r="U30" i="10" l="1"/>
  <c r="U29" i="10" l="1"/>
  <c r="U28" i="10" l="1"/>
  <c r="U27" i="10" l="1"/>
  <c r="U26" i="10" l="1"/>
  <c r="U25" i="10" l="1"/>
  <c r="U24" i="10" l="1"/>
  <c r="U23" i="10" l="1"/>
  <c r="U22" i="10" l="1"/>
  <c r="U21" i="10" l="1"/>
  <c r="U20" i="10" l="1"/>
  <c r="U19" i="10" l="1"/>
  <c r="U18" i="10" l="1"/>
  <c r="U17" i="10" l="1"/>
  <c r="U16" i="10" l="1"/>
  <c r="U15" i="10" l="1"/>
  <c r="U15" i="1" s="1"/>
  <c r="U16" i="1" s="1"/>
  <c r="U17" i="1" s="1"/>
  <c r="T16" i="8" l="1"/>
  <c r="U18" i="1"/>
  <c r="T17" i="8" l="1"/>
  <c r="U19" i="1"/>
  <c r="T18" i="8" l="1"/>
  <c r="U20" i="1"/>
  <c r="T19" i="8" l="1"/>
  <c r="U21" i="1"/>
  <c r="T20" i="8" l="1"/>
  <c r="U22" i="1"/>
  <c r="T21" i="8" l="1"/>
  <c r="U23" i="1"/>
  <c r="T22" i="8" l="1"/>
  <c r="U24" i="1"/>
  <c r="T23" i="8" l="1"/>
  <c r="U25" i="1"/>
  <c r="T24" i="8" l="1"/>
  <c r="U26" i="1"/>
  <c r="T25" i="8" l="1"/>
  <c r="U27" i="1"/>
  <c r="T26" i="8" l="1"/>
  <c r="U28" i="1"/>
  <c r="T27" i="8" l="1"/>
  <c r="U29" i="1"/>
  <c r="T28" i="8" l="1"/>
  <c r="U30" i="1"/>
  <c r="T29" i="8" l="1"/>
  <c r="U31" i="1"/>
  <c r="T30" i="8" l="1"/>
  <c r="U32" i="1"/>
  <c r="T31" i="8" l="1"/>
  <c r="U33" i="1"/>
  <c r="T32" i="8" l="1"/>
  <c r="U34" i="1"/>
  <c r="T33" i="8" l="1"/>
  <c r="U35" i="1"/>
  <c r="T34" i="8" l="1"/>
  <c r="U36" i="1"/>
  <c r="T35" i="8" l="1"/>
  <c r="U37" i="1"/>
  <c r="T36" i="8" l="1"/>
  <c r="U38" i="1"/>
  <c r="T37" i="8" l="1"/>
  <c r="U39" i="1"/>
  <c r="T38" i="8" l="1"/>
  <c r="U40" i="1"/>
  <c r="T39" i="8" l="1"/>
  <c r="U41" i="1"/>
  <c r="T40" i="8" l="1"/>
  <c r="U42" i="1"/>
  <c r="T41" i="8" l="1"/>
  <c r="U43" i="1"/>
  <c r="T42" i="8" l="1"/>
  <c r="U44" i="1"/>
  <c r="T43" i="8" l="1"/>
  <c r="U45" i="1"/>
  <c r="T44" i="8" l="1"/>
  <c r="U46" i="1"/>
  <c r="T45" i="8" l="1"/>
  <c r="U47" i="1"/>
  <c r="T46" i="8" l="1"/>
  <c r="U48" i="1"/>
  <c r="T47" i="8" l="1"/>
  <c r="U49" i="1"/>
  <c r="T48" i="8" l="1"/>
  <c r="U50" i="1"/>
  <c r="T49" i="8" l="1"/>
  <c r="U51" i="1"/>
  <c r="T50" i="8" l="1"/>
  <c r="U52" i="1"/>
  <c r="T51" i="8" l="1"/>
  <c r="U53" i="1"/>
  <c r="T52" i="8" l="1"/>
  <c r="U54" i="1"/>
  <c r="T53" i="8" l="1"/>
  <c r="U55" i="1"/>
  <c r="T54" i="8" l="1"/>
  <c r="U56" i="1"/>
  <c r="T55" i="8" l="1"/>
  <c r="U57" i="1"/>
  <c r="T56" i="8" l="1"/>
  <c r="U58" i="1"/>
  <c r="T57" i="8" l="1"/>
  <c r="U59" i="1"/>
  <c r="T58" i="8" l="1"/>
  <c r="U60" i="1"/>
  <c r="T59" i="8" l="1"/>
  <c r="U61" i="1"/>
  <c r="T60" i="8" l="1"/>
  <c r="U62" i="1"/>
  <c r="T61" i="8" l="1"/>
  <c r="U63" i="1"/>
  <c r="T62" i="8" l="1"/>
  <c r="U64" i="1"/>
  <c r="U65" i="1" l="1"/>
  <c r="T64" i="8" s="1"/>
  <c r="T64" i="10" s="1"/>
  <c r="T63" i="8"/>
  <c r="T63" i="10" l="1"/>
  <c r="T62" i="10" l="1"/>
  <c r="T61" i="10" l="1"/>
  <c r="T60" i="10" l="1"/>
  <c r="T59" i="10" l="1"/>
  <c r="T58" i="10" l="1"/>
  <c r="T57" i="10" l="1"/>
  <c r="T56" i="10" l="1"/>
  <c r="T55" i="10" l="1"/>
  <c r="T54" i="10" l="1"/>
  <c r="T53" i="10" l="1"/>
  <c r="T52" i="10" l="1"/>
  <c r="T51" i="10" l="1"/>
  <c r="T50" i="10" l="1"/>
  <c r="T49" i="10" l="1"/>
  <c r="T48" i="10" l="1"/>
  <c r="T47" i="10" l="1"/>
  <c r="T46" i="10" l="1"/>
  <c r="T45" i="10" l="1"/>
  <c r="T44" i="10" l="1"/>
  <c r="T43" i="10" l="1"/>
  <c r="T42" i="10" l="1"/>
  <c r="T41" i="10" l="1"/>
  <c r="T40" i="10" l="1"/>
  <c r="T39" i="10" l="1"/>
  <c r="T38" i="10" l="1"/>
  <c r="T37" i="10" l="1"/>
  <c r="T36" i="10" l="1"/>
  <c r="T35" i="10" l="1"/>
  <c r="T34" i="10" l="1"/>
  <c r="T33" i="10" l="1"/>
  <c r="T32" i="10" l="1"/>
  <c r="T31" i="10" l="1"/>
  <c r="T30" i="10" l="1"/>
  <c r="T29" i="10" l="1"/>
  <c r="T28" i="10" l="1"/>
  <c r="T27" i="10" l="1"/>
  <c r="T26" i="10" l="1"/>
  <c r="T25" i="10" l="1"/>
  <c r="T24" i="10" l="1"/>
  <c r="T23" i="10" l="1"/>
  <c r="T22" i="10" l="1"/>
  <c r="T21" i="10" l="1"/>
  <c r="T20" i="10" l="1"/>
  <c r="T19" i="10" l="1"/>
  <c r="T18" i="10" l="1"/>
  <c r="T17" i="10" l="1"/>
  <c r="T16" i="10" l="1"/>
  <c r="T15" i="10" l="1"/>
  <c r="T15" i="1" s="1"/>
  <c r="T16" i="1" s="1"/>
  <c r="T17" i="1" s="1"/>
  <c r="S16" i="8" l="1"/>
  <c r="T18" i="1"/>
  <c r="S17" i="8" l="1"/>
  <c r="T19" i="1"/>
  <c r="S18" i="8" l="1"/>
  <c r="T20" i="1"/>
  <c r="S19" i="8" l="1"/>
  <c r="T21" i="1"/>
  <c r="S20" i="8" l="1"/>
  <c r="T22" i="1"/>
  <c r="S21" i="8" l="1"/>
  <c r="T23" i="1"/>
  <c r="S22" i="8" l="1"/>
  <c r="T24" i="1"/>
  <c r="S23" i="8" l="1"/>
  <c r="T25" i="1"/>
  <c r="S24" i="8" l="1"/>
  <c r="T26" i="1"/>
  <c r="S25" i="8" l="1"/>
  <c r="T27" i="1"/>
  <c r="S26" i="8" l="1"/>
  <c r="T28" i="1"/>
  <c r="S27" i="8" l="1"/>
  <c r="T29" i="1"/>
  <c r="S28" i="8" l="1"/>
  <c r="T30" i="1"/>
  <c r="S29" i="8" l="1"/>
  <c r="T31" i="1"/>
  <c r="S30" i="8" l="1"/>
  <c r="T32" i="1"/>
  <c r="S31" i="8" l="1"/>
  <c r="T33" i="1"/>
  <c r="S32" i="8" l="1"/>
  <c r="T34" i="1"/>
  <c r="S33" i="8" l="1"/>
  <c r="T35" i="1"/>
  <c r="S34" i="8" l="1"/>
  <c r="T36" i="1"/>
  <c r="S35" i="8" l="1"/>
  <c r="T37" i="1"/>
  <c r="S36" i="8" l="1"/>
  <c r="T38" i="1"/>
  <c r="S37" i="8" l="1"/>
  <c r="T39" i="1"/>
  <c r="S38" i="8" l="1"/>
  <c r="T40" i="1"/>
  <c r="S39" i="8" l="1"/>
  <c r="T41" i="1"/>
  <c r="S40" i="8" l="1"/>
  <c r="T42" i="1"/>
  <c r="S41" i="8" l="1"/>
  <c r="T43" i="1"/>
  <c r="S42" i="8" l="1"/>
  <c r="T44" i="1"/>
  <c r="S43" i="8" l="1"/>
  <c r="T45" i="1"/>
  <c r="S44" i="8" l="1"/>
  <c r="T46" i="1"/>
  <c r="S45" i="8" l="1"/>
  <c r="T47" i="1"/>
  <c r="S46" i="8" l="1"/>
  <c r="T48" i="1"/>
  <c r="S47" i="8" l="1"/>
  <c r="T49" i="1"/>
  <c r="S48" i="8" l="1"/>
  <c r="T50" i="1"/>
  <c r="S49" i="8" l="1"/>
  <c r="T51" i="1"/>
  <c r="S50" i="8" l="1"/>
  <c r="T52" i="1"/>
  <c r="S51" i="8" l="1"/>
  <c r="T53" i="1"/>
  <c r="S52" i="8" l="1"/>
  <c r="T54" i="1"/>
  <c r="S53" i="8" l="1"/>
  <c r="T55" i="1"/>
  <c r="S54" i="8" l="1"/>
  <c r="T56" i="1"/>
  <c r="S55" i="8" l="1"/>
  <c r="T57" i="1"/>
  <c r="S56" i="8" l="1"/>
  <c r="T58" i="1"/>
  <c r="S57" i="8" l="1"/>
  <c r="T59" i="1"/>
  <c r="S58" i="8" l="1"/>
  <c r="T60" i="1"/>
  <c r="S59" i="8" l="1"/>
  <c r="T61" i="1"/>
  <c r="S60" i="8" l="1"/>
  <c r="T62" i="1"/>
  <c r="S61" i="8" l="1"/>
  <c r="T63" i="1"/>
  <c r="S62" i="8" l="1"/>
  <c r="T64" i="1"/>
  <c r="T65" i="1" l="1"/>
  <c r="S64" i="8" s="1"/>
  <c r="S64" i="10" s="1"/>
  <c r="S63" i="8"/>
  <c r="S63" i="10" l="1"/>
  <c r="S62" i="10" l="1"/>
  <c r="S61" i="10" l="1"/>
  <c r="S60" i="10" l="1"/>
  <c r="S59" i="10" l="1"/>
  <c r="S58" i="10" l="1"/>
  <c r="S57" i="10" l="1"/>
  <c r="S56" i="10" l="1"/>
  <c r="S55" i="10" l="1"/>
  <c r="S54" i="10" l="1"/>
  <c r="S53" i="10" l="1"/>
  <c r="S52" i="10" l="1"/>
  <c r="S51" i="10" l="1"/>
  <c r="S50" i="10" l="1"/>
  <c r="S49" i="10" l="1"/>
  <c r="S48" i="10" l="1"/>
  <c r="S47" i="10" l="1"/>
  <c r="S46" i="10" l="1"/>
  <c r="S45" i="10" l="1"/>
  <c r="S44" i="10" l="1"/>
  <c r="S43" i="10" l="1"/>
  <c r="S42" i="10" l="1"/>
  <c r="S41" i="10" l="1"/>
  <c r="S40" i="10" l="1"/>
  <c r="S39" i="10" l="1"/>
  <c r="S38" i="10" l="1"/>
  <c r="S37" i="10" l="1"/>
  <c r="S36" i="10" l="1"/>
  <c r="S35" i="10" l="1"/>
  <c r="S34" i="10" l="1"/>
  <c r="S33" i="10" l="1"/>
  <c r="S32" i="10" l="1"/>
  <c r="S31" i="10" l="1"/>
  <c r="S30" i="10" l="1"/>
  <c r="S29" i="10" l="1"/>
  <c r="S28" i="10" l="1"/>
  <c r="S27" i="10" l="1"/>
  <c r="S26" i="10" l="1"/>
  <c r="S25" i="10" l="1"/>
  <c r="S24" i="10" l="1"/>
  <c r="S23" i="10" l="1"/>
  <c r="S22" i="10" l="1"/>
  <c r="S21" i="10" l="1"/>
  <c r="S20" i="10" l="1"/>
  <c r="S19" i="10" l="1"/>
  <c r="S18" i="10" l="1"/>
  <c r="S17" i="10" l="1"/>
  <c r="S16" i="10" l="1"/>
  <c r="S15" i="10" l="1"/>
  <c r="S15" i="1" s="1"/>
  <c r="S16" i="1" s="1"/>
  <c r="S17" i="1" s="1"/>
  <c r="R16" i="8" l="1"/>
  <c r="S18" i="1"/>
  <c r="R17" i="8" l="1"/>
  <c r="S19" i="1"/>
  <c r="R18" i="8" l="1"/>
  <c r="S20" i="1"/>
  <c r="R19" i="8" l="1"/>
  <c r="S21" i="1"/>
  <c r="R20" i="8" l="1"/>
  <c r="S22" i="1"/>
  <c r="R21" i="8" l="1"/>
  <c r="S23" i="1"/>
  <c r="R22" i="8" l="1"/>
  <c r="S24" i="1"/>
  <c r="R23" i="8" l="1"/>
  <c r="S25" i="1"/>
  <c r="R24" i="8" l="1"/>
  <c r="S26" i="1"/>
  <c r="R25" i="8" l="1"/>
  <c r="S27" i="1"/>
  <c r="R26" i="8" l="1"/>
  <c r="S28" i="1"/>
  <c r="R27" i="8" l="1"/>
  <c r="S29" i="1"/>
  <c r="R28" i="8" l="1"/>
  <c r="S30" i="1"/>
  <c r="R29" i="8" l="1"/>
  <c r="S31" i="1"/>
  <c r="R30" i="8" l="1"/>
  <c r="S32" i="1"/>
  <c r="R31" i="8" l="1"/>
  <c r="S33" i="1"/>
  <c r="R32" i="8" l="1"/>
  <c r="S34" i="1"/>
  <c r="R33" i="8" l="1"/>
  <c r="S35" i="1"/>
  <c r="R34" i="8" l="1"/>
  <c r="S36" i="1"/>
  <c r="R35" i="8" l="1"/>
  <c r="S37" i="1"/>
  <c r="R36" i="8" l="1"/>
  <c r="S38" i="1"/>
  <c r="R37" i="8" l="1"/>
  <c r="S39" i="1"/>
  <c r="R38" i="8" l="1"/>
  <c r="S40" i="1"/>
  <c r="R39" i="8" l="1"/>
  <c r="S41" i="1"/>
  <c r="R40" i="8" l="1"/>
  <c r="S42" i="1"/>
  <c r="R41" i="8" l="1"/>
  <c r="S43" i="1"/>
  <c r="R42" i="8" l="1"/>
  <c r="S44" i="1"/>
  <c r="R43" i="8" l="1"/>
  <c r="S45" i="1"/>
  <c r="R44" i="8" l="1"/>
  <c r="S46" i="1"/>
  <c r="R45" i="8" l="1"/>
  <c r="S47" i="1"/>
  <c r="R46" i="8" l="1"/>
  <c r="S48" i="1"/>
  <c r="R47" i="8" l="1"/>
  <c r="S49" i="1"/>
  <c r="R48" i="8" l="1"/>
  <c r="S50" i="1"/>
  <c r="R49" i="8" l="1"/>
  <c r="S51" i="1"/>
  <c r="R50" i="8" l="1"/>
  <c r="S52" i="1"/>
  <c r="R51" i="8" l="1"/>
  <c r="S53" i="1"/>
  <c r="R52" i="8" l="1"/>
  <c r="S54" i="1"/>
  <c r="R53" i="8" l="1"/>
  <c r="S55" i="1"/>
  <c r="R54" i="8" l="1"/>
  <c r="S56" i="1"/>
  <c r="R55" i="8" l="1"/>
  <c r="S57" i="1"/>
  <c r="R56" i="8" l="1"/>
  <c r="S58" i="1"/>
  <c r="R57" i="8" l="1"/>
  <c r="S59" i="1"/>
  <c r="R58" i="8" l="1"/>
  <c r="S60" i="1"/>
  <c r="R59" i="8" l="1"/>
  <c r="S61" i="1"/>
  <c r="R60" i="8" l="1"/>
  <c r="S62" i="1"/>
  <c r="R61" i="8" l="1"/>
  <c r="S63" i="1"/>
  <c r="R62" i="8" l="1"/>
  <c r="S64" i="1"/>
  <c r="S65" i="1" l="1"/>
  <c r="R64" i="8" s="1"/>
  <c r="R64" i="10" s="1"/>
  <c r="R63" i="8"/>
  <c r="R63" i="10" l="1"/>
  <c r="R62" i="10" l="1"/>
  <c r="R61" i="10" l="1"/>
  <c r="R60" i="10" l="1"/>
  <c r="R59" i="10" l="1"/>
  <c r="R58" i="10" l="1"/>
  <c r="R57" i="10" l="1"/>
  <c r="R56" i="10" l="1"/>
  <c r="R55" i="10" l="1"/>
  <c r="R54" i="10" l="1"/>
  <c r="R53" i="10" l="1"/>
  <c r="R52" i="10" l="1"/>
  <c r="R51" i="10" l="1"/>
  <c r="R50" i="10" l="1"/>
  <c r="R49" i="10" l="1"/>
  <c r="R48" i="10" l="1"/>
  <c r="R47" i="10" l="1"/>
  <c r="R46" i="10" l="1"/>
  <c r="R45" i="10" l="1"/>
  <c r="R44" i="10" l="1"/>
  <c r="R43" i="10" l="1"/>
  <c r="R42" i="10" l="1"/>
  <c r="R41" i="10" l="1"/>
  <c r="R40" i="10" l="1"/>
  <c r="R39" i="10" l="1"/>
  <c r="R38" i="10" l="1"/>
  <c r="R37" i="10" l="1"/>
  <c r="R36" i="10" l="1"/>
  <c r="R35" i="10" l="1"/>
  <c r="R34" i="10" l="1"/>
  <c r="R33" i="10" l="1"/>
  <c r="R32" i="10" l="1"/>
  <c r="R31" i="10" l="1"/>
  <c r="R30" i="10" l="1"/>
  <c r="R29" i="10" l="1"/>
  <c r="R28" i="10" l="1"/>
  <c r="R27" i="10" l="1"/>
  <c r="R26" i="10" l="1"/>
  <c r="R25" i="10" l="1"/>
  <c r="R24" i="10" l="1"/>
  <c r="R23" i="10" l="1"/>
  <c r="R22" i="10" l="1"/>
  <c r="R21" i="10" l="1"/>
  <c r="R20" i="10" l="1"/>
  <c r="R19" i="10" l="1"/>
  <c r="R18" i="10" l="1"/>
  <c r="R17" i="10" l="1"/>
  <c r="R16" i="10" l="1"/>
  <c r="R15" i="10" l="1"/>
  <c r="R15" i="1" s="1"/>
  <c r="R16" i="1" s="1"/>
  <c r="R17" i="1" s="1"/>
  <c r="Q16" i="8" l="1"/>
  <c r="R18" i="1"/>
  <c r="Q17" i="8" l="1"/>
  <c r="R19" i="1"/>
  <c r="Q18" i="8" l="1"/>
  <c r="R20" i="1"/>
  <c r="Q19" i="8" l="1"/>
  <c r="R21" i="1"/>
  <c r="Q20" i="8" l="1"/>
  <c r="R22" i="1"/>
  <c r="Q21" i="8" l="1"/>
  <c r="R23" i="1"/>
  <c r="Q22" i="8" l="1"/>
  <c r="R24" i="1"/>
  <c r="Q23" i="8" l="1"/>
  <c r="R25" i="1"/>
  <c r="Q24" i="8" l="1"/>
  <c r="R26" i="1"/>
  <c r="Q25" i="8" l="1"/>
  <c r="R27" i="1"/>
  <c r="Q26" i="8" l="1"/>
  <c r="R28" i="1"/>
  <c r="Q27" i="8" l="1"/>
  <c r="R29" i="1"/>
  <c r="Q28" i="8" l="1"/>
  <c r="R30" i="1"/>
  <c r="Q29" i="8" l="1"/>
  <c r="R31" i="1"/>
  <c r="Q30" i="8" l="1"/>
  <c r="R32" i="1"/>
  <c r="Q31" i="8" l="1"/>
  <c r="R33" i="1"/>
  <c r="Q32" i="8" l="1"/>
  <c r="R34" i="1"/>
  <c r="Q33" i="8" l="1"/>
  <c r="R35" i="1"/>
  <c r="Q34" i="8" l="1"/>
  <c r="R36" i="1"/>
  <c r="Q35" i="8" l="1"/>
  <c r="R37" i="1"/>
  <c r="Q36" i="8" l="1"/>
  <c r="R38" i="1"/>
  <c r="Q37" i="8" l="1"/>
  <c r="R39" i="1"/>
  <c r="Q38" i="8" l="1"/>
  <c r="R40" i="1"/>
  <c r="Q39" i="8" l="1"/>
  <c r="R41" i="1"/>
  <c r="Q40" i="8" l="1"/>
  <c r="R42" i="1"/>
  <c r="Q41" i="8" l="1"/>
  <c r="R43" i="1"/>
  <c r="Q42" i="8" l="1"/>
  <c r="R44" i="1"/>
  <c r="Q43" i="8" l="1"/>
  <c r="R45" i="1"/>
  <c r="Q44" i="8" l="1"/>
  <c r="R46" i="1"/>
  <c r="Q45" i="8" l="1"/>
  <c r="R47" i="1"/>
  <c r="Q46" i="8" l="1"/>
  <c r="R48" i="1"/>
  <c r="Q47" i="8" l="1"/>
  <c r="R49" i="1"/>
  <c r="Q48" i="8" l="1"/>
  <c r="R50" i="1"/>
  <c r="Q49" i="8" l="1"/>
  <c r="R51" i="1"/>
  <c r="Q50" i="8" l="1"/>
  <c r="R52" i="1"/>
  <c r="Q51" i="8" l="1"/>
  <c r="R53" i="1"/>
  <c r="Q52" i="8" l="1"/>
  <c r="R54" i="1"/>
  <c r="Q53" i="8" l="1"/>
  <c r="R55" i="1"/>
  <c r="Q54" i="8" l="1"/>
  <c r="R56" i="1"/>
  <c r="Q55" i="8" l="1"/>
  <c r="R57" i="1"/>
  <c r="Q56" i="8" l="1"/>
  <c r="R58" i="1"/>
  <c r="Q57" i="8" l="1"/>
  <c r="R59" i="1"/>
  <c r="Q58" i="8" l="1"/>
  <c r="R60" i="1"/>
  <c r="Q59" i="8" l="1"/>
  <c r="R61" i="1"/>
  <c r="Q60" i="8" l="1"/>
  <c r="R62" i="1"/>
  <c r="Q61" i="8" l="1"/>
  <c r="R63" i="1"/>
  <c r="Q62" i="8" l="1"/>
  <c r="R64" i="1"/>
  <c r="Q63" i="8" l="1"/>
  <c r="R65" i="1"/>
  <c r="Q64" i="8" s="1"/>
  <c r="Q64" i="10" s="1"/>
  <c r="Q63" i="10" l="1"/>
  <c r="Q62" i="10" l="1"/>
  <c r="Q61" i="10" l="1"/>
  <c r="Q60" i="10" l="1"/>
  <c r="Q59" i="10" l="1"/>
  <c r="Q58" i="10" l="1"/>
  <c r="Q57" i="10" l="1"/>
  <c r="Q56" i="10" l="1"/>
  <c r="Q55" i="10" l="1"/>
  <c r="Q54" i="10" l="1"/>
  <c r="Q53" i="10" l="1"/>
  <c r="Q52" i="10" l="1"/>
  <c r="Q51" i="10" l="1"/>
  <c r="Q50" i="10" l="1"/>
  <c r="Q49" i="10" l="1"/>
  <c r="Q48" i="10" l="1"/>
  <c r="Q47" i="10" l="1"/>
  <c r="Q46" i="10" l="1"/>
  <c r="Q45" i="10" l="1"/>
  <c r="Q44" i="10" l="1"/>
  <c r="Q43" i="10" l="1"/>
  <c r="Q42" i="10" l="1"/>
  <c r="Q41" i="10" l="1"/>
  <c r="Q40" i="10" l="1"/>
  <c r="Q39" i="10" l="1"/>
  <c r="Q38" i="10" l="1"/>
  <c r="Q37" i="10" l="1"/>
  <c r="Q36" i="10" l="1"/>
  <c r="Q35" i="10" l="1"/>
  <c r="Q34" i="10" l="1"/>
  <c r="Q33" i="10" l="1"/>
  <c r="Q32" i="10" l="1"/>
  <c r="Q31" i="10" l="1"/>
  <c r="Q30" i="10" l="1"/>
  <c r="Q29" i="10" l="1"/>
  <c r="Q28" i="10" l="1"/>
  <c r="Q27" i="10" l="1"/>
  <c r="Q26" i="10" l="1"/>
  <c r="Q25" i="10" l="1"/>
  <c r="Q24" i="10" l="1"/>
  <c r="Q23" i="10" l="1"/>
  <c r="Q22" i="10" l="1"/>
  <c r="Q21" i="10" l="1"/>
  <c r="Q20" i="10" l="1"/>
  <c r="Q19" i="10" l="1"/>
  <c r="Q18" i="10" l="1"/>
  <c r="Q17" i="10" l="1"/>
  <c r="Q16" i="10" l="1"/>
  <c r="Q15" i="10" l="1"/>
  <c r="Q15" i="1" s="1"/>
  <c r="Q16" i="1" s="1"/>
  <c r="Q17" i="1" s="1"/>
  <c r="P16" i="8" l="1"/>
  <c r="Q18" i="1"/>
  <c r="P17" i="8" l="1"/>
  <c r="Q19" i="1"/>
  <c r="P18" i="8" l="1"/>
  <c r="Q20" i="1"/>
  <c r="P19" i="8" l="1"/>
  <c r="Q21" i="1"/>
  <c r="P20" i="8" l="1"/>
  <c r="Q22" i="1"/>
  <c r="P21" i="8" l="1"/>
  <c r="Q23" i="1"/>
  <c r="P22" i="8" l="1"/>
  <c r="Q24" i="1"/>
  <c r="P23" i="8" l="1"/>
  <c r="Q25" i="1"/>
  <c r="P24" i="8" l="1"/>
  <c r="Q26" i="1"/>
  <c r="P25" i="8" l="1"/>
  <c r="Q27" i="1"/>
  <c r="P26" i="8" l="1"/>
  <c r="Q28" i="1"/>
  <c r="P27" i="8" l="1"/>
  <c r="Q29" i="1"/>
  <c r="P28" i="8" l="1"/>
  <c r="Q30" i="1"/>
  <c r="P29" i="8" l="1"/>
  <c r="Q31" i="1"/>
  <c r="P30" i="8" l="1"/>
  <c r="Q32" i="1"/>
  <c r="P31" i="8" l="1"/>
  <c r="Q33" i="1"/>
  <c r="P32" i="8" l="1"/>
  <c r="Q34" i="1"/>
  <c r="P33" i="8" l="1"/>
  <c r="Q35" i="1"/>
  <c r="P34" i="8" l="1"/>
  <c r="Q36" i="1"/>
  <c r="P35" i="8" l="1"/>
  <c r="Q37" i="1"/>
  <c r="P36" i="8" l="1"/>
  <c r="Q38" i="1"/>
  <c r="P37" i="8" l="1"/>
  <c r="Q39" i="1"/>
  <c r="P38" i="8" l="1"/>
  <c r="Q40" i="1"/>
  <c r="P39" i="8" l="1"/>
  <c r="Q41" i="1"/>
  <c r="P40" i="8" l="1"/>
  <c r="Q42" i="1"/>
  <c r="P41" i="8" l="1"/>
  <c r="Q43" i="1"/>
  <c r="P42" i="8" l="1"/>
  <c r="Q44" i="1"/>
  <c r="P43" i="8" l="1"/>
  <c r="Q45" i="1"/>
  <c r="P44" i="8" l="1"/>
  <c r="Q46" i="1"/>
  <c r="P45" i="8" l="1"/>
  <c r="Q47" i="1"/>
  <c r="P46" i="8" l="1"/>
  <c r="Q48" i="1"/>
  <c r="P47" i="8" l="1"/>
  <c r="Q49" i="1"/>
  <c r="P48" i="8" l="1"/>
  <c r="Q50" i="1"/>
  <c r="P49" i="8" l="1"/>
  <c r="Q51" i="1"/>
  <c r="P50" i="8" l="1"/>
  <c r="Q52" i="1"/>
  <c r="P51" i="8" l="1"/>
  <c r="Q53" i="1"/>
  <c r="P52" i="8" l="1"/>
  <c r="Q54" i="1"/>
  <c r="P53" i="8" l="1"/>
  <c r="Q55" i="1"/>
  <c r="P54" i="8" l="1"/>
  <c r="Q56" i="1"/>
  <c r="P55" i="8" l="1"/>
  <c r="Q57" i="1"/>
  <c r="P56" i="8" l="1"/>
  <c r="Q58" i="1"/>
  <c r="P57" i="8" l="1"/>
  <c r="Q59" i="1"/>
  <c r="P58" i="8" l="1"/>
  <c r="Q60" i="1"/>
  <c r="P59" i="8" l="1"/>
  <c r="Q61" i="1"/>
  <c r="P60" i="8" l="1"/>
  <c r="Q62" i="1"/>
  <c r="P61" i="8" l="1"/>
  <c r="Q63" i="1"/>
  <c r="P62" i="8" l="1"/>
  <c r="Q64" i="1"/>
  <c r="P63" i="8" l="1"/>
  <c r="Q65" i="1"/>
  <c r="P64" i="8" s="1"/>
  <c r="P64" i="10" s="1"/>
  <c r="P63" i="10" l="1"/>
  <c r="P62" i="10" l="1"/>
  <c r="P61" i="10" l="1"/>
  <c r="P60" i="10" l="1"/>
  <c r="P59" i="10" l="1"/>
  <c r="P58" i="10" l="1"/>
  <c r="P57" i="10" l="1"/>
  <c r="P56" i="10" l="1"/>
  <c r="P55" i="10" l="1"/>
  <c r="P54" i="10" l="1"/>
  <c r="P53" i="10" l="1"/>
  <c r="P52" i="10" l="1"/>
  <c r="P51" i="10" l="1"/>
  <c r="P50" i="10" l="1"/>
  <c r="P49" i="10" l="1"/>
  <c r="P48" i="10" l="1"/>
  <c r="P47" i="10" l="1"/>
  <c r="P46" i="10" l="1"/>
  <c r="P45" i="10" l="1"/>
  <c r="P44" i="10" l="1"/>
  <c r="P43" i="10" l="1"/>
  <c r="P42" i="10" l="1"/>
  <c r="P41" i="10" l="1"/>
  <c r="P40" i="10" l="1"/>
  <c r="P39" i="10" l="1"/>
  <c r="P38" i="10" l="1"/>
  <c r="P37" i="10" l="1"/>
  <c r="P36" i="10" l="1"/>
  <c r="P35" i="10" l="1"/>
  <c r="P34" i="10" l="1"/>
  <c r="P33" i="10" l="1"/>
  <c r="P32" i="10" l="1"/>
  <c r="P31" i="10" l="1"/>
  <c r="P30" i="10" l="1"/>
  <c r="P29" i="10" l="1"/>
  <c r="P28" i="10" l="1"/>
  <c r="P27" i="10" l="1"/>
  <c r="P26" i="10" l="1"/>
  <c r="P25" i="10" l="1"/>
  <c r="P24" i="10" l="1"/>
  <c r="P23" i="10" l="1"/>
  <c r="P22" i="10" l="1"/>
  <c r="P21" i="10" l="1"/>
  <c r="P20" i="10" l="1"/>
  <c r="P19" i="10" l="1"/>
  <c r="P18" i="10" l="1"/>
  <c r="P17" i="10" l="1"/>
  <c r="P16" i="10" l="1"/>
  <c r="P15" i="10" l="1"/>
  <c r="P15" i="1" s="1"/>
  <c r="P16" i="1" s="1"/>
  <c r="P17" i="1" s="1"/>
  <c r="O16" i="8" l="1"/>
  <c r="P18" i="1"/>
  <c r="O17" i="8" l="1"/>
  <c r="P19" i="1"/>
  <c r="O18" i="8" l="1"/>
  <c r="P20" i="1"/>
  <c r="O19" i="8" l="1"/>
  <c r="P21" i="1"/>
  <c r="O20" i="8" l="1"/>
  <c r="P22" i="1"/>
  <c r="O21" i="8" l="1"/>
  <c r="P23" i="1"/>
  <c r="O22" i="8" l="1"/>
  <c r="P24" i="1"/>
  <c r="O23" i="8" l="1"/>
  <c r="P25" i="1"/>
  <c r="O24" i="8" l="1"/>
  <c r="P26" i="1"/>
  <c r="O25" i="8" l="1"/>
  <c r="P27" i="1"/>
  <c r="O26" i="8" l="1"/>
  <c r="P28" i="1"/>
  <c r="O27" i="8" l="1"/>
  <c r="P29" i="1"/>
  <c r="O28" i="8" l="1"/>
  <c r="P30" i="1"/>
  <c r="O29" i="8" l="1"/>
  <c r="P31" i="1"/>
  <c r="O30" i="8" l="1"/>
  <c r="P32" i="1"/>
  <c r="O31" i="8" l="1"/>
  <c r="P33" i="1"/>
  <c r="O32" i="8" l="1"/>
  <c r="P34" i="1"/>
  <c r="O33" i="8" l="1"/>
  <c r="P35" i="1"/>
  <c r="O34" i="8" l="1"/>
  <c r="P36" i="1"/>
  <c r="O35" i="8" l="1"/>
  <c r="P37" i="1"/>
  <c r="O36" i="8" l="1"/>
  <c r="P38" i="1"/>
  <c r="O37" i="8" l="1"/>
  <c r="P39" i="1"/>
  <c r="O38" i="8" l="1"/>
  <c r="P40" i="1"/>
  <c r="O39" i="8" l="1"/>
  <c r="P41" i="1"/>
  <c r="O40" i="8" l="1"/>
  <c r="P42" i="1"/>
  <c r="O41" i="8" l="1"/>
  <c r="P43" i="1"/>
  <c r="O42" i="8" l="1"/>
  <c r="P44" i="1"/>
  <c r="O43" i="8" l="1"/>
  <c r="P45" i="1"/>
  <c r="O44" i="8" l="1"/>
  <c r="P46" i="1"/>
  <c r="O45" i="8" l="1"/>
  <c r="P47" i="1"/>
  <c r="O46" i="8" l="1"/>
  <c r="P48" i="1"/>
  <c r="O47" i="8" l="1"/>
  <c r="P49" i="1"/>
  <c r="O48" i="8" l="1"/>
  <c r="P50" i="1"/>
  <c r="O49" i="8" l="1"/>
  <c r="P51" i="1"/>
  <c r="O50" i="8" l="1"/>
  <c r="P52" i="1"/>
  <c r="O51" i="8" l="1"/>
  <c r="P53" i="1"/>
  <c r="O52" i="8" l="1"/>
  <c r="P54" i="1"/>
  <c r="O53" i="8" l="1"/>
  <c r="P55" i="1"/>
  <c r="O54" i="8" l="1"/>
  <c r="P56" i="1"/>
  <c r="O55" i="8" l="1"/>
  <c r="P57" i="1"/>
  <c r="O56" i="8" l="1"/>
  <c r="P58" i="1"/>
  <c r="O57" i="8" l="1"/>
  <c r="P59" i="1"/>
  <c r="O58" i="8" l="1"/>
  <c r="P60" i="1"/>
  <c r="O59" i="8" l="1"/>
  <c r="P61" i="1"/>
  <c r="O60" i="8" l="1"/>
  <c r="P62" i="1"/>
  <c r="O61" i="8" l="1"/>
  <c r="P63" i="1"/>
  <c r="O62" i="8" l="1"/>
  <c r="P64" i="1"/>
  <c r="O63" i="8" l="1"/>
  <c r="P65" i="1"/>
  <c r="O64" i="8" s="1"/>
  <c r="O64" i="10" s="1"/>
  <c r="O63" i="10" l="1"/>
  <c r="O62" i="10" l="1"/>
  <c r="O61" i="10" l="1"/>
  <c r="O60" i="10" l="1"/>
  <c r="O59" i="10" l="1"/>
  <c r="O58" i="10" l="1"/>
  <c r="O57" i="10" l="1"/>
  <c r="O56" i="10" l="1"/>
  <c r="O55" i="10" l="1"/>
  <c r="O54" i="10" l="1"/>
  <c r="O53" i="10" l="1"/>
  <c r="O52" i="10" l="1"/>
  <c r="O51" i="10" l="1"/>
  <c r="O50" i="10" l="1"/>
  <c r="O49" i="10" l="1"/>
  <c r="O48" i="10" l="1"/>
  <c r="O47" i="10" l="1"/>
  <c r="O46" i="10" l="1"/>
  <c r="O45" i="10" l="1"/>
  <c r="O44" i="10" l="1"/>
  <c r="O43" i="10" l="1"/>
  <c r="O42" i="10" l="1"/>
  <c r="O41" i="10" l="1"/>
  <c r="O40" i="10" l="1"/>
  <c r="O39" i="10" l="1"/>
  <c r="O38" i="10" l="1"/>
  <c r="O37" i="10" l="1"/>
  <c r="O36" i="10" l="1"/>
  <c r="O35" i="10" l="1"/>
  <c r="O34" i="10" l="1"/>
  <c r="O33" i="10" l="1"/>
  <c r="O32" i="10" l="1"/>
  <c r="O31" i="10" l="1"/>
  <c r="O30" i="10" l="1"/>
  <c r="O29" i="10" l="1"/>
  <c r="O28" i="10" l="1"/>
  <c r="O27" i="10" l="1"/>
  <c r="O26" i="10" l="1"/>
  <c r="O25" i="10" l="1"/>
  <c r="O24" i="10" l="1"/>
  <c r="O23" i="10" l="1"/>
  <c r="O22" i="10" l="1"/>
  <c r="O21" i="10" l="1"/>
  <c r="O20" i="10" l="1"/>
  <c r="O19" i="10" l="1"/>
  <c r="O18" i="10" l="1"/>
  <c r="O17" i="10" l="1"/>
  <c r="O16" i="10" l="1"/>
  <c r="O15" i="10" l="1"/>
  <c r="O15" i="1" s="1"/>
  <c r="O16" i="1" s="1"/>
  <c r="O17" i="1" s="1"/>
  <c r="N16" i="8" l="1"/>
  <c r="O18" i="1"/>
  <c r="N17" i="8" l="1"/>
  <c r="O19" i="1"/>
  <c r="N18" i="8" l="1"/>
  <c r="O20" i="1"/>
  <c r="N19" i="8" l="1"/>
  <c r="O21" i="1"/>
  <c r="N20" i="8" l="1"/>
  <c r="O22" i="1"/>
  <c r="N21" i="8" l="1"/>
  <c r="O23" i="1"/>
  <c r="N22" i="8" l="1"/>
  <c r="O24" i="1"/>
  <c r="N23" i="8" l="1"/>
  <c r="O25" i="1"/>
  <c r="N24" i="8" l="1"/>
  <c r="O26" i="1"/>
  <c r="N25" i="8" l="1"/>
  <c r="O27" i="1"/>
  <c r="N26" i="8" l="1"/>
  <c r="O28" i="1"/>
  <c r="N27" i="8" l="1"/>
  <c r="O29" i="1"/>
  <c r="N28" i="8" l="1"/>
  <c r="O30" i="1"/>
  <c r="N29" i="8" l="1"/>
  <c r="O31" i="1"/>
  <c r="N30" i="8" l="1"/>
  <c r="O32" i="1"/>
  <c r="N31" i="8" l="1"/>
  <c r="O33" i="1"/>
  <c r="N32" i="8" l="1"/>
  <c r="O34" i="1"/>
  <c r="N33" i="8" l="1"/>
  <c r="O35" i="1"/>
  <c r="N34" i="8" l="1"/>
  <c r="O36" i="1"/>
  <c r="N35" i="8" l="1"/>
  <c r="O37" i="1"/>
  <c r="N36" i="8" l="1"/>
  <c r="O38" i="1"/>
  <c r="N37" i="8" l="1"/>
  <c r="O39" i="1"/>
  <c r="N38" i="8" l="1"/>
  <c r="O40" i="1"/>
  <c r="N39" i="8" l="1"/>
  <c r="O41" i="1"/>
  <c r="N40" i="8" l="1"/>
  <c r="O42" i="1"/>
  <c r="N41" i="8" l="1"/>
  <c r="O43" i="1"/>
  <c r="N42" i="8" l="1"/>
  <c r="O44" i="1"/>
  <c r="N43" i="8" l="1"/>
  <c r="O45" i="1"/>
  <c r="N44" i="8" l="1"/>
  <c r="O46" i="1"/>
  <c r="N45" i="8" l="1"/>
  <c r="O47" i="1"/>
  <c r="N46" i="8" l="1"/>
  <c r="O48" i="1"/>
  <c r="N47" i="8" l="1"/>
  <c r="O49" i="1"/>
  <c r="N48" i="8" l="1"/>
  <c r="O50" i="1"/>
  <c r="N49" i="8" l="1"/>
  <c r="O51" i="1"/>
  <c r="N50" i="8" l="1"/>
  <c r="O52" i="1"/>
  <c r="N51" i="8" l="1"/>
  <c r="O53" i="1"/>
  <c r="N52" i="8" l="1"/>
  <c r="O54" i="1"/>
  <c r="N53" i="8" l="1"/>
  <c r="O55" i="1"/>
  <c r="N54" i="8" l="1"/>
  <c r="O56" i="1"/>
  <c r="N55" i="8" l="1"/>
  <c r="O57" i="1"/>
  <c r="N56" i="8" l="1"/>
  <c r="O58" i="1"/>
  <c r="N57" i="8" l="1"/>
  <c r="O59" i="1"/>
  <c r="N58" i="8" l="1"/>
  <c r="O60" i="1"/>
  <c r="N59" i="8" l="1"/>
  <c r="O61" i="1"/>
  <c r="N60" i="8" l="1"/>
  <c r="O62" i="1"/>
  <c r="N61" i="8" l="1"/>
  <c r="O63" i="1"/>
  <c r="N62" i="8" l="1"/>
  <c r="O64" i="1"/>
  <c r="N63" i="8" l="1"/>
  <c r="O65" i="1"/>
  <c r="N64" i="8" s="1"/>
  <c r="N64" i="10" s="1"/>
  <c r="N63" i="10" l="1"/>
  <c r="N62" i="10" l="1"/>
  <c r="N61" i="10" l="1"/>
  <c r="N60" i="10" l="1"/>
  <c r="N59" i="10" l="1"/>
  <c r="N58" i="10" l="1"/>
  <c r="N57" i="10" l="1"/>
  <c r="N56" i="10" l="1"/>
  <c r="N55" i="10" l="1"/>
  <c r="N54" i="10" l="1"/>
  <c r="N53" i="10" l="1"/>
  <c r="N52" i="10" l="1"/>
  <c r="N51" i="10" l="1"/>
  <c r="N50" i="10" l="1"/>
  <c r="N49" i="10" l="1"/>
  <c r="N48" i="10" l="1"/>
  <c r="N47" i="10" l="1"/>
  <c r="N46" i="10" l="1"/>
  <c r="N45" i="10" l="1"/>
  <c r="N44" i="10" l="1"/>
  <c r="N43" i="10" l="1"/>
  <c r="N42" i="10" l="1"/>
  <c r="N41" i="10" l="1"/>
  <c r="N40" i="10" l="1"/>
  <c r="N39" i="10" l="1"/>
  <c r="N38" i="10" l="1"/>
  <c r="N37" i="10" l="1"/>
  <c r="N36" i="10" l="1"/>
  <c r="N35" i="10" l="1"/>
  <c r="N34" i="10" l="1"/>
  <c r="N33" i="10" l="1"/>
  <c r="N32" i="10" l="1"/>
  <c r="N31" i="10" l="1"/>
  <c r="N30" i="10" l="1"/>
  <c r="N29" i="10" l="1"/>
  <c r="N28" i="10" l="1"/>
  <c r="N27" i="10" l="1"/>
  <c r="N26" i="10" l="1"/>
  <c r="N25" i="10" l="1"/>
  <c r="N24" i="10" l="1"/>
  <c r="N23" i="10" l="1"/>
  <c r="N22" i="10" l="1"/>
  <c r="N21" i="10" l="1"/>
  <c r="N20" i="10" l="1"/>
  <c r="N19" i="10" l="1"/>
  <c r="N18" i="10" l="1"/>
  <c r="N17" i="10" l="1"/>
  <c r="N16" i="10" l="1"/>
  <c r="N15" i="10" l="1"/>
  <c r="N15" i="1" s="1"/>
  <c r="N16" i="1" s="1"/>
  <c r="N17" i="1" s="1"/>
  <c r="M16" i="8" l="1"/>
  <c r="N18" i="1"/>
  <c r="M17" i="8" l="1"/>
  <c r="N19" i="1"/>
  <c r="M18" i="8" l="1"/>
  <c r="N20" i="1"/>
  <c r="M19" i="8" l="1"/>
  <c r="N21" i="1"/>
  <c r="M20" i="8" l="1"/>
  <c r="N22" i="1"/>
  <c r="M21" i="8" l="1"/>
  <c r="N23" i="1"/>
  <c r="M22" i="8" l="1"/>
  <c r="N24" i="1"/>
  <c r="M23" i="8" l="1"/>
  <c r="N25" i="1"/>
  <c r="M24" i="8" l="1"/>
  <c r="N26" i="1"/>
  <c r="M25" i="8" l="1"/>
  <c r="N27" i="1"/>
  <c r="M26" i="8" l="1"/>
  <c r="N28" i="1"/>
  <c r="M27" i="8" l="1"/>
  <c r="N29" i="1"/>
  <c r="M28" i="8" l="1"/>
  <c r="N30" i="1"/>
  <c r="M29" i="8" l="1"/>
  <c r="N31" i="1"/>
  <c r="M30" i="8" l="1"/>
  <c r="N32" i="1"/>
  <c r="M31" i="8" l="1"/>
  <c r="N33" i="1"/>
  <c r="M32" i="8" l="1"/>
  <c r="N34" i="1"/>
  <c r="M33" i="8" l="1"/>
  <c r="N35" i="1"/>
  <c r="M34" i="8" l="1"/>
  <c r="N36" i="1"/>
  <c r="M35" i="8" l="1"/>
  <c r="N37" i="1"/>
  <c r="M36" i="8" l="1"/>
  <c r="N38" i="1"/>
  <c r="M37" i="8" l="1"/>
  <c r="N39" i="1"/>
  <c r="M38" i="8" l="1"/>
  <c r="N40" i="1"/>
  <c r="M39" i="8" l="1"/>
  <c r="N41" i="1"/>
  <c r="M40" i="8" l="1"/>
  <c r="N42" i="1"/>
  <c r="M41" i="8" l="1"/>
  <c r="N43" i="1"/>
  <c r="M42" i="8" l="1"/>
  <c r="N44" i="1"/>
  <c r="M43" i="8" l="1"/>
  <c r="N45" i="1"/>
  <c r="M44" i="8" l="1"/>
  <c r="N46" i="1"/>
  <c r="M45" i="8" l="1"/>
  <c r="N47" i="1"/>
  <c r="M46" i="8" l="1"/>
  <c r="N48" i="1"/>
  <c r="M47" i="8" l="1"/>
  <c r="N49" i="1"/>
  <c r="M48" i="8" l="1"/>
  <c r="N50" i="1"/>
  <c r="M49" i="8" l="1"/>
  <c r="N51" i="1"/>
  <c r="M50" i="8" l="1"/>
  <c r="N52" i="1"/>
  <c r="M51" i="8" l="1"/>
  <c r="N53" i="1"/>
  <c r="M52" i="8" l="1"/>
  <c r="N54" i="1"/>
  <c r="M53" i="8" l="1"/>
  <c r="N55" i="1"/>
  <c r="M54" i="8" l="1"/>
  <c r="N56" i="1"/>
  <c r="M55" i="8" l="1"/>
  <c r="N57" i="1"/>
  <c r="M56" i="8" l="1"/>
  <c r="N58" i="1"/>
  <c r="M57" i="8" l="1"/>
  <c r="N59" i="1"/>
  <c r="M58" i="8" l="1"/>
  <c r="N60" i="1"/>
  <c r="M59" i="8" l="1"/>
  <c r="N61" i="1"/>
  <c r="M60" i="8" l="1"/>
  <c r="N62" i="1"/>
  <c r="M61" i="8" l="1"/>
  <c r="N63" i="1"/>
  <c r="M62" i="8" l="1"/>
  <c r="N64" i="1"/>
  <c r="M63" i="8" l="1"/>
  <c r="N65" i="1"/>
  <c r="M64" i="8" s="1"/>
  <c r="M64" i="10" s="1"/>
  <c r="M63" i="10" l="1"/>
  <c r="M62" i="10" l="1"/>
  <c r="M61" i="10" l="1"/>
  <c r="M60" i="10" l="1"/>
  <c r="M59" i="10" l="1"/>
  <c r="M58" i="10" l="1"/>
  <c r="M57" i="10" l="1"/>
  <c r="M56" i="10" l="1"/>
  <c r="M55" i="10" l="1"/>
  <c r="M54" i="10" l="1"/>
  <c r="M53" i="10" l="1"/>
  <c r="M52" i="10" l="1"/>
  <c r="M51" i="10" l="1"/>
  <c r="M50" i="10" l="1"/>
  <c r="M49" i="10" l="1"/>
  <c r="M48" i="10" l="1"/>
  <c r="M47" i="10" l="1"/>
  <c r="M46" i="10" l="1"/>
  <c r="M45" i="10" l="1"/>
  <c r="M44" i="10" l="1"/>
  <c r="M43" i="10" l="1"/>
  <c r="M42" i="10" l="1"/>
  <c r="M41" i="10" l="1"/>
  <c r="M40" i="10" l="1"/>
  <c r="M39" i="10" l="1"/>
  <c r="M38" i="10" l="1"/>
  <c r="M37" i="10" l="1"/>
  <c r="M36" i="10" l="1"/>
  <c r="M35" i="10" l="1"/>
  <c r="M34" i="10" l="1"/>
  <c r="M33" i="10" l="1"/>
  <c r="M32" i="10" l="1"/>
  <c r="M31" i="10" l="1"/>
  <c r="M30" i="10" l="1"/>
  <c r="M29" i="10" l="1"/>
  <c r="M28" i="10" l="1"/>
  <c r="M27" i="10" l="1"/>
  <c r="M26" i="10" l="1"/>
  <c r="M25" i="10" l="1"/>
  <c r="M24" i="10" l="1"/>
  <c r="M23" i="10" l="1"/>
  <c r="M22" i="10" l="1"/>
  <c r="M21" i="10" l="1"/>
  <c r="M20" i="10" l="1"/>
  <c r="M19" i="10" l="1"/>
  <c r="M18" i="10" l="1"/>
  <c r="M17" i="10" l="1"/>
  <c r="M16" i="10" l="1"/>
  <c r="M15" i="10" l="1"/>
  <c r="M15" i="1" s="1"/>
  <c r="M16" i="1" s="1"/>
  <c r="M17" i="1" s="1"/>
  <c r="L16" i="8" l="1"/>
  <c r="M18" i="1"/>
  <c r="L17" i="8" l="1"/>
  <c r="M19" i="1"/>
  <c r="L18" i="8" l="1"/>
  <c r="M20" i="1"/>
  <c r="L19" i="8" l="1"/>
  <c r="M21" i="1"/>
  <c r="L20" i="8" l="1"/>
  <c r="M22" i="1"/>
  <c r="L21" i="8" l="1"/>
  <c r="M23" i="1"/>
  <c r="L22" i="8" l="1"/>
  <c r="M24" i="1"/>
  <c r="L23" i="8" l="1"/>
  <c r="M25" i="1"/>
  <c r="L24" i="8" l="1"/>
  <c r="M26" i="1"/>
  <c r="L25" i="8" l="1"/>
  <c r="M27" i="1"/>
  <c r="L26" i="8" l="1"/>
  <c r="M28" i="1"/>
  <c r="L27" i="8" l="1"/>
  <c r="M29" i="1"/>
  <c r="L28" i="8" l="1"/>
  <c r="M30" i="1"/>
  <c r="L29" i="8" l="1"/>
  <c r="M31" i="1"/>
  <c r="L30" i="8" l="1"/>
  <c r="M32" i="1"/>
  <c r="L31" i="8" l="1"/>
  <c r="M33" i="1"/>
  <c r="L32" i="8" l="1"/>
  <c r="M34" i="1"/>
  <c r="L33" i="8" l="1"/>
  <c r="M35" i="1"/>
  <c r="L34" i="8" l="1"/>
  <c r="M36" i="1"/>
  <c r="L35" i="8" l="1"/>
  <c r="M37" i="1"/>
  <c r="L36" i="8" l="1"/>
  <c r="M38" i="1"/>
  <c r="L37" i="8" l="1"/>
  <c r="M39" i="1"/>
  <c r="L38" i="8" l="1"/>
  <c r="M40" i="1"/>
  <c r="L39" i="8" l="1"/>
  <c r="M41" i="1"/>
  <c r="L40" i="8" l="1"/>
  <c r="M42" i="1"/>
  <c r="L41" i="8" l="1"/>
  <c r="M43" i="1"/>
  <c r="L42" i="8" l="1"/>
  <c r="M44" i="1"/>
  <c r="L43" i="8" l="1"/>
  <c r="M45" i="1"/>
  <c r="L44" i="8" l="1"/>
  <c r="M46" i="1"/>
  <c r="L45" i="8" l="1"/>
  <c r="M47" i="1"/>
  <c r="L46" i="8" l="1"/>
  <c r="M48" i="1"/>
  <c r="L47" i="8" l="1"/>
  <c r="M49" i="1"/>
  <c r="L48" i="8" l="1"/>
  <c r="M50" i="1"/>
  <c r="L49" i="8" l="1"/>
  <c r="M51" i="1"/>
  <c r="L50" i="8" l="1"/>
  <c r="M52" i="1"/>
  <c r="L51" i="8" l="1"/>
  <c r="M53" i="1"/>
  <c r="L52" i="8" l="1"/>
  <c r="M54" i="1"/>
  <c r="L53" i="8" l="1"/>
  <c r="M55" i="1"/>
  <c r="L54" i="8" l="1"/>
  <c r="M56" i="1"/>
  <c r="L55" i="8" l="1"/>
  <c r="M57" i="1"/>
  <c r="L56" i="8" l="1"/>
  <c r="M58" i="1"/>
  <c r="L57" i="8" l="1"/>
  <c r="M59" i="1"/>
  <c r="L58" i="8" l="1"/>
  <c r="M60" i="1"/>
  <c r="L59" i="8" l="1"/>
  <c r="M61" i="1"/>
  <c r="L60" i="8" l="1"/>
  <c r="M62" i="1"/>
  <c r="L61" i="8" l="1"/>
  <c r="M63" i="1"/>
  <c r="L62" i="8" l="1"/>
  <c r="M64" i="1"/>
  <c r="M65" i="1" l="1"/>
  <c r="L64" i="8" s="1"/>
  <c r="L64" i="10" s="1"/>
  <c r="L63" i="8"/>
  <c r="L63" i="10" l="1"/>
  <c r="L62" i="10" l="1"/>
  <c r="L61" i="10" l="1"/>
  <c r="L60" i="10" l="1"/>
  <c r="L59" i="10" l="1"/>
  <c r="L58" i="10" l="1"/>
  <c r="L57" i="10" l="1"/>
  <c r="L56" i="10" l="1"/>
  <c r="L55" i="10" l="1"/>
  <c r="L54" i="10" l="1"/>
  <c r="L53" i="10" l="1"/>
  <c r="L52" i="10" l="1"/>
  <c r="L51" i="10" l="1"/>
  <c r="L50" i="10" l="1"/>
  <c r="L49" i="10" l="1"/>
  <c r="L48" i="10" l="1"/>
  <c r="L47" i="10" l="1"/>
  <c r="L46" i="10" l="1"/>
  <c r="L45" i="10" l="1"/>
  <c r="L44" i="10" l="1"/>
  <c r="L43" i="10" l="1"/>
  <c r="L42" i="10" l="1"/>
  <c r="L41" i="10" l="1"/>
  <c r="L40" i="10" l="1"/>
  <c r="L39" i="10" l="1"/>
  <c r="L38" i="10" l="1"/>
  <c r="L37" i="10" l="1"/>
  <c r="L36" i="10" l="1"/>
  <c r="L35" i="10" l="1"/>
  <c r="L34" i="10" l="1"/>
  <c r="L33" i="10" l="1"/>
  <c r="L32" i="10" l="1"/>
  <c r="L31" i="10" l="1"/>
  <c r="L30" i="10" l="1"/>
  <c r="L29" i="10" l="1"/>
  <c r="L28" i="10" l="1"/>
  <c r="L27" i="10" l="1"/>
  <c r="L26" i="10" l="1"/>
  <c r="L25" i="10" l="1"/>
  <c r="L24" i="10" l="1"/>
  <c r="L23" i="10" l="1"/>
  <c r="L22" i="10" l="1"/>
  <c r="L21" i="10" l="1"/>
  <c r="L20" i="10" l="1"/>
  <c r="L19" i="10" l="1"/>
  <c r="L18" i="10" l="1"/>
  <c r="L17" i="10" l="1"/>
  <c r="L16" i="10" l="1"/>
  <c r="L15" i="10" l="1"/>
  <c r="L15" i="1" s="1"/>
  <c r="L16" i="1" s="1"/>
  <c r="L17" i="1" s="1"/>
  <c r="K16" i="8" l="1"/>
  <c r="L18" i="1"/>
  <c r="K17" i="8" l="1"/>
  <c r="L19" i="1"/>
  <c r="K18" i="8" l="1"/>
  <c r="L20" i="1"/>
  <c r="K19" i="8" l="1"/>
  <c r="L21" i="1"/>
  <c r="K20" i="8" l="1"/>
  <c r="L22" i="1"/>
  <c r="K21" i="8" l="1"/>
  <c r="L23" i="1"/>
  <c r="K22" i="8" l="1"/>
  <c r="L24" i="1"/>
  <c r="K23" i="8" l="1"/>
  <c r="L25" i="1"/>
  <c r="K24" i="8" l="1"/>
  <c r="L26" i="1"/>
  <c r="K25" i="8" l="1"/>
  <c r="L27" i="1"/>
  <c r="K26" i="8" l="1"/>
  <c r="L28" i="1"/>
  <c r="K27" i="8" l="1"/>
  <c r="L29" i="1"/>
  <c r="K28" i="8" l="1"/>
  <c r="L30" i="1"/>
  <c r="K29" i="8" l="1"/>
  <c r="L31" i="1"/>
  <c r="K30" i="8" l="1"/>
  <c r="L32" i="1"/>
  <c r="K31" i="8" l="1"/>
  <c r="L33" i="1"/>
  <c r="K32" i="8" l="1"/>
  <c r="L34" i="1"/>
  <c r="K33" i="8" l="1"/>
  <c r="L35" i="1"/>
  <c r="K34" i="8" l="1"/>
  <c r="L36" i="1"/>
  <c r="K35" i="8" l="1"/>
  <c r="L37" i="1"/>
  <c r="K36" i="8" l="1"/>
  <c r="L38" i="1"/>
  <c r="K37" i="8" l="1"/>
  <c r="L39" i="1"/>
  <c r="K38" i="8" l="1"/>
  <c r="L40" i="1"/>
  <c r="K39" i="8" l="1"/>
  <c r="L41" i="1"/>
  <c r="K40" i="8" l="1"/>
  <c r="L42" i="1"/>
  <c r="K41" i="8" l="1"/>
  <c r="L43" i="1"/>
  <c r="K42" i="8" l="1"/>
  <c r="L44" i="1"/>
  <c r="K43" i="8" l="1"/>
  <c r="L45" i="1"/>
  <c r="K44" i="8" l="1"/>
  <c r="L46" i="1"/>
  <c r="K45" i="8" l="1"/>
  <c r="L47" i="1"/>
  <c r="K46" i="8" l="1"/>
  <c r="L48" i="1"/>
  <c r="K47" i="8" l="1"/>
  <c r="L49" i="1"/>
  <c r="K48" i="8" l="1"/>
  <c r="L50" i="1"/>
  <c r="K49" i="8" l="1"/>
  <c r="L51" i="1"/>
  <c r="K50" i="8" l="1"/>
  <c r="L52" i="1"/>
  <c r="K51" i="8" l="1"/>
  <c r="L53" i="1"/>
  <c r="K52" i="8" l="1"/>
  <c r="L54" i="1"/>
  <c r="K53" i="8" l="1"/>
  <c r="L55" i="1"/>
  <c r="K54" i="8" l="1"/>
  <c r="L56" i="1"/>
  <c r="K55" i="8" l="1"/>
  <c r="L57" i="1"/>
  <c r="K56" i="8" l="1"/>
  <c r="L58" i="1"/>
  <c r="K57" i="8" l="1"/>
  <c r="L59" i="1"/>
  <c r="K58" i="8" l="1"/>
  <c r="L60" i="1"/>
  <c r="K59" i="8" l="1"/>
  <c r="L61" i="1"/>
  <c r="K60" i="8" l="1"/>
  <c r="L62" i="1"/>
  <c r="K61" i="8" l="1"/>
  <c r="L63" i="1"/>
  <c r="K62" i="8" l="1"/>
  <c r="L64" i="1"/>
  <c r="L65" i="1" l="1"/>
  <c r="K64" i="8" s="1"/>
  <c r="K64" i="10" s="1"/>
  <c r="K63" i="8"/>
  <c r="K63" i="10" l="1"/>
  <c r="K62" i="10" l="1"/>
  <c r="K61" i="10" l="1"/>
  <c r="K60" i="10" l="1"/>
  <c r="K59" i="10" l="1"/>
  <c r="K58" i="10" l="1"/>
  <c r="K57" i="10" l="1"/>
  <c r="K56" i="10" l="1"/>
  <c r="K55" i="10" l="1"/>
  <c r="K54" i="10" l="1"/>
  <c r="K53" i="10" l="1"/>
  <c r="K52" i="10" l="1"/>
  <c r="K51" i="10" l="1"/>
  <c r="K50" i="10" l="1"/>
  <c r="K49" i="10" l="1"/>
  <c r="K48" i="10" l="1"/>
  <c r="K47" i="10" l="1"/>
  <c r="K46" i="10" l="1"/>
  <c r="K45" i="10" l="1"/>
  <c r="K44" i="10" l="1"/>
  <c r="K43" i="10" l="1"/>
  <c r="K42" i="10" l="1"/>
  <c r="K41" i="10" l="1"/>
  <c r="K40" i="10" l="1"/>
  <c r="K39" i="10" l="1"/>
  <c r="K38" i="10" l="1"/>
  <c r="K37" i="10" l="1"/>
  <c r="K36" i="10" l="1"/>
  <c r="K35" i="10" l="1"/>
  <c r="K34" i="10" l="1"/>
  <c r="K33" i="10" l="1"/>
  <c r="K32" i="10" l="1"/>
  <c r="K31" i="10" l="1"/>
  <c r="K30" i="10" l="1"/>
  <c r="K29" i="10" l="1"/>
  <c r="K28" i="10" l="1"/>
  <c r="K27" i="10" l="1"/>
  <c r="K26" i="10" l="1"/>
  <c r="K25" i="10" l="1"/>
  <c r="K24" i="10" l="1"/>
  <c r="K23" i="10" l="1"/>
  <c r="K22" i="10" l="1"/>
  <c r="K21" i="10" l="1"/>
  <c r="K20" i="10" l="1"/>
  <c r="K19" i="10" l="1"/>
  <c r="K18" i="10" l="1"/>
  <c r="K17" i="10" l="1"/>
  <c r="K16" i="10" l="1"/>
  <c r="K15" i="10" l="1"/>
  <c r="K15" i="1" s="1"/>
  <c r="K16" i="1" s="1"/>
  <c r="K17" i="1" s="1"/>
  <c r="J16" i="8" l="1"/>
  <c r="K18" i="1"/>
  <c r="J17" i="8" l="1"/>
  <c r="K19" i="1"/>
  <c r="J18" i="8" l="1"/>
  <c r="K20" i="1"/>
  <c r="J19" i="8" l="1"/>
  <c r="K21" i="1"/>
  <c r="J20" i="8" l="1"/>
  <c r="K22" i="1"/>
  <c r="J21" i="8" l="1"/>
  <c r="K23" i="1"/>
  <c r="J22" i="8" l="1"/>
  <c r="K24" i="1"/>
  <c r="J23" i="8" l="1"/>
  <c r="K25" i="1"/>
  <c r="J24" i="8" l="1"/>
  <c r="K26" i="1"/>
  <c r="J25" i="8" l="1"/>
  <c r="K27" i="1"/>
  <c r="J26" i="8" l="1"/>
  <c r="K28" i="1"/>
  <c r="J27" i="8" l="1"/>
  <c r="K29" i="1"/>
  <c r="J28" i="8" l="1"/>
  <c r="K30" i="1"/>
  <c r="J29" i="8" l="1"/>
  <c r="K31" i="1"/>
  <c r="J30" i="8" l="1"/>
  <c r="K32" i="1"/>
  <c r="J31" i="8" l="1"/>
  <c r="K33" i="1"/>
  <c r="J32" i="8" l="1"/>
  <c r="K34" i="1"/>
  <c r="J33" i="8" l="1"/>
  <c r="K35" i="1"/>
  <c r="J34" i="8" l="1"/>
  <c r="K36" i="1"/>
  <c r="J35" i="8" l="1"/>
  <c r="K37" i="1"/>
  <c r="J36" i="8" l="1"/>
  <c r="K38" i="1"/>
  <c r="J37" i="8" l="1"/>
  <c r="K39" i="1"/>
  <c r="J38" i="8" l="1"/>
  <c r="K40" i="1"/>
  <c r="J39" i="8" l="1"/>
  <c r="K41" i="1"/>
  <c r="J40" i="8" l="1"/>
  <c r="K42" i="1"/>
  <c r="J41" i="8" l="1"/>
  <c r="K43" i="1"/>
  <c r="J42" i="8" l="1"/>
  <c r="K44" i="1"/>
  <c r="J43" i="8" l="1"/>
  <c r="K45" i="1"/>
  <c r="J44" i="8" l="1"/>
  <c r="K46" i="1"/>
  <c r="J45" i="8" l="1"/>
  <c r="K47" i="1"/>
  <c r="J46" i="8" l="1"/>
  <c r="K48" i="1"/>
  <c r="J47" i="8" l="1"/>
  <c r="K49" i="1"/>
  <c r="J48" i="8" l="1"/>
  <c r="K50" i="1"/>
  <c r="J49" i="8" l="1"/>
  <c r="K51" i="1"/>
  <c r="J50" i="8" l="1"/>
  <c r="K52" i="1"/>
  <c r="J51" i="8" l="1"/>
  <c r="K53" i="1"/>
  <c r="J52" i="8" l="1"/>
  <c r="K54" i="1"/>
  <c r="J53" i="8" l="1"/>
  <c r="K55" i="1"/>
  <c r="J54" i="8" l="1"/>
  <c r="K56" i="1"/>
  <c r="J55" i="8" l="1"/>
  <c r="K57" i="1"/>
  <c r="J56" i="8" l="1"/>
  <c r="K58" i="1"/>
  <c r="J57" i="8" l="1"/>
  <c r="K59" i="1"/>
  <c r="J58" i="8" l="1"/>
  <c r="K60" i="1"/>
  <c r="J59" i="8" l="1"/>
  <c r="K61" i="1"/>
  <c r="J60" i="8" l="1"/>
  <c r="K62" i="1"/>
  <c r="J61" i="8" l="1"/>
  <c r="K63" i="1"/>
  <c r="J62" i="8" l="1"/>
  <c r="K64" i="1"/>
  <c r="K65" i="1" l="1"/>
  <c r="J64" i="8" s="1"/>
  <c r="J64" i="10" s="1"/>
  <c r="J63" i="8"/>
  <c r="J63" i="10" l="1"/>
  <c r="J62" i="10" l="1"/>
  <c r="J61" i="10" l="1"/>
  <c r="J60" i="10" l="1"/>
  <c r="J59" i="10" l="1"/>
  <c r="J58" i="10" l="1"/>
  <c r="J57" i="10" l="1"/>
  <c r="J56" i="10" l="1"/>
  <c r="J55" i="10" l="1"/>
  <c r="J54" i="10" l="1"/>
  <c r="J53" i="10" l="1"/>
  <c r="J52" i="10" l="1"/>
  <c r="J51" i="10" l="1"/>
  <c r="J50" i="10" l="1"/>
  <c r="J49" i="10" l="1"/>
  <c r="J48" i="10" l="1"/>
  <c r="J47" i="10" l="1"/>
  <c r="J46" i="10" l="1"/>
  <c r="J45" i="10" l="1"/>
  <c r="J44" i="10" l="1"/>
  <c r="J43" i="10" l="1"/>
  <c r="J42" i="10" l="1"/>
  <c r="J41" i="10" l="1"/>
  <c r="J40" i="10" l="1"/>
  <c r="J39" i="10" l="1"/>
  <c r="J38" i="10" l="1"/>
  <c r="J37" i="10" l="1"/>
  <c r="J36" i="10" l="1"/>
  <c r="J35" i="10" l="1"/>
  <c r="J34" i="10" l="1"/>
  <c r="J33" i="10" l="1"/>
  <c r="J32" i="10" l="1"/>
  <c r="J31" i="10" l="1"/>
  <c r="J30" i="10" l="1"/>
  <c r="J29" i="10" l="1"/>
  <c r="J28" i="10" l="1"/>
  <c r="J27" i="10" l="1"/>
  <c r="J26" i="10" l="1"/>
  <c r="J25" i="10" l="1"/>
  <c r="J24" i="10" l="1"/>
  <c r="J23" i="10" l="1"/>
  <c r="J22" i="10" l="1"/>
  <c r="J21" i="10" l="1"/>
  <c r="J20" i="10" l="1"/>
  <c r="J19" i="10" l="1"/>
  <c r="J18" i="10" l="1"/>
  <c r="J17" i="10" l="1"/>
  <c r="J16" i="10" l="1"/>
  <c r="J15" i="10" l="1"/>
  <c r="J15" i="1" s="1"/>
  <c r="J16" i="1" s="1"/>
  <c r="J17" i="1" s="1"/>
  <c r="I16" i="8" l="1"/>
  <c r="J18" i="1"/>
  <c r="I17" i="8" l="1"/>
  <c r="J19" i="1"/>
  <c r="I18" i="8" l="1"/>
  <c r="J20" i="1"/>
  <c r="I19" i="8" l="1"/>
  <c r="J21" i="1"/>
  <c r="I20" i="8" l="1"/>
  <c r="J22" i="1"/>
  <c r="I21" i="8" l="1"/>
  <c r="J23" i="1"/>
  <c r="I22" i="8" l="1"/>
  <c r="J24" i="1"/>
  <c r="I23" i="8" l="1"/>
  <c r="J25" i="1"/>
  <c r="I24" i="8" l="1"/>
  <c r="J26" i="1"/>
  <c r="I25" i="8" l="1"/>
  <c r="J27" i="1"/>
  <c r="I26" i="8" l="1"/>
  <c r="J28" i="1"/>
  <c r="I27" i="8" l="1"/>
  <c r="J29" i="1"/>
  <c r="I28" i="8" l="1"/>
  <c r="J30" i="1"/>
  <c r="I29" i="8" l="1"/>
  <c r="J31" i="1"/>
  <c r="I30" i="8" l="1"/>
  <c r="J32" i="1"/>
  <c r="I31" i="8" l="1"/>
  <c r="J33" i="1"/>
  <c r="I32" i="8" l="1"/>
  <c r="J34" i="1"/>
  <c r="I33" i="8" l="1"/>
  <c r="J35" i="1"/>
  <c r="I34" i="8" l="1"/>
  <c r="J36" i="1"/>
  <c r="I35" i="8" l="1"/>
  <c r="J37" i="1"/>
  <c r="I36" i="8" l="1"/>
  <c r="J38" i="1"/>
  <c r="I37" i="8" l="1"/>
  <c r="J39" i="1"/>
  <c r="I38" i="8" l="1"/>
  <c r="J40" i="1"/>
  <c r="I39" i="8" l="1"/>
  <c r="J41" i="1"/>
  <c r="I40" i="8" l="1"/>
  <c r="J42" i="1"/>
  <c r="I41" i="8" l="1"/>
  <c r="J43" i="1"/>
  <c r="I42" i="8" l="1"/>
  <c r="J44" i="1"/>
  <c r="I43" i="8" l="1"/>
  <c r="J45" i="1"/>
  <c r="I44" i="8" l="1"/>
  <c r="J46" i="1"/>
  <c r="I45" i="8" l="1"/>
  <c r="J47" i="1"/>
  <c r="I46" i="8" l="1"/>
  <c r="J48" i="1"/>
  <c r="I47" i="8" l="1"/>
  <c r="J49" i="1"/>
  <c r="I48" i="8" l="1"/>
  <c r="J50" i="1"/>
  <c r="I49" i="8" l="1"/>
  <c r="J51" i="1"/>
  <c r="I50" i="8" l="1"/>
  <c r="J52" i="1"/>
  <c r="I51" i="8" l="1"/>
  <c r="J53" i="1"/>
  <c r="I52" i="8" l="1"/>
  <c r="J54" i="1"/>
  <c r="I53" i="8" l="1"/>
  <c r="J55" i="1"/>
  <c r="I54" i="8" l="1"/>
  <c r="J56" i="1"/>
  <c r="I55" i="8" l="1"/>
  <c r="J57" i="1"/>
  <c r="I56" i="8" l="1"/>
  <c r="J58" i="1"/>
  <c r="I57" i="8" l="1"/>
  <c r="J59" i="1"/>
  <c r="I58" i="8" l="1"/>
  <c r="J60" i="1"/>
  <c r="I59" i="8" l="1"/>
  <c r="J61" i="1"/>
  <c r="I60" i="8" l="1"/>
  <c r="J62" i="1"/>
  <c r="I61" i="8" l="1"/>
  <c r="J63" i="1"/>
  <c r="I62" i="8" l="1"/>
  <c r="J64" i="1"/>
  <c r="I63" i="8" l="1"/>
  <c r="J65" i="1"/>
  <c r="I64" i="8" s="1"/>
  <c r="I64" i="10" s="1"/>
  <c r="I63" i="10" l="1"/>
  <c r="I62" i="10" l="1"/>
  <c r="I61" i="10" l="1"/>
  <c r="I60" i="10" l="1"/>
  <c r="I59" i="10" l="1"/>
  <c r="I58" i="10" l="1"/>
  <c r="I57" i="10" l="1"/>
  <c r="I56" i="10" l="1"/>
  <c r="I55" i="10" l="1"/>
  <c r="I54" i="10" l="1"/>
  <c r="I53" i="10" l="1"/>
  <c r="I52" i="10" l="1"/>
  <c r="I51" i="10" l="1"/>
  <c r="I50" i="10" l="1"/>
  <c r="I49" i="10" l="1"/>
  <c r="I48" i="10" l="1"/>
  <c r="I47" i="10" l="1"/>
  <c r="I46" i="10" l="1"/>
  <c r="I45" i="10" l="1"/>
  <c r="I44" i="10" l="1"/>
  <c r="I43" i="10" l="1"/>
  <c r="I42" i="10" l="1"/>
  <c r="I41" i="10" l="1"/>
  <c r="I40" i="10" l="1"/>
  <c r="I39" i="10" l="1"/>
  <c r="I38" i="10" l="1"/>
  <c r="I37" i="10" l="1"/>
  <c r="I36" i="10" l="1"/>
  <c r="I35" i="10" l="1"/>
  <c r="I34" i="10" l="1"/>
  <c r="I33" i="10" l="1"/>
  <c r="I32" i="10" l="1"/>
  <c r="I31" i="10" l="1"/>
  <c r="I30" i="10" l="1"/>
  <c r="I29" i="10" l="1"/>
  <c r="I28" i="10" l="1"/>
  <c r="I27" i="10" l="1"/>
  <c r="I26" i="10" l="1"/>
  <c r="I25" i="10" l="1"/>
  <c r="I24" i="10" l="1"/>
  <c r="I23" i="10" l="1"/>
  <c r="I22" i="10" l="1"/>
  <c r="I21" i="10" l="1"/>
  <c r="I20" i="10" l="1"/>
  <c r="I19" i="10" l="1"/>
  <c r="I18" i="10" l="1"/>
  <c r="I17" i="10" l="1"/>
  <c r="I16" i="10" l="1"/>
  <c r="I15" i="10" l="1"/>
  <c r="I15" i="1" s="1"/>
  <c r="I16" i="1" s="1"/>
  <c r="I17" i="1" s="1"/>
  <c r="H16" i="8" l="1"/>
  <c r="I18" i="1"/>
  <c r="H17" i="8" l="1"/>
  <c r="I19" i="1"/>
  <c r="H18" i="8" l="1"/>
  <c r="I20" i="1"/>
  <c r="H19" i="8" l="1"/>
  <c r="I21" i="1"/>
  <c r="H20" i="8" l="1"/>
  <c r="I22" i="1"/>
  <c r="H21" i="8" l="1"/>
  <c r="I23" i="1"/>
  <c r="H22" i="8" l="1"/>
  <c r="I24" i="1"/>
  <c r="H23" i="8" l="1"/>
  <c r="I25" i="1"/>
  <c r="H24" i="8" l="1"/>
  <c r="I26" i="1"/>
  <c r="H25" i="8" l="1"/>
  <c r="I27" i="1"/>
  <c r="H26" i="8" l="1"/>
  <c r="I28" i="1"/>
  <c r="H27" i="8" l="1"/>
  <c r="I29" i="1"/>
  <c r="H28" i="8" l="1"/>
  <c r="I30" i="1"/>
  <c r="H29" i="8" l="1"/>
  <c r="I31" i="1"/>
  <c r="H30" i="8" l="1"/>
  <c r="I32" i="1"/>
  <c r="H31" i="8" l="1"/>
  <c r="I33" i="1"/>
  <c r="H32" i="8" l="1"/>
  <c r="I34" i="1"/>
  <c r="H33" i="8" l="1"/>
  <c r="I35" i="1"/>
  <c r="H34" i="8" l="1"/>
  <c r="I36" i="1"/>
  <c r="H35" i="8" l="1"/>
  <c r="I37" i="1"/>
  <c r="H36" i="8" l="1"/>
  <c r="I38" i="1"/>
  <c r="H37" i="8" l="1"/>
  <c r="I39" i="1"/>
  <c r="H38" i="8" l="1"/>
  <c r="I40" i="1"/>
  <c r="H39" i="8" l="1"/>
  <c r="I41" i="1"/>
  <c r="H40" i="8" l="1"/>
  <c r="I42" i="1"/>
  <c r="H41" i="8" l="1"/>
  <c r="I43" i="1"/>
  <c r="H42" i="8" l="1"/>
  <c r="I44" i="1"/>
  <c r="H43" i="8" l="1"/>
  <c r="I45" i="1"/>
  <c r="H44" i="8" l="1"/>
  <c r="I46" i="1"/>
  <c r="H45" i="8" l="1"/>
  <c r="I47" i="1"/>
  <c r="H46" i="8" l="1"/>
  <c r="I48" i="1"/>
  <c r="H47" i="8" l="1"/>
  <c r="I49" i="1"/>
  <c r="H48" i="8" l="1"/>
  <c r="I50" i="1"/>
  <c r="H49" i="8" l="1"/>
  <c r="I51" i="1"/>
  <c r="H50" i="8" l="1"/>
  <c r="I52" i="1"/>
  <c r="H51" i="8" l="1"/>
  <c r="I53" i="1"/>
  <c r="H52" i="8" l="1"/>
  <c r="I54" i="1"/>
  <c r="H53" i="8" l="1"/>
  <c r="I55" i="1"/>
  <c r="H54" i="8" l="1"/>
  <c r="I56" i="1"/>
  <c r="H55" i="8" l="1"/>
  <c r="I57" i="1"/>
  <c r="H56" i="8" l="1"/>
  <c r="I58" i="1"/>
  <c r="H57" i="8" l="1"/>
  <c r="I59" i="1"/>
  <c r="H58" i="8" l="1"/>
  <c r="I60" i="1"/>
  <c r="H59" i="8" l="1"/>
  <c r="I61" i="1"/>
  <c r="H60" i="8" l="1"/>
  <c r="I62" i="1"/>
  <c r="H61" i="8" l="1"/>
  <c r="I63" i="1"/>
  <c r="H62" i="8" l="1"/>
  <c r="I64" i="1"/>
  <c r="H63" i="8" l="1"/>
  <c r="I65" i="1"/>
  <c r="H64" i="8" s="1"/>
  <c r="H64" i="10" s="1"/>
  <c r="H63" i="10" l="1"/>
  <c r="H62" i="10" l="1"/>
  <c r="H61" i="10" l="1"/>
  <c r="H60" i="10" l="1"/>
  <c r="H59" i="10" l="1"/>
  <c r="H58" i="10" l="1"/>
  <c r="H57" i="10" l="1"/>
  <c r="H56" i="10" l="1"/>
  <c r="H55" i="10" l="1"/>
  <c r="H54" i="10" l="1"/>
  <c r="H53" i="10" l="1"/>
  <c r="H52" i="10" l="1"/>
  <c r="H51" i="10" l="1"/>
  <c r="H50" i="10" l="1"/>
  <c r="H49" i="10" l="1"/>
  <c r="H48" i="10" l="1"/>
  <c r="H47" i="10" l="1"/>
  <c r="H46" i="10" l="1"/>
  <c r="H45" i="10" l="1"/>
  <c r="H44" i="10" l="1"/>
  <c r="H43" i="10" l="1"/>
  <c r="H42" i="10" l="1"/>
  <c r="H41" i="10" l="1"/>
  <c r="H40" i="10" l="1"/>
  <c r="H39" i="10" l="1"/>
  <c r="H38" i="10" l="1"/>
  <c r="H37" i="10" l="1"/>
  <c r="H36" i="10" l="1"/>
  <c r="H35" i="10" l="1"/>
  <c r="H34" i="10" l="1"/>
  <c r="H33" i="10" l="1"/>
  <c r="H32" i="10" l="1"/>
  <c r="H31" i="10" l="1"/>
  <c r="H30" i="10" l="1"/>
  <c r="H29" i="10" l="1"/>
  <c r="H28" i="10" l="1"/>
  <c r="H27" i="10" l="1"/>
  <c r="H26" i="10" l="1"/>
  <c r="H25" i="10" l="1"/>
  <c r="H24" i="10" l="1"/>
  <c r="H23" i="10" l="1"/>
  <c r="H22" i="10" l="1"/>
  <c r="H21" i="10" l="1"/>
  <c r="H20" i="10" l="1"/>
  <c r="H19" i="10" l="1"/>
  <c r="H18" i="10" l="1"/>
  <c r="H17" i="10" l="1"/>
  <c r="H16" i="10" l="1"/>
  <c r="H15" i="10" l="1"/>
  <c r="H15" i="1" s="1"/>
  <c r="H16" i="1" s="1"/>
  <c r="H17" i="1" s="1"/>
  <c r="G16" i="8" l="1"/>
  <c r="H18" i="1"/>
  <c r="G17" i="8" l="1"/>
  <c r="H19" i="1"/>
  <c r="G18" i="8" l="1"/>
  <c r="H20" i="1"/>
  <c r="G19" i="8" l="1"/>
  <c r="H21" i="1"/>
  <c r="G20" i="8" l="1"/>
  <c r="H22" i="1"/>
  <c r="G21" i="8" l="1"/>
  <c r="H23" i="1"/>
  <c r="G22" i="8" l="1"/>
  <c r="H24" i="1"/>
  <c r="G23" i="8" l="1"/>
  <c r="H25" i="1"/>
  <c r="G24" i="8" l="1"/>
  <c r="H26" i="1"/>
  <c r="G25" i="8" l="1"/>
  <c r="H27" i="1"/>
  <c r="G26" i="8" l="1"/>
  <c r="H28" i="1"/>
  <c r="G27" i="8" l="1"/>
  <c r="H29" i="1"/>
  <c r="G28" i="8" l="1"/>
  <c r="H30" i="1"/>
  <c r="G29" i="8" l="1"/>
  <c r="H31" i="1"/>
  <c r="G30" i="8" l="1"/>
  <c r="H32" i="1"/>
  <c r="G31" i="8" l="1"/>
  <c r="H33" i="1"/>
  <c r="G32" i="8" l="1"/>
  <c r="H34" i="1"/>
  <c r="G33" i="8" l="1"/>
  <c r="H35" i="1"/>
  <c r="G34" i="8" l="1"/>
  <c r="H36" i="1"/>
  <c r="G35" i="8" l="1"/>
  <c r="H37" i="1"/>
  <c r="G36" i="8" l="1"/>
  <c r="H38" i="1"/>
  <c r="G37" i="8" l="1"/>
  <c r="H39" i="1"/>
  <c r="G38" i="8" l="1"/>
  <c r="H40" i="1"/>
  <c r="G39" i="8" l="1"/>
  <c r="H41" i="1"/>
  <c r="G40" i="8" l="1"/>
  <c r="H42" i="1"/>
  <c r="G41" i="8" l="1"/>
  <c r="H43" i="1"/>
  <c r="G42" i="8" l="1"/>
  <c r="H44" i="1"/>
  <c r="G43" i="8" l="1"/>
  <c r="H45" i="1"/>
  <c r="G44" i="8" l="1"/>
  <c r="H46" i="1"/>
  <c r="G45" i="8" l="1"/>
  <c r="H47" i="1"/>
  <c r="G46" i="8" l="1"/>
  <c r="H48" i="1"/>
  <c r="G47" i="8" l="1"/>
  <c r="H49" i="1"/>
  <c r="G48" i="8" l="1"/>
  <c r="H50" i="1"/>
  <c r="G49" i="8" l="1"/>
  <c r="H51" i="1"/>
  <c r="G50" i="8" l="1"/>
  <c r="H52" i="1"/>
  <c r="G51" i="8" l="1"/>
  <c r="H53" i="1"/>
  <c r="G52" i="8" l="1"/>
  <c r="H54" i="1"/>
  <c r="G53" i="8" l="1"/>
  <c r="H55" i="1"/>
  <c r="G54" i="8" l="1"/>
  <c r="H56" i="1"/>
  <c r="G55" i="8" l="1"/>
  <c r="H57" i="1"/>
  <c r="G56" i="8" l="1"/>
  <c r="H58" i="1"/>
  <c r="G57" i="8" l="1"/>
  <c r="H59" i="1"/>
  <c r="G58" i="8" l="1"/>
  <c r="H60" i="1"/>
  <c r="G59" i="8" l="1"/>
  <c r="H61" i="1"/>
  <c r="G60" i="8" l="1"/>
  <c r="H62" i="1"/>
  <c r="G61" i="8" l="1"/>
  <c r="H63" i="1"/>
  <c r="G62" i="8" l="1"/>
  <c r="H64" i="1"/>
  <c r="G63" i="8" l="1"/>
  <c r="H65" i="1"/>
  <c r="G64" i="8" s="1"/>
  <c r="G64" i="10" s="1"/>
  <c r="G63" i="10" l="1"/>
  <c r="G62" i="10" s="1"/>
  <c r="G61" i="10" s="1"/>
  <c r="G60" i="10" l="1"/>
  <c r="G59" i="10" l="1"/>
  <c r="G58" i="10" l="1"/>
  <c r="G57" i="10" l="1"/>
  <c r="G56" i="10" l="1"/>
  <c r="G55" i="10" l="1"/>
  <c r="G54" i="10" l="1"/>
  <c r="G53" i="10" l="1"/>
  <c r="G52" i="10" l="1"/>
  <c r="G51" i="10" l="1"/>
  <c r="G50" i="10" l="1"/>
  <c r="G49" i="10" l="1"/>
  <c r="G48" i="10" l="1"/>
  <c r="G47" i="10" l="1"/>
  <c r="G46" i="10" l="1"/>
  <c r="G45" i="10" l="1"/>
  <c r="G44" i="10" l="1"/>
  <c r="G43" i="10" l="1"/>
  <c r="G42" i="10" l="1"/>
  <c r="G41" i="10" l="1"/>
  <c r="G40" i="10" l="1"/>
  <c r="G39" i="10" l="1"/>
  <c r="G38" i="10" l="1"/>
  <c r="G37" i="10" l="1"/>
  <c r="G36" i="10" l="1"/>
  <c r="G35" i="10" l="1"/>
  <c r="G34" i="10" l="1"/>
  <c r="G33" i="10" l="1"/>
  <c r="G32" i="10" l="1"/>
  <c r="G31" i="10" l="1"/>
  <c r="G30" i="10" l="1"/>
  <c r="G29" i="10" l="1"/>
  <c r="G28" i="10" l="1"/>
  <c r="G27" i="10" l="1"/>
  <c r="G26" i="10" l="1"/>
  <c r="G25" i="10" l="1"/>
  <c r="G24" i="10" l="1"/>
  <c r="G23" i="10" l="1"/>
  <c r="G22" i="10" l="1"/>
  <c r="G21" i="10" l="1"/>
  <c r="G20" i="10" l="1"/>
  <c r="G19" i="10" l="1"/>
  <c r="G18" i="10" l="1"/>
  <c r="G17" i="10" l="1"/>
  <c r="G16" i="10" l="1"/>
  <c r="G15" i="10" l="1"/>
  <c r="G15" i="1" s="1"/>
  <c r="G16" i="1" s="1"/>
  <c r="G17" i="1" s="1"/>
  <c r="F16" i="8" l="1"/>
  <c r="G18" i="1"/>
  <c r="F17" i="8" l="1"/>
  <c r="G19" i="1"/>
  <c r="F18" i="8" l="1"/>
  <c r="G20" i="1"/>
  <c r="F19" i="8" l="1"/>
  <c r="G21" i="1"/>
  <c r="F20" i="8" l="1"/>
  <c r="G22" i="1"/>
  <c r="F21" i="8" l="1"/>
  <c r="G23" i="1"/>
  <c r="F22" i="8" l="1"/>
  <c r="G24" i="1"/>
  <c r="F23" i="8" l="1"/>
  <c r="G25" i="1"/>
  <c r="F24" i="8" l="1"/>
  <c r="G26" i="1"/>
  <c r="F25" i="8" l="1"/>
  <c r="G27" i="1"/>
  <c r="F26" i="8" l="1"/>
  <c r="G28" i="1"/>
  <c r="F27" i="8" l="1"/>
  <c r="G29" i="1"/>
  <c r="F28" i="8" l="1"/>
  <c r="G30" i="1"/>
  <c r="F29" i="8" l="1"/>
  <c r="G31" i="1"/>
  <c r="F30" i="8" l="1"/>
  <c r="G32" i="1"/>
  <c r="F31" i="8" l="1"/>
  <c r="G33" i="1"/>
  <c r="F32" i="8" l="1"/>
  <c r="G34" i="1"/>
  <c r="F33" i="8" l="1"/>
  <c r="G35" i="1"/>
  <c r="F34" i="8" l="1"/>
  <c r="G36" i="1"/>
  <c r="F35" i="8" l="1"/>
  <c r="G37" i="1"/>
  <c r="F36" i="8" l="1"/>
  <c r="G38" i="1"/>
  <c r="F37" i="8" l="1"/>
  <c r="G39" i="1"/>
  <c r="F38" i="8" l="1"/>
  <c r="G40" i="1"/>
  <c r="F39" i="8" l="1"/>
  <c r="G41" i="1"/>
  <c r="F40" i="8" l="1"/>
  <c r="G42" i="1"/>
  <c r="F41" i="8" l="1"/>
  <c r="G43" i="1"/>
  <c r="F42" i="8" l="1"/>
  <c r="G44" i="1"/>
  <c r="F43" i="8" l="1"/>
  <c r="G45" i="1"/>
  <c r="F44" i="8" l="1"/>
  <c r="G46" i="1"/>
  <c r="F45" i="8" l="1"/>
  <c r="G47" i="1"/>
  <c r="F46" i="8" l="1"/>
  <c r="G48" i="1"/>
  <c r="F47" i="8" l="1"/>
  <c r="G49" i="1"/>
  <c r="F48" i="8" l="1"/>
  <c r="G50" i="1"/>
  <c r="F49" i="8" l="1"/>
  <c r="G51" i="1"/>
  <c r="F50" i="8" l="1"/>
  <c r="G52" i="1"/>
  <c r="F51" i="8" l="1"/>
  <c r="G53" i="1"/>
  <c r="F52" i="8" l="1"/>
  <c r="G54" i="1"/>
  <c r="F53" i="8" l="1"/>
  <c r="G55" i="1"/>
  <c r="F54" i="8" l="1"/>
  <c r="G56" i="1"/>
  <c r="F55" i="8" l="1"/>
  <c r="G57" i="1"/>
  <c r="F56" i="8" l="1"/>
  <c r="G58" i="1"/>
  <c r="F57" i="8" l="1"/>
  <c r="G59" i="1"/>
  <c r="F58" i="8" l="1"/>
  <c r="G60" i="1"/>
  <c r="F59" i="8" l="1"/>
  <c r="G61" i="1"/>
  <c r="F60" i="8" l="1"/>
  <c r="G62" i="1"/>
  <c r="F61" i="8" l="1"/>
  <c r="G63" i="1"/>
  <c r="F62" i="8" l="1"/>
  <c r="G64" i="1"/>
  <c r="F63" i="8" l="1"/>
  <c r="G65" i="1"/>
  <c r="F64" i="8" s="1"/>
  <c r="F64" i="10" s="1"/>
  <c r="F63" i="10" l="1"/>
  <c r="F62" i="10" l="1"/>
  <c r="F61" i="10" l="1"/>
  <c r="F60" i="10" l="1"/>
  <c r="F59" i="10" l="1"/>
  <c r="F58" i="10" l="1"/>
  <c r="F57" i="10" l="1"/>
  <c r="F56" i="10" l="1"/>
  <c r="F55" i="10" l="1"/>
  <c r="F54" i="10" l="1"/>
  <c r="F53" i="10" l="1"/>
  <c r="F52" i="10" l="1"/>
  <c r="F51" i="10" l="1"/>
  <c r="F50" i="10" l="1"/>
  <c r="F49" i="10" l="1"/>
  <c r="F48" i="10" l="1"/>
  <c r="F47" i="10" l="1"/>
  <c r="F46" i="10" l="1"/>
  <c r="F45" i="10" l="1"/>
  <c r="F44" i="10" l="1"/>
  <c r="F43" i="10" l="1"/>
  <c r="F42" i="10" l="1"/>
  <c r="F41" i="10" l="1"/>
  <c r="F40" i="10" l="1"/>
  <c r="F39" i="10" l="1"/>
  <c r="F38" i="10" l="1"/>
  <c r="F37" i="10" l="1"/>
  <c r="F36" i="10" l="1"/>
  <c r="F35" i="10" l="1"/>
  <c r="F34" i="10" l="1"/>
  <c r="F33" i="10" l="1"/>
  <c r="F32" i="10" l="1"/>
  <c r="F31" i="10" l="1"/>
  <c r="F30" i="10" l="1"/>
  <c r="F29" i="10" l="1"/>
  <c r="F28" i="10" l="1"/>
  <c r="F27" i="10" l="1"/>
  <c r="F26" i="10" l="1"/>
  <c r="F25" i="10" l="1"/>
  <c r="F24" i="10" l="1"/>
  <c r="F23" i="10" l="1"/>
  <c r="F22" i="10" l="1"/>
  <c r="F21" i="10" l="1"/>
  <c r="F20" i="10" l="1"/>
  <c r="F19" i="10" l="1"/>
  <c r="F18" i="10" l="1"/>
  <c r="F17" i="10" l="1"/>
  <c r="F16" i="10" l="1"/>
  <c r="F15" i="10" l="1"/>
  <c r="F15" i="1" s="1"/>
  <c r="F16" i="1" s="1"/>
  <c r="F17" i="1" s="1"/>
  <c r="E16" i="8" l="1"/>
  <c r="F18" i="1"/>
  <c r="E17" i="8" l="1"/>
  <c r="F19" i="1"/>
  <c r="E18" i="8" l="1"/>
  <c r="F20" i="1"/>
  <c r="E19" i="8" l="1"/>
  <c r="F21" i="1"/>
  <c r="E20" i="8" l="1"/>
  <c r="F22" i="1"/>
  <c r="E21" i="8" l="1"/>
  <c r="F23" i="1"/>
  <c r="E22" i="8" l="1"/>
  <c r="F24" i="1"/>
  <c r="E23" i="8" l="1"/>
  <c r="F25" i="1"/>
  <c r="E24" i="8" l="1"/>
  <c r="F26" i="1"/>
  <c r="E25" i="8" l="1"/>
  <c r="F27" i="1"/>
  <c r="E26" i="8" l="1"/>
  <c r="F28" i="1"/>
  <c r="E27" i="8" l="1"/>
  <c r="F29" i="1"/>
  <c r="E28" i="8" l="1"/>
  <c r="F30" i="1"/>
  <c r="E29" i="8" l="1"/>
  <c r="F31" i="1"/>
  <c r="E30" i="8" l="1"/>
  <c r="F32" i="1"/>
  <c r="E31" i="8" l="1"/>
  <c r="F33" i="1"/>
  <c r="E32" i="8" l="1"/>
  <c r="F34" i="1"/>
  <c r="E33" i="8" l="1"/>
  <c r="F35" i="1"/>
  <c r="E34" i="8" l="1"/>
  <c r="F36" i="1"/>
  <c r="E35" i="8" l="1"/>
  <c r="F37" i="1"/>
  <c r="E36" i="8" l="1"/>
  <c r="F38" i="1"/>
  <c r="E37" i="8" l="1"/>
  <c r="F39" i="1"/>
  <c r="E38" i="8" l="1"/>
  <c r="F40" i="1"/>
  <c r="E39" i="8" l="1"/>
  <c r="F41" i="1"/>
  <c r="E40" i="8" l="1"/>
  <c r="F42" i="1"/>
  <c r="E41" i="8" l="1"/>
  <c r="F43" i="1"/>
  <c r="E42" i="8" l="1"/>
  <c r="F44" i="1"/>
  <c r="E43" i="8" l="1"/>
  <c r="F45" i="1"/>
  <c r="E44" i="8" l="1"/>
  <c r="F46" i="1"/>
  <c r="E45" i="8" l="1"/>
  <c r="F47" i="1"/>
  <c r="E46" i="8" l="1"/>
  <c r="F48" i="1"/>
  <c r="E47" i="8" l="1"/>
  <c r="F49" i="1"/>
  <c r="E48" i="8" l="1"/>
  <c r="F50" i="1"/>
  <c r="E49" i="8" l="1"/>
  <c r="F51" i="1"/>
  <c r="E50" i="8" l="1"/>
  <c r="F52" i="1"/>
  <c r="E51" i="8" l="1"/>
  <c r="F53" i="1"/>
  <c r="E52" i="8" l="1"/>
  <c r="F54" i="1"/>
  <c r="E53" i="8" l="1"/>
  <c r="F55" i="1"/>
  <c r="E54" i="8" l="1"/>
  <c r="F56" i="1"/>
  <c r="E55" i="8" l="1"/>
  <c r="F57" i="1"/>
  <c r="E56" i="8" l="1"/>
  <c r="F58" i="1"/>
  <c r="E57" i="8" l="1"/>
  <c r="F59" i="1"/>
  <c r="E58" i="8" l="1"/>
  <c r="F60" i="1"/>
  <c r="E59" i="8" l="1"/>
  <c r="F61" i="1"/>
  <c r="E60" i="8" l="1"/>
  <c r="F62" i="1"/>
  <c r="E61" i="8" l="1"/>
  <c r="F63" i="1"/>
  <c r="E62" i="8" l="1"/>
  <c r="F64" i="1"/>
  <c r="E63" i="8" l="1"/>
  <c r="F65" i="1"/>
  <c r="E64" i="8" s="1"/>
  <c r="E64" i="10" s="1"/>
  <c r="E63" i="10" l="1"/>
  <c r="E62" i="10" l="1"/>
  <c r="E61" i="10" l="1"/>
  <c r="E60" i="10" l="1"/>
  <c r="E59" i="10" l="1"/>
  <c r="E58" i="10" l="1"/>
  <c r="E57" i="10" l="1"/>
  <c r="E56" i="10" l="1"/>
  <c r="E55" i="10" l="1"/>
  <c r="E54" i="10" l="1"/>
  <c r="E53" i="10" l="1"/>
  <c r="E52" i="10" l="1"/>
  <c r="E51" i="10" l="1"/>
  <c r="E50" i="10" l="1"/>
  <c r="E49" i="10" l="1"/>
  <c r="E48" i="10" l="1"/>
  <c r="E47" i="10" l="1"/>
  <c r="E46" i="10" l="1"/>
  <c r="E45" i="10" l="1"/>
  <c r="E44" i="10" l="1"/>
  <c r="E43" i="10" l="1"/>
  <c r="E42" i="10" l="1"/>
  <c r="E41" i="10" l="1"/>
  <c r="E40" i="10" l="1"/>
  <c r="E39" i="10" l="1"/>
  <c r="E38" i="10" l="1"/>
  <c r="E37" i="10" l="1"/>
  <c r="E36" i="10" l="1"/>
  <c r="E35" i="10" l="1"/>
  <c r="E34" i="10" l="1"/>
  <c r="E33" i="10" l="1"/>
  <c r="E32" i="10" l="1"/>
  <c r="E31" i="10" l="1"/>
  <c r="E30" i="10" l="1"/>
  <c r="E29" i="10" l="1"/>
  <c r="E28" i="10" l="1"/>
  <c r="E27" i="10" l="1"/>
  <c r="E26" i="10" l="1"/>
  <c r="E25" i="10" l="1"/>
  <c r="E24" i="10" l="1"/>
  <c r="E23" i="10" l="1"/>
  <c r="E22" i="10" l="1"/>
  <c r="E21" i="10" l="1"/>
  <c r="E20" i="10" l="1"/>
  <c r="E19" i="10" l="1"/>
  <c r="E18" i="10" l="1"/>
  <c r="E17" i="10" l="1"/>
  <c r="E16" i="10" l="1"/>
  <c r="E15" i="10" l="1"/>
  <c r="E15" i="1" s="1"/>
  <c r="E16" i="1" s="1"/>
  <c r="E17" i="1" s="1"/>
  <c r="D16" i="8" l="1"/>
  <c r="E18" i="1"/>
  <c r="D17" i="8" l="1"/>
  <c r="E19" i="1"/>
  <c r="D18" i="8" l="1"/>
  <c r="E20" i="1"/>
  <c r="D19" i="8" l="1"/>
  <c r="E21" i="1"/>
  <c r="D20" i="8" l="1"/>
  <c r="E22" i="1"/>
  <c r="D21" i="8" l="1"/>
  <c r="E23" i="1"/>
  <c r="D22" i="8" l="1"/>
  <c r="E24" i="1"/>
  <c r="D23" i="8" l="1"/>
  <c r="E25" i="1"/>
  <c r="D24" i="8" l="1"/>
  <c r="E26" i="1"/>
  <c r="D25" i="8" l="1"/>
  <c r="E27" i="1"/>
  <c r="D26" i="8" l="1"/>
  <c r="E28" i="1"/>
  <c r="D27" i="8" l="1"/>
  <c r="E29" i="1"/>
  <c r="D28" i="8" l="1"/>
  <c r="E30" i="1"/>
  <c r="D29" i="8" l="1"/>
  <c r="E31" i="1"/>
  <c r="D30" i="8" l="1"/>
  <c r="E32" i="1"/>
  <c r="D31" i="8" l="1"/>
  <c r="E33" i="1"/>
  <c r="D32" i="8" l="1"/>
  <c r="E34" i="1"/>
  <c r="D33" i="8" l="1"/>
  <c r="E35" i="1"/>
  <c r="D34" i="8" l="1"/>
  <c r="E36" i="1"/>
  <c r="D35" i="8" l="1"/>
  <c r="E37" i="1"/>
  <c r="D36" i="8" l="1"/>
  <c r="E38" i="1"/>
  <c r="D37" i="8" l="1"/>
  <c r="E39" i="1"/>
  <c r="D38" i="8" l="1"/>
  <c r="E40" i="1"/>
  <c r="D39" i="8" l="1"/>
  <c r="E41" i="1"/>
  <c r="D40" i="8" l="1"/>
  <c r="E42" i="1"/>
  <c r="D41" i="8" l="1"/>
  <c r="E43" i="1"/>
  <c r="D42" i="8" l="1"/>
  <c r="E44" i="1"/>
  <c r="D43" i="8" l="1"/>
  <c r="E45" i="1"/>
  <c r="D44" i="8" l="1"/>
  <c r="E46" i="1"/>
  <c r="D45" i="8" l="1"/>
  <c r="E47" i="1"/>
  <c r="D46" i="8" l="1"/>
  <c r="E48" i="1"/>
  <c r="D47" i="8" l="1"/>
  <c r="E49" i="1"/>
  <c r="D48" i="8" l="1"/>
  <c r="E50" i="1"/>
  <c r="D49" i="8" l="1"/>
  <c r="E51" i="1"/>
  <c r="D50" i="8" l="1"/>
  <c r="E52" i="1"/>
  <c r="D51" i="8" l="1"/>
  <c r="E53" i="1"/>
  <c r="D52" i="8" l="1"/>
  <c r="E54" i="1"/>
  <c r="D53" i="8" l="1"/>
  <c r="E55" i="1"/>
  <c r="D54" i="8" l="1"/>
  <c r="E56" i="1"/>
  <c r="D55" i="8" l="1"/>
  <c r="E57" i="1"/>
  <c r="D56" i="8" l="1"/>
  <c r="E58" i="1"/>
  <c r="D57" i="8" l="1"/>
  <c r="E59" i="1"/>
  <c r="D58" i="8" l="1"/>
  <c r="E60" i="1"/>
  <c r="D59" i="8" l="1"/>
  <c r="E61" i="1"/>
  <c r="D60" i="8" l="1"/>
  <c r="E62" i="1"/>
  <c r="D61" i="8" l="1"/>
  <c r="E63" i="1"/>
  <c r="D62" i="8" l="1"/>
  <c r="E64" i="1"/>
  <c r="E65" i="1" l="1"/>
  <c r="D64" i="8" s="1"/>
  <c r="D64" i="10" s="1"/>
  <c r="D63" i="8"/>
  <c r="D63" i="10" s="1"/>
  <c r="D62" i="10" s="1"/>
  <c r="D61" i="10" l="1"/>
  <c r="D60" i="10" l="1"/>
  <c r="D59" i="10" l="1"/>
  <c r="D58" i="10" l="1"/>
  <c r="D57" i="10" l="1"/>
  <c r="D56" i="10" l="1"/>
  <c r="D55" i="10" l="1"/>
  <c r="D54" i="10" l="1"/>
  <c r="D53" i="10" l="1"/>
  <c r="D52" i="10" l="1"/>
  <c r="D51" i="10" l="1"/>
  <c r="D50" i="10" l="1"/>
  <c r="D49" i="10" l="1"/>
  <c r="D48" i="10" l="1"/>
  <c r="D47" i="10" l="1"/>
  <c r="D46" i="10" l="1"/>
  <c r="D45" i="10" l="1"/>
  <c r="D44" i="10" l="1"/>
  <c r="D43" i="10" l="1"/>
  <c r="D42" i="10" l="1"/>
  <c r="D41" i="10" l="1"/>
  <c r="D40" i="10" l="1"/>
  <c r="D39" i="10" l="1"/>
  <c r="D38" i="10" l="1"/>
  <c r="D37" i="10" l="1"/>
  <c r="D36" i="10" l="1"/>
  <c r="D35" i="10" l="1"/>
  <c r="D34" i="10" l="1"/>
  <c r="D33" i="10" l="1"/>
  <c r="D32" i="10" l="1"/>
  <c r="D31" i="10" l="1"/>
  <c r="D30" i="10" l="1"/>
  <c r="D29" i="10" l="1"/>
  <c r="D28" i="10" l="1"/>
  <c r="D27" i="10" l="1"/>
  <c r="D26" i="10" l="1"/>
  <c r="D25" i="10" l="1"/>
  <c r="D24" i="10" l="1"/>
  <c r="D23" i="10" l="1"/>
  <c r="D22" i="10" l="1"/>
  <c r="D21" i="10" l="1"/>
  <c r="D20" i="10" l="1"/>
  <c r="D19" i="10" l="1"/>
  <c r="D18" i="10" l="1"/>
  <c r="D17" i="10" l="1"/>
  <c r="D16" i="10" l="1"/>
  <c r="D15" i="10" l="1"/>
  <c r="D15" i="1" s="1"/>
  <c r="D16" i="1" s="1"/>
  <c r="D17" i="1" s="1"/>
  <c r="C16" i="8" l="1"/>
  <c r="D18" i="1"/>
  <c r="C17" i="8" l="1"/>
  <c r="D19" i="1"/>
  <c r="C18" i="8" l="1"/>
  <c r="D20" i="1"/>
  <c r="C19" i="8" l="1"/>
  <c r="D21" i="1"/>
  <c r="C20" i="8" l="1"/>
  <c r="D22" i="1"/>
  <c r="C21" i="8" l="1"/>
  <c r="D23" i="1"/>
  <c r="C22" i="8" l="1"/>
  <c r="D24" i="1"/>
  <c r="C23" i="8" l="1"/>
  <c r="D25" i="1"/>
  <c r="C24" i="8" l="1"/>
  <c r="D26" i="1"/>
  <c r="C25" i="8" l="1"/>
  <c r="D27" i="1"/>
  <c r="C26" i="8" l="1"/>
  <c r="D28" i="1"/>
  <c r="C27" i="8" l="1"/>
  <c r="D29" i="1"/>
  <c r="C28" i="8" l="1"/>
  <c r="D30" i="1"/>
  <c r="C29" i="8" l="1"/>
  <c r="D31" i="1"/>
  <c r="C30" i="8" l="1"/>
  <c r="D32" i="1"/>
  <c r="C31" i="8" l="1"/>
  <c r="D33" i="1"/>
  <c r="C32" i="8" l="1"/>
  <c r="D34" i="1"/>
  <c r="C33" i="8" l="1"/>
  <c r="D35" i="1"/>
  <c r="C34" i="8" l="1"/>
  <c r="D36" i="1"/>
  <c r="C35" i="8" l="1"/>
  <c r="D37" i="1"/>
  <c r="C36" i="8" l="1"/>
  <c r="D38" i="1"/>
  <c r="C37" i="8" l="1"/>
  <c r="D39" i="1"/>
  <c r="C38" i="8" l="1"/>
  <c r="D40" i="1"/>
  <c r="C39" i="8" l="1"/>
  <c r="D41" i="1"/>
  <c r="C40" i="8" l="1"/>
  <c r="D42" i="1"/>
  <c r="C41" i="8" l="1"/>
  <c r="D43" i="1"/>
  <c r="C42" i="8" l="1"/>
  <c r="D44" i="1"/>
  <c r="C43" i="8" l="1"/>
  <c r="D45" i="1"/>
  <c r="C44" i="8" l="1"/>
  <c r="D46" i="1"/>
  <c r="C45" i="8" l="1"/>
  <c r="D47" i="1"/>
  <c r="C46" i="8" l="1"/>
  <c r="D48" i="1"/>
  <c r="C47" i="8" l="1"/>
  <c r="D49" i="1"/>
  <c r="C48" i="8" l="1"/>
  <c r="D50" i="1"/>
  <c r="C49" i="8" l="1"/>
  <c r="D51" i="1"/>
  <c r="C50" i="8" l="1"/>
  <c r="D52" i="1"/>
  <c r="C51" i="8" l="1"/>
  <c r="D53" i="1"/>
  <c r="C52" i="8" l="1"/>
  <c r="D54" i="1"/>
  <c r="C53" i="8" l="1"/>
  <c r="D55" i="1"/>
  <c r="C54" i="8" l="1"/>
  <c r="D56" i="1"/>
  <c r="C55" i="8" l="1"/>
  <c r="D57" i="1"/>
  <c r="C56" i="8" l="1"/>
  <c r="D58" i="1"/>
  <c r="C57" i="8" l="1"/>
  <c r="D59" i="1"/>
  <c r="C58" i="8" l="1"/>
  <c r="D60" i="1"/>
  <c r="C59" i="8" l="1"/>
  <c r="D61" i="1"/>
  <c r="C60" i="8" l="1"/>
  <c r="D62" i="1"/>
  <c r="C61" i="8" l="1"/>
  <c r="D63" i="1"/>
  <c r="C62" i="8" l="1"/>
  <c r="D64" i="1"/>
  <c r="D65" i="1" l="1"/>
  <c r="C64" i="8" s="1"/>
  <c r="C64" i="10" s="1"/>
  <c r="C63" i="8"/>
  <c r="C63" i="10" l="1"/>
  <c r="C62" i="10" s="1"/>
  <c r="C61" i="10" s="1"/>
  <c r="C60" i="10" l="1"/>
  <c r="C59" i="10" l="1"/>
  <c r="C58" i="10" l="1"/>
  <c r="C57" i="10" l="1"/>
  <c r="C56" i="10" l="1"/>
  <c r="C55" i="10" l="1"/>
  <c r="C54" i="10" l="1"/>
  <c r="C53" i="10" l="1"/>
  <c r="C52" i="10" l="1"/>
  <c r="C51" i="10" l="1"/>
  <c r="C50" i="10" l="1"/>
  <c r="C49" i="10" l="1"/>
  <c r="C48" i="10" l="1"/>
  <c r="C47" i="10" l="1"/>
  <c r="C46" i="10" l="1"/>
  <c r="C45" i="10" l="1"/>
  <c r="C44" i="10" l="1"/>
  <c r="C43" i="10" l="1"/>
  <c r="C42" i="10" l="1"/>
  <c r="C41" i="10" l="1"/>
  <c r="C40" i="10" l="1"/>
  <c r="C39" i="10" l="1"/>
  <c r="C38" i="10" l="1"/>
  <c r="C37" i="10" l="1"/>
  <c r="C36" i="10" l="1"/>
  <c r="C35" i="10" l="1"/>
  <c r="C34" i="10" l="1"/>
  <c r="C33" i="10" l="1"/>
  <c r="C32" i="10" l="1"/>
  <c r="C31" i="10" l="1"/>
  <c r="C30" i="10" l="1"/>
  <c r="C29" i="10" l="1"/>
  <c r="C28" i="10" l="1"/>
  <c r="C27" i="10" l="1"/>
  <c r="C26" i="10" l="1"/>
  <c r="C25" i="10" l="1"/>
  <c r="C24" i="10" l="1"/>
  <c r="C23" i="10" l="1"/>
  <c r="C22" i="10" l="1"/>
  <c r="C21" i="10" l="1"/>
  <c r="C20" i="10" l="1"/>
  <c r="C19" i="10" l="1"/>
  <c r="C18" i="10" l="1"/>
  <c r="C17" i="10" l="1"/>
  <c r="C16" i="10" l="1"/>
  <c r="C15" i="10" l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F3" i="1" l="1"/>
  <c r="F10" i="1" s="1"/>
  <c r="C46" i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</calcChain>
</file>

<file path=xl/sharedStrings.xml><?xml version="1.0" encoding="utf-8"?>
<sst xmlns="http://schemas.openxmlformats.org/spreadsheetml/2006/main" count="60" uniqueCount="28">
  <si>
    <t>d</t>
  </si>
  <si>
    <t>sigma</t>
  </si>
  <si>
    <t>T</t>
  </si>
  <si>
    <t>Time</t>
  </si>
  <si>
    <t>Period</t>
  </si>
  <si>
    <t>Smax</t>
  </si>
  <si>
    <t>Smin</t>
  </si>
  <si>
    <t>dS</t>
  </si>
  <si>
    <t>dt</t>
  </si>
  <si>
    <t>S0</t>
  </si>
  <si>
    <t>r</t>
  </si>
  <si>
    <t>Stock price</t>
  </si>
  <si>
    <t>Stock price count</t>
  </si>
  <si>
    <t xml:space="preserve">K </t>
  </si>
  <si>
    <t>BS check</t>
  </si>
  <si>
    <t xml:space="preserve">Error </t>
  </si>
  <si>
    <t>Value</t>
  </si>
  <si>
    <t>V</t>
  </si>
  <si>
    <t>Lambda</t>
  </si>
  <si>
    <t>BS</t>
  </si>
  <si>
    <t>Error</t>
  </si>
  <si>
    <t>K = 39</t>
  </si>
  <si>
    <t>K = 40</t>
  </si>
  <si>
    <t>jmax min</t>
  </si>
  <si>
    <t>jmax max</t>
  </si>
  <si>
    <t>jmax step</t>
  </si>
  <si>
    <t>imax</t>
  </si>
  <si>
    <t>jmax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</si>
</sst>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Alignment="1">
      <alignment horizontal="right"/>
    </xf>
    <xf numFmtId="0" fontId="0" fillId="2" borderId="0" xfId="0" applyFill="1"/>
    <xf numFmtId="0" fontId="0" fillId="0" borderId="4" xfId="0" applyBorder="1"/>
    <xf numFmtId="0" fontId="0" fillId="3" borderId="4" xfId="0" applyFill="1" applyBorder="1"/>
    <xf numFmtId="10" fontId="0" fillId="3" borderId="4" xfId="0" applyNumberFormat="1" applyFill="1" applyBorder="1"/>
    <xf numFmtId="0" fontId="2" fillId="0" borderId="0" xfId="0" applyFont="1"/>
    <xf numFmtId="0" fontId="2" fillId="0" borderId="4" xfId="0" applyFont="1" applyBorder="1"/>
    <xf numFmtId="0" fontId="2" fillId="3" borderId="4" xfId="0" applyFont="1" applyFill="1" applyBorder="1"/>
    <xf numFmtId="1" fontId="2" fillId="0" borderId="4" xfId="0" applyNumberFormat="1" applyFont="1" applyBorder="1"/>
    <xf numFmtId="0" fontId="2" fillId="0" borderId="0" xfId="0" applyFont="1" applyBorder="1"/>
    <xf numFmtId="0" fontId="0" fillId="4" borderId="0" xfId="0" applyFill="1"/>
    <xf numFmtId="1" fontId="0" fillId="4" borderId="2" xfId="0" applyNumberFormat="1" applyFill="1" applyBorder="1"/>
    <xf numFmtId="0" fontId="0" fillId="4" borderId="1" xfId="0" applyFill="1" applyBorder="1"/>
    <xf numFmtId="0" fontId="0" fillId="4" borderId="3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1" xfId="0" applyFill="1" applyBorder="1" applyAlignment="1">
      <alignment horizontal="right"/>
    </xf>
    <xf numFmtId="0" fontId="0" fillId="5" borderId="0" xfId="0" applyFill="1"/>
    <xf numFmtId="0" fontId="2" fillId="6" borderId="0" xfId="0" applyFont="1" applyFill="1"/>
    <xf numFmtId="0" fontId="0" fillId="7" borderId="5" xfId="0" applyFill="1" applyBorder="1"/>
    <xf numFmtId="0" fontId="3" fillId="0" borderId="0" xfId="0" applyFont="1"/>
    <xf numFmtId="0" fontId="0" fillId="0" borderId="0" xfId="0" applyFill="1"/>
    <xf numFmtId="1" fontId="2" fillId="0" borderId="0" xfId="0" applyNumberFormat="1" applyFont="1" applyBorder="1"/>
    <xf numFmtId="0" fontId="2" fillId="0" borderId="0" xfId="0" applyFont="1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5796150481189"/>
          <c:y val="7.4548702245552642E-2"/>
          <c:w val="0.84115048118985125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VBA!$M$2:$M$6</c:f>
              <c:numCache>
                <c:formatCode>General</c:formatCode>
                <c:ptCount val="5"/>
                <c:pt idx="0">
                  <c:v>50</c:v>
                </c:pt>
                <c:pt idx="1">
                  <c:v>150</c:v>
                </c:pt>
                <c:pt idx="2">
                  <c:v>250</c:v>
                </c:pt>
                <c:pt idx="3">
                  <c:v>350</c:v>
                </c:pt>
                <c:pt idx="4">
                  <c:v>450</c:v>
                </c:pt>
              </c:numCache>
            </c:numRef>
          </c:xVal>
          <c:yVal>
            <c:numRef>
              <c:f>VBA!$Q$2:$Q$6</c:f>
              <c:numCache>
                <c:formatCode>General</c:formatCode>
                <c:ptCount val="5"/>
                <c:pt idx="0">
                  <c:v>9.1710424666091583E-4</c:v>
                </c:pt>
                <c:pt idx="1">
                  <c:v>1.0632801952681348E-4</c:v>
                </c:pt>
                <c:pt idx="2">
                  <c:v>3.8345326708544292E-5</c:v>
                </c:pt>
                <c:pt idx="3">
                  <c:v>1.9546643855505863E-5</c:v>
                </c:pt>
                <c:pt idx="4">
                  <c:v>1.1802058000665028E-5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39-43FA-BE56-34A9256D0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57344"/>
        <c:axId val="166872192"/>
      </c:scatterChart>
      <c:valAx>
        <c:axId val="14685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6872192"/>
        <c:crosses val="autoZero"/>
        <c:crossBetween val="midCat"/>
      </c:valAx>
      <c:valAx>
        <c:axId val="16687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685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5796150481189"/>
          <c:y val="7.4548702245552642E-2"/>
          <c:w val="0.84115048118985125"/>
          <c:h val="0.832619568387284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VBA!$E$2:$E$25</c:f>
              <c:numCache>
                <c:formatCode>General</c:formatCode>
                <c:ptCount val="24"/>
                <c:pt idx="0">
                  <c:v>40</c:v>
                </c:pt>
                <c:pt idx="1">
                  <c:v>60</c:v>
                </c:pt>
                <c:pt idx="2">
                  <c:v>80</c:v>
                </c:pt>
                <c:pt idx="3">
                  <c:v>100</c:v>
                </c:pt>
                <c:pt idx="4">
                  <c:v>120</c:v>
                </c:pt>
                <c:pt idx="5">
                  <c:v>140</c:v>
                </c:pt>
                <c:pt idx="6">
                  <c:v>160</c:v>
                </c:pt>
                <c:pt idx="7">
                  <c:v>180</c:v>
                </c:pt>
                <c:pt idx="8">
                  <c:v>200</c:v>
                </c:pt>
                <c:pt idx="9">
                  <c:v>220</c:v>
                </c:pt>
                <c:pt idx="10">
                  <c:v>240</c:v>
                </c:pt>
                <c:pt idx="11">
                  <c:v>260</c:v>
                </c:pt>
                <c:pt idx="12">
                  <c:v>280</c:v>
                </c:pt>
                <c:pt idx="13">
                  <c:v>300</c:v>
                </c:pt>
                <c:pt idx="14">
                  <c:v>320</c:v>
                </c:pt>
                <c:pt idx="15">
                  <c:v>340</c:v>
                </c:pt>
                <c:pt idx="16">
                  <c:v>360</c:v>
                </c:pt>
                <c:pt idx="17">
                  <c:v>380</c:v>
                </c:pt>
                <c:pt idx="18">
                  <c:v>400</c:v>
                </c:pt>
                <c:pt idx="19">
                  <c:v>420</c:v>
                </c:pt>
                <c:pt idx="20">
                  <c:v>440</c:v>
                </c:pt>
                <c:pt idx="21">
                  <c:v>460</c:v>
                </c:pt>
                <c:pt idx="22">
                  <c:v>480</c:v>
                </c:pt>
                <c:pt idx="23">
                  <c:v>500</c:v>
                </c:pt>
              </c:numCache>
            </c:numRef>
          </c:xVal>
          <c:yVal>
            <c:numRef>
              <c:f>VBA!$I$2:$I$25</c:f>
              <c:numCache>
                <c:formatCode>General</c:formatCode>
                <c:ptCount val="24"/>
                <c:pt idx="0">
                  <c:v>5.7375383213594144E-2</c:v>
                </c:pt>
                <c:pt idx="1">
                  <c:v>2.4891260746062738E-2</c:v>
                </c:pt>
                <c:pt idx="2">
                  <c:v>1.3895355922838082E-2</c:v>
                </c:pt>
                <c:pt idx="3">
                  <c:v>8.8628058950552813E-3</c:v>
                </c:pt>
                <c:pt idx="4">
                  <c:v>6.143515445327985E-3</c:v>
                </c:pt>
                <c:pt idx="5">
                  <c:v>4.5086761855928081E-3</c:v>
                </c:pt>
                <c:pt idx="6">
                  <c:v>3.4495143256894067E-3</c:v>
                </c:pt>
                <c:pt idx="7">
                  <c:v>2.7242193246870272E-3</c:v>
                </c:pt>
                <c:pt idx="8">
                  <c:v>2.2058484925135957E-3</c:v>
                </c:pt>
                <c:pt idx="9">
                  <c:v>1.822541857999127E-3</c:v>
                </c:pt>
                <c:pt idx="10">
                  <c:v>1.5311358752789772E-3</c:v>
                </c:pt>
                <c:pt idx="11">
                  <c:v>1.3044311531387187E-3</c:v>
                </c:pt>
                <c:pt idx="12">
                  <c:v>1.1245961849533082E-3</c:v>
                </c:pt>
                <c:pt idx="13">
                  <c:v>9.7954561184643296E-4</c:v>
                </c:pt>
                <c:pt idx="14">
                  <c:v>8.608529949549748E-4</c:v>
                </c:pt>
                <c:pt idx="15">
                  <c:v>7.6249753244184149E-4</c:v>
                </c:pt>
                <c:pt idx="16">
                  <c:v>6.8008451601819786E-4</c:v>
                </c:pt>
                <c:pt idx="17">
                  <c:v>6.1034537392234967E-4</c:v>
                </c:pt>
                <c:pt idx="18">
                  <c:v>5.5080829442433199E-4</c:v>
                </c:pt>
                <c:pt idx="19">
                  <c:v>4.9957601081507264E-4</c:v>
                </c:pt>
                <c:pt idx="20">
                  <c:v>4.5517267462935607E-4</c:v>
                </c:pt>
                <c:pt idx="21">
                  <c:v>4.1643631426557803E-4</c:v>
                </c:pt>
                <c:pt idx="22">
                  <c:v>3.8244200285708629E-4</c:v>
                </c:pt>
                <c:pt idx="23">
                  <c:v>3.5244610683804467E-4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6C-4655-9B20-D56D39BB4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6784"/>
        <c:axId val="166904960"/>
      </c:scatterChart>
      <c:valAx>
        <c:axId val="16688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6904960"/>
        <c:crosses val="autoZero"/>
        <c:crossBetween val="midCat"/>
      </c:valAx>
      <c:valAx>
        <c:axId val="16690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88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9</xdr:row>
      <xdr:rowOff>0</xdr:rowOff>
    </xdr:from>
    <xdr:to>
      <xdr:col>18</xdr:col>
      <xdr:colOff>323850</xdr:colOff>
      <xdr:row>25</xdr:row>
      <xdr:rowOff>152400</xdr:rowOff>
    </xdr:to>
    <xdr:graphicFrame macro="">
      <xdr:nvGraphicFramePr>
        <xdr:cNvPr id="30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28</xdr:row>
      <xdr:rowOff>9525</xdr:rowOff>
    </xdr:from>
    <xdr:to>
      <xdr:col>10</xdr:col>
      <xdr:colOff>314325</xdr:colOff>
      <xdr:row>45</xdr:row>
      <xdr:rowOff>0</xdr:rowOff>
    </xdr:to>
    <xdr:graphicFrame macro="">
      <xdr:nvGraphicFramePr>
        <xdr:cNvPr id="307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A67"/>
  <sheetViews>
    <sheetView topLeftCell="AB34" workbookViewId="0">
      <selection activeCell="AZ15" sqref="AZ15"/>
    </sheetView>
  </sheetViews>
  <sheetFormatPr defaultColWidth="8.85546875" defaultRowHeight="12.75" x14ac:dyDescent="0.2"/>
  <cols>
    <col min="1" max="1" width="15.28515625" bestFit="1" customWidth="1"/>
    <col min="2" max="2" width="9.42578125" bestFit="1" customWidth="1"/>
    <col min="3" max="3" width="9.42578125" customWidth="1"/>
    <col min="6" max="6" width="10.7109375" customWidth="1"/>
  </cols>
  <sheetData>
    <row r="2" spans="1:53" x14ac:dyDescent="0.2">
      <c r="A2" s="10" t="s">
        <v>5</v>
      </c>
      <c r="B2" s="11">
        <v>100</v>
      </c>
      <c r="C2" s="14"/>
      <c r="E2" s="11" t="s">
        <v>13</v>
      </c>
      <c r="F2" s="11">
        <v>40</v>
      </c>
    </row>
    <row r="3" spans="1:53" x14ac:dyDescent="0.2">
      <c r="A3" s="10" t="s">
        <v>6</v>
      </c>
      <c r="B3" s="11">
        <v>0</v>
      </c>
      <c r="C3" s="14"/>
      <c r="E3" s="11" t="s">
        <v>16</v>
      </c>
      <c r="F3" s="12">
        <f>VLOOKUP(S0,B15:D65,2,FALSE)</f>
        <v>2.8262566454975131</v>
      </c>
      <c r="H3" s="25"/>
    </row>
    <row r="4" spans="1:53" x14ac:dyDescent="0.2">
      <c r="A4" s="10" t="s">
        <v>27</v>
      </c>
      <c r="B4" s="11">
        <v>50</v>
      </c>
      <c r="C4" s="14"/>
    </row>
    <row r="5" spans="1:53" x14ac:dyDescent="0.2">
      <c r="A5" s="10" t="s">
        <v>7</v>
      </c>
      <c r="B5" s="12">
        <f>(Smax-Smin)/(nS)</f>
        <v>2</v>
      </c>
      <c r="C5" s="28"/>
    </row>
    <row r="6" spans="1:53" x14ac:dyDescent="0.2">
      <c r="A6" s="10" t="s">
        <v>2</v>
      </c>
      <c r="B6" s="11">
        <v>0.5</v>
      </c>
      <c r="C6" s="28"/>
    </row>
    <row r="7" spans="1:53" x14ac:dyDescent="0.2">
      <c r="A7" s="10" t="s">
        <v>26</v>
      </c>
      <c r="B7" s="11">
        <v>50</v>
      </c>
      <c r="C7" s="28"/>
    </row>
    <row r="8" spans="1:53" x14ac:dyDescent="0.2">
      <c r="A8" s="10" t="s">
        <v>8</v>
      </c>
      <c r="B8" s="12">
        <f>T/nt</f>
        <v>0.01</v>
      </c>
      <c r="C8" s="28"/>
      <c r="E8" s="24"/>
      <c r="F8" s="24"/>
      <c r="G8" s="24"/>
    </row>
    <row r="9" spans="1:53" x14ac:dyDescent="0.2">
      <c r="A9" s="10" t="s">
        <v>9</v>
      </c>
      <c r="B9" s="13">
        <v>40</v>
      </c>
      <c r="C9" s="27"/>
      <c r="E9" s="7" t="s">
        <v>14</v>
      </c>
      <c r="F9" s="8">
        <f>S0*NORMSDIST((LN(S0/K)+(rate+0.5*sigma^2)*T)/(sigma*SQRT(T)))-EXP(-rate*T)*K*NORMSDIST((LN(S0/K)+(rate-0.5*sigma^2)*T)/(sigma*SQRT(T)))</f>
        <v>2.8623584224437018</v>
      </c>
      <c r="G9" s="8"/>
    </row>
    <row r="10" spans="1:53" x14ac:dyDescent="0.2">
      <c r="A10" s="10" t="s">
        <v>1</v>
      </c>
      <c r="B10" s="11">
        <v>0.2</v>
      </c>
      <c r="C10" s="14"/>
      <c r="E10" s="7" t="s">
        <v>15</v>
      </c>
      <c r="F10" s="9">
        <f>ABS((F9-F3)/F9)</f>
        <v>1.2612598290666627E-2</v>
      </c>
      <c r="G10" s="8"/>
    </row>
    <row r="11" spans="1:53" x14ac:dyDescent="0.2">
      <c r="A11" s="10" t="s">
        <v>10</v>
      </c>
      <c r="B11" s="11">
        <v>0.06</v>
      </c>
      <c r="C11" s="14"/>
    </row>
    <row r="12" spans="1:53" x14ac:dyDescent="0.2">
      <c r="A12" s="10" t="s">
        <v>0</v>
      </c>
      <c r="B12" s="11">
        <v>0</v>
      </c>
      <c r="C12" s="14"/>
    </row>
    <row r="13" spans="1:53" x14ac:dyDescent="0.2">
      <c r="A13" s="10"/>
      <c r="B13" s="14"/>
      <c r="C13" s="14"/>
    </row>
    <row r="14" spans="1:53" x14ac:dyDescent="0.2">
      <c r="A14" s="23" t="s">
        <v>12</v>
      </c>
      <c r="B14" s="23" t="s">
        <v>11</v>
      </c>
      <c r="C14" s="23"/>
    </row>
    <row r="15" spans="1:53" x14ac:dyDescent="0.2">
      <c r="A15" s="15">
        <v>50</v>
      </c>
      <c r="B15" s="16">
        <f t="shared" ref="B15:B46" si="0">Smin+dS*A15</f>
        <v>100</v>
      </c>
      <c r="C15" s="6">
        <f>'CN FD S'!C15/'CN FD alpha'!C15</f>
        <v>61.182178658059676</v>
      </c>
      <c r="D15" s="6">
        <f>'CN FD S'!D15/'CN FD alpha'!D15</f>
        <v>61.158880976649016</v>
      </c>
      <c r="E15" s="6">
        <f>'CN FD S'!E15/'CN FD alpha'!E15</f>
        <v>61.135569312435088</v>
      </c>
      <c r="F15" s="6">
        <f>'CN FD S'!F15/'CN FD alpha'!F15</f>
        <v>61.112243657025701</v>
      </c>
      <c r="G15" s="6">
        <f>'CN FD S'!G15/'CN FD alpha'!G15</f>
        <v>61.088904002023604</v>
      </c>
      <c r="H15" s="6">
        <f>'CN FD S'!H15/'CN FD alpha'!H15</f>
        <v>61.06555033902653</v>
      </c>
      <c r="I15" s="6">
        <f>'CN FD S'!I15/'CN FD alpha'!I15</f>
        <v>61.042182659627152</v>
      </c>
      <c r="J15" s="6">
        <f>'CN FD S'!J15/'CN FD alpha'!J15</f>
        <v>61.01880095541312</v>
      </c>
      <c r="K15" s="6">
        <f>'CN FD S'!K15/'CN FD alpha'!K15</f>
        <v>60.995405217967004</v>
      </c>
      <c r="L15" s="6">
        <f>'CN FD S'!L15/'CN FD alpha'!L15</f>
        <v>60.971995438866344</v>
      </c>
      <c r="M15" s="6">
        <f>'CN FD S'!M15/'CN FD alpha'!M15</f>
        <v>60.948571609683626</v>
      </c>
      <c r="N15" s="6">
        <f>'CN FD S'!N15/'CN FD alpha'!N15</f>
        <v>60.925133721986263</v>
      </c>
      <c r="O15" s="6">
        <f>'CN FD S'!O15/'CN FD alpha'!O15</f>
        <v>60.901681767336619</v>
      </c>
      <c r="P15" s="6">
        <f>'CN FD S'!P15/'CN FD alpha'!P15</f>
        <v>60.878215737291995</v>
      </c>
      <c r="Q15" s="6">
        <f>'CN FD S'!Q15/'CN FD alpha'!Q15</f>
        <v>60.854735623404601</v>
      </c>
      <c r="R15" s="6">
        <f>'CN FD S'!R15/'CN FD alpha'!R15</f>
        <v>60.831241417221619</v>
      </c>
      <c r="S15" s="6">
        <f>'CN FD S'!S15/'CN FD alpha'!S15</f>
        <v>60.807733110285113</v>
      </c>
      <c r="T15" s="6">
        <f>'CN FD S'!T15/'CN FD alpha'!T15</f>
        <v>60.784210694132113</v>
      </c>
      <c r="U15" s="6">
        <f>'CN FD S'!U15/'CN FD alpha'!U15</f>
        <v>60.760674160294542</v>
      </c>
      <c r="V15" s="6">
        <f>'CN FD S'!V15/'CN FD alpha'!V15</f>
        <v>60.737123500299234</v>
      </c>
      <c r="W15" s="6">
        <f>'CN FD S'!W15/'CN FD alpha'!W15</f>
        <v>60.713558705667971</v>
      </c>
      <c r="X15" s="6">
        <f>'CN FD S'!X15/'CN FD alpha'!X15</f>
        <v>60.689979767917414</v>
      </c>
      <c r="Y15" s="6">
        <f>'CN FD S'!Y15/'CN FD alpha'!Y15</f>
        <v>60.666386678559149</v>
      </c>
      <c r="Z15" s="6">
        <f>'CN FD S'!Z15/'CN FD alpha'!Z15</f>
        <v>60.642779429099669</v>
      </c>
      <c r="AA15" s="6">
        <f>'CN FD S'!AA15/'CN FD alpha'!AA15</f>
        <v>60.619158011040348</v>
      </c>
      <c r="AB15" s="6">
        <f>'CN FD S'!AB15/'CN FD alpha'!AB15</f>
        <v>60.595522415877497</v>
      </c>
      <c r="AC15" s="6">
        <f>'CN FD S'!AC15/'CN FD alpha'!AC15</f>
        <v>60.571872635102281</v>
      </c>
      <c r="AD15" s="6">
        <f>'CN FD S'!AD15/'CN FD alpha'!AD15</f>
        <v>60.548208660200793</v>
      </c>
      <c r="AE15" s="6">
        <f>'CN FD S'!AE15/'CN FD alpha'!AE15</f>
        <v>60.524530482653994</v>
      </c>
      <c r="AF15" s="6">
        <f>'CN FD S'!AF15/'CN FD alpha'!AF15</f>
        <v>60.500838093937745</v>
      </c>
      <c r="AG15" s="6">
        <f>'CN FD S'!AG15/'CN FD alpha'!AG15</f>
        <v>60.477131485522776</v>
      </c>
      <c r="AH15" s="6">
        <f>'CN FD S'!AH15/'CN FD alpha'!AH15</f>
        <v>60.453410648874723</v>
      </c>
      <c r="AI15" s="6">
        <f>'CN FD S'!AI15/'CN FD alpha'!AI15</f>
        <v>60.42967557545407</v>
      </c>
      <c r="AJ15" s="6">
        <f>'CN FD S'!AJ15/'CN FD alpha'!AJ15</f>
        <v>60.405926256716207</v>
      </c>
      <c r="AK15" s="6">
        <f>'CN FD S'!AK15/'CN FD alpha'!AK15</f>
        <v>60.382162684111357</v>
      </c>
      <c r="AL15" s="6">
        <f>'CN FD S'!AL15/'CN FD alpha'!AL15</f>
        <v>60.358384849084658</v>
      </c>
      <c r="AM15" s="6">
        <f>'CN FD S'!AM15/'CN FD alpha'!AM15</f>
        <v>60.334592743076065</v>
      </c>
      <c r="AN15" s="6">
        <f>'CN FD S'!AN15/'CN FD alpha'!AN15</f>
        <v>60.310786357520435</v>
      </c>
      <c r="AO15" s="6">
        <f>'CN FD S'!AO15/'CN FD alpha'!AO15</f>
        <v>60.286965683847463</v>
      </c>
      <c r="AP15" s="6">
        <f>'CN FD S'!AP15/'CN FD alpha'!AP15</f>
        <v>60.263130713481715</v>
      </c>
      <c r="AQ15" s="6">
        <f>'CN FD S'!AQ15/'CN FD alpha'!AQ15</f>
        <v>60.239281437842592</v>
      </c>
      <c r="AR15" s="6">
        <f>'CN FD S'!AR15/'CN FD alpha'!AR15</f>
        <v>60.215417848344352</v>
      </c>
      <c r="AS15" s="6">
        <f>'CN FD S'!AS15/'CN FD alpha'!AS15</f>
        <v>60.191539936396111</v>
      </c>
      <c r="AT15" s="6">
        <f>'CN FD S'!AT15/'CN FD alpha'!AT15</f>
        <v>60.167647693401818</v>
      </c>
      <c r="AU15" s="6">
        <f>'CN FD S'!AU15/'CN FD alpha'!AU15</f>
        <v>60.143741110760267</v>
      </c>
      <c r="AV15" s="6">
        <f>'CN FD S'!AV15/'CN FD alpha'!AV15</f>
        <v>60.11982017986508</v>
      </c>
      <c r="AW15" s="6">
        <f>'CN FD S'!AW15/'CN FD alpha'!AW15</f>
        <v>60.095884892104728</v>
      </c>
      <c r="AX15" s="6">
        <f>'CN FD S'!AX15/'CN FD alpha'!AX15</f>
        <v>60.071935238862508</v>
      </c>
      <c r="AY15" s="6">
        <f>'CN FD S'!AY15/'CN FD alpha'!AY15</f>
        <v>60.047971211516547</v>
      </c>
      <c r="AZ15" s="6">
        <f>'CN FD S'!AZ15/'CN FD alpha'!AZ15</f>
        <v>60.023992801439782</v>
      </c>
      <c r="BA15" s="6">
        <f>$B$15*EXP(-rate*(T-BA66))-K</f>
        <v>60</v>
      </c>
    </row>
    <row r="16" spans="1:53" x14ac:dyDescent="0.2">
      <c r="A16" s="15">
        <f>A15-1</f>
        <v>49</v>
      </c>
      <c r="B16" s="16">
        <f t="shared" si="0"/>
        <v>98</v>
      </c>
      <c r="C16" s="22">
        <f>('CN FD S'!C16-'CN FD C'!C16*EurCall!C15)/'CN FD alpha'!C16</f>
        <v>59.182178665134145</v>
      </c>
      <c r="D16" s="22">
        <f>('CN FD S'!D16-'CN FD C'!D16*EurCall!D15)/'CN FD alpha'!D16</f>
        <v>59.158880983569112</v>
      </c>
      <c r="E16" s="22">
        <f>('CN FD S'!E16-'CN FD C'!E16*EurCall!E15)/'CN FD alpha'!E16</f>
        <v>59.135569319222014</v>
      </c>
      <c r="F16" s="22">
        <f>('CN FD S'!F16-'CN FD C'!F16*EurCall!F15)/'CN FD alpha'!F16</f>
        <v>59.112243663695708</v>
      </c>
      <c r="G16" s="22">
        <f>('CN FD S'!G16-'CN FD C'!G16*EurCall!G15)/'CN FD alpha'!G16</f>
        <v>59.088904008588962</v>
      </c>
      <c r="H16" s="22">
        <f>('CN FD S'!H16-'CN FD C'!H16*EurCall!H15)/'CN FD alpha'!H16</f>
        <v>59.065550345496341</v>
      </c>
      <c r="I16" s="22">
        <f>('CN FD S'!I16-'CN FD C'!I16*EurCall!I15)/'CN FD alpha'!I16</f>
        <v>59.042182666008024</v>
      </c>
      <c r="J16" s="22">
        <f>('CN FD S'!J16-'CN FD C'!J16*EurCall!J15)/'CN FD alpha'!J16</f>
        <v>59.018800961709694</v>
      </c>
      <c r="K16" s="22">
        <f>('CN FD S'!K16-'CN FD C'!K16*EurCall!K15)/'CN FD alpha'!K16</f>
        <v>58.995405224182399</v>
      </c>
      <c r="L16" s="22">
        <f>('CN FD S'!L16-'CN FD C'!L16*EurCall!L15)/'CN FD alpha'!L16</f>
        <v>58.971995445002513</v>
      </c>
      <c r="M16" s="22">
        <f>('CN FD S'!M16-'CN FD C'!M16*EurCall!M15)/'CN FD alpha'!M16</f>
        <v>58.948571615741621</v>
      </c>
      <c r="N16" s="22">
        <f>('CN FD S'!N16-'CN FD C'!N16*EurCall!N15)/'CN FD alpha'!N16</f>
        <v>58.925133727966475</v>
      </c>
      <c r="O16" s="22">
        <f>('CN FD S'!O16-'CN FD C'!O16*EurCall!O15)/'CN FD alpha'!O16</f>
        <v>58.901681773238899</v>
      </c>
      <c r="P16" s="22">
        <f>('CN FD S'!P16-'CN FD C'!P16*EurCall!P15)/'CN FD alpha'!P16</f>
        <v>58.878215743115803</v>
      </c>
      <c r="Q16" s="22">
        <f>('CN FD S'!Q16-'CN FD C'!Q16*EurCall!Q15)/'CN FD alpha'!Q16</f>
        <v>58.854735629149133</v>
      </c>
      <c r="R16" s="22">
        <f>('CN FD S'!R16-'CN FD C'!R16*EurCall!R15)/'CN FD alpha'!R16</f>
        <v>58.831241422885817</v>
      </c>
      <c r="S16" s="22">
        <f>('CN FD S'!S16-'CN FD C'!S16*EurCall!S15)/'CN FD alpha'!S16</f>
        <v>58.807733115867755</v>
      </c>
      <c r="T16" s="22">
        <f>('CN FD S'!T16-'CN FD C'!T16*EurCall!T15)/'CN FD alpha'!T16</f>
        <v>58.784210699631807</v>
      </c>
      <c r="U16" s="22">
        <f>('CN FD S'!U16-'CN FD C'!U16*EurCall!U15)/'CN FD alpha'!U16</f>
        <v>58.760674165709759</v>
      </c>
      <c r="V16" s="22">
        <f>('CN FD S'!V16-'CN FD C'!V16*EurCall!V15)/'CN FD alpha'!V16</f>
        <v>58.737123505628368</v>
      </c>
      <c r="W16" s="22">
        <f>('CN FD S'!W16-'CN FD C'!W16*EurCall!W15)/'CN FD alpha'!W16</f>
        <v>58.713558710909304</v>
      </c>
      <c r="X16" s="22">
        <f>('CN FD S'!X16-'CN FD C'!X16*EurCall!X15)/'CN FD alpha'!X16</f>
        <v>58.689979773069126</v>
      </c>
      <c r="Y16" s="22">
        <f>('CN FD S'!Y16-'CN FD C'!Y16*EurCall!Y15)/'CN FD alpha'!Y16</f>
        <v>58.666386683619322</v>
      </c>
      <c r="Z16" s="22">
        <f>('CN FD S'!Z16-'CN FD C'!Z16*EurCall!Z15)/'CN FD alpha'!Z16</f>
        <v>58.64277943406627</v>
      </c>
      <c r="AA16" s="22">
        <f>('CN FD S'!AA16-'CN FD C'!AA16*EurCall!AA15)/'CN FD alpha'!AA16</f>
        <v>58.619158015911225</v>
      </c>
      <c r="AB16" s="22">
        <f>('CN FD S'!AB16-'CN FD C'!AB16*EurCall!AB15)/'CN FD alpha'!AB16</f>
        <v>58.595522420650369</v>
      </c>
      <c r="AC16" s="22">
        <f>('CN FD S'!AC16-'CN FD C'!AC16*EurCall!AC15)/'CN FD alpha'!AC16</f>
        <v>58.571872639774753</v>
      </c>
      <c r="AD16" s="22">
        <f>('CN FD S'!AD16-'CN FD C'!AD16*EurCall!AD15)/'CN FD alpha'!AD16</f>
        <v>58.548208664770314</v>
      </c>
      <c r="AE16" s="22">
        <f>('CN FD S'!AE16-'CN FD C'!AE16*EurCall!AE15)/'CN FD alpha'!AE16</f>
        <v>58.524530487117843</v>
      </c>
      <c r="AF16" s="22">
        <f>('CN FD S'!AF16-'CN FD C'!AF16*EurCall!AF15)/'CN FD alpha'!AF16</f>
        <v>58.500838098293023</v>
      </c>
      <c r="AG16" s="22">
        <f>('CN FD S'!AG16-'CN FD C'!AG16*EurCall!AG15)/'CN FD alpha'!AG16</f>
        <v>58.477131489766386</v>
      </c>
      <c r="AH16" s="22">
        <f>('CN FD S'!AH16-'CN FD C'!AH16*EurCall!AH15)/'CN FD alpha'!AH16</f>
        <v>58.453410653003317</v>
      </c>
      <c r="AI16" s="22">
        <f>('CN FD S'!AI16-'CN FD C'!AI16*EurCall!AI15)/'CN FD alpha'!AI16</f>
        <v>58.429675579464082</v>
      </c>
      <c r="AJ16" s="22">
        <f>('CN FD S'!AJ16-'CN FD C'!AJ16*EurCall!AJ15)/'CN FD alpha'!AJ16</f>
        <v>58.405926260603728</v>
      </c>
      <c r="AK16" s="22">
        <f>('CN FD S'!AK16-'CN FD C'!AK16*EurCall!AK15)/'CN FD alpha'!AK16</f>
        <v>58.382162687872167</v>
      </c>
      <c r="AL16" s="22">
        <f>('CN FD S'!AL16-'CN FD C'!AL16*EurCall!AL15)/'CN FD alpha'!AL16</f>
        <v>58.358384852714146</v>
      </c>
      <c r="AM16" s="22">
        <f>('CN FD S'!AM16-'CN FD C'!AM16*EurCall!AM15)/'CN FD alpha'!AM16</f>
        <v>58.334592746569179</v>
      </c>
      <c r="AN16" s="22">
        <f>('CN FD S'!AN16-'CN FD C'!AN16*EurCall!AN15)/'CN FD alpha'!AN16</f>
        <v>58.310786360871553</v>
      </c>
      <c r="AO16" s="22">
        <f>('CN FD S'!AO16-'CN FD C'!AO16*EurCall!AO15)/'CN FD alpha'!AO16</f>
        <v>58.286965687050369</v>
      </c>
      <c r="AP16" s="22">
        <f>('CN FD S'!AP16-'CN FD C'!AP16*EurCall!AP15)/'CN FD alpha'!AP16</f>
        <v>58.263130716529396</v>
      </c>
      <c r="AQ16" s="22">
        <f>('CN FD S'!AQ16-'CN FD C'!AQ16*EurCall!AQ15)/'CN FD alpha'!AQ16</f>
        <v>58.239281440727105</v>
      </c>
      <c r="AR16" s="22">
        <f>('CN FD S'!AR16-'CN FD C'!AR16*EurCall!AR15)/'CN FD alpha'!AR16</f>
        <v>58.215417851056571</v>
      </c>
      <c r="AS16" s="22">
        <f>('CN FD S'!AS16-'CN FD C'!AS16*EurCall!AS15)/'CN FD alpha'!AS16</f>
        <v>58.191539938925416</v>
      </c>
      <c r="AT16" s="22">
        <f>('CN FD S'!AT16-'CN FD C'!AT16*EurCall!AT15)/'CN FD alpha'!AT16</f>
        <v>58.167647695735631</v>
      </c>
      <c r="AU16" s="22">
        <f>('CN FD S'!AU16-'CN FD C'!AU16*EurCall!AU15)/'CN FD alpha'!AU16</f>
        <v>58.143741112883383</v>
      </c>
      <c r="AV16" s="22">
        <f>('CN FD S'!AV16-'CN FD C'!AV16*EurCall!AV15)/'CN FD alpha'!AV16</f>
        <v>58.119820181758556</v>
      </c>
      <c r="AW16" s="22">
        <f>('CN FD S'!AW16-'CN FD C'!AW16*EurCall!AW15)/'CN FD alpha'!AW16</f>
        <v>58.095884893744092</v>
      </c>
      <c r="AX16" s="22">
        <f>('CN FD S'!AX16-'CN FD C'!AX16*EurCall!AX15)/'CN FD alpha'!AX16</f>
        <v>58.071935240214401</v>
      </c>
      <c r="AY16" s="22">
        <f>('CN FD S'!AY16-'CN FD C'!AY16*EurCall!AY15)/'CN FD alpha'!AY16</f>
        <v>58.047971212531834</v>
      </c>
      <c r="AZ16" s="22">
        <f>('CN FD S'!AZ16-'CN FD C'!AZ16*EurCall!AZ15)/'CN FD alpha'!AZ16</f>
        <v>58.023992802035856</v>
      </c>
      <c r="BA16" s="6">
        <f t="shared" ref="BA16:BA47" si="1">MAX(B16-K,0)</f>
        <v>58</v>
      </c>
    </row>
    <row r="17" spans="1:53" x14ac:dyDescent="0.2">
      <c r="A17" s="15">
        <f t="shared" ref="A17:A65" si="2">A16-1</f>
        <v>48</v>
      </c>
      <c r="B17" s="16">
        <f t="shared" si="0"/>
        <v>96</v>
      </c>
      <c r="C17" s="22">
        <f>('CN FD S'!C17-'CN FD C'!C17*EurCall!C16)/'CN FD alpha'!C17</f>
        <v>57.182178671520887</v>
      </c>
      <c r="D17" s="22">
        <f>('CN FD S'!D17-'CN FD C'!D17*EurCall!D16)/'CN FD alpha'!D17</f>
        <v>57.15888098973916</v>
      </c>
      <c r="E17" s="22">
        <f>('CN FD S'!E17-'CN FD C'!E17*EurCall!E16)/'CN FD alpha'!E17</f>
        <v>57.135569325209751</v>
      </c>
      <c r="F17" s="22">
        <f>('CN FD S'!F17-'CN FD C'!F17*EurCall!F16)/'CN FD alpha'!F17</f>
        <v>57.112243669527935</v>
      </c>
      <c r="G17" s="22">
        <f>('CN FD S'!G17-'CN FD C'!G17*EurCall!G16)/'CN FD alpha'!G17</f>
        <v>57.088904014286335</v>
      </c>
      <c r="H17" s="22">
        <f>('CN FD S'!H17-'CN FD C'!H17*EurCall!H16)/'CN FD alpha'!H17</f>
        <v>57.065550351074563</v>
      </c>
      <c r="I17" s="22">
        <f>('CN FD S'!I17-'CN FD C'!I17*EurCall!I16)/'CN FD alpha'!I17</f>
        <v>57.042182671478855</v>
      </c>
      <c r="J17" s="22">
        <f>('CN FD S'!J17-'CN FD C'!J17*EurCall!J16)/'CN FD alpha'!J17</f>
        <v>57.018800967081745</v>
      </c>
      <c r="K17" s="22">
        <f>('CN FD S'!K17-'CN FD C'!K17*EurCall!K16)/'CN FD alpha'!K17</f>
        <v>56.995405229461852</v>
      </c>
      <c r="L17" s="22">
        <f>('CN FD S'!L17-'CN FD C'!L17*EurCall!L16)/'CN FD alpha'!L17</f>
        <v>56.971995450193631</v>
      </c>
      <c r="M17" s="22">
        <f>('CN FD S'!M17-'CN FD C'!M17*EurCall!M16)/'CN FD alpha'!M17</f>
        <v>56.948571620847197</v>
      </c>
      <c r="N17" s="22">
        <f>('CN FD S'!N17-'CN FD C'!N17*EurCall!N16)/'CN FD alpha'!N17</f>
        <v>56.925133732988158</v>
      </c>
      <c r="O17" s="22">
        <f>('CN FD S'!O17-'CN FD C'!O17*EurCall!O16)/'CN FD alpha'!O17</f>
        <v>56.90168177817749</v>
      </c>
      <c r="P17" s="22">
        <f>('CN FD S'!P17-'CN FD C'!P17*EurCall!P16)/'CN FD alpha'!P17</f>
        <v>56.878215747971488</v>
      </c>
      <c r="Q17" s="22">
        <f>('CN FD S'!Q17-'CN FD C'!Q17*EurCall!Q16)/'CN FD alpha'!Q17</f>
        <v>56.854735633921564</v>
      </c>
      <c r="R17" s="22">
        <f>('CN FD S'!R17-'CN FD C'!R17*EurCall!R16)/'CN FD alpha'!R17</f>
        <v>56.831241427574305</v>
      </c>
      <c r="S17" s="22">
        <f>('CN FD S'!S17-'CN FD C'!S17*EurCall!S16)/'CN FD alpha'!S17</f>
        <v>56.807733120471326</v>
      </c>
      <c r="T17" s="22">
        <f>('CN FD S'!T17-'CN FD C'!T17*EurCall!T16)/'CN FD alpha'!T17</f>
        <v>56.784210704149267</v>
      </c>
      <c r="U17" s="22">
        <f>('CN FD S'!U17-'CN FD C'!U17*EurCall!U16)/'CN FD alpha'!U17</f>
        <v>56.760674170139779</v>
      </c>
      <c r="V17" s="22">
        <f>('CN FD S'!V17-'CN FD C'!V17*EurCall!V16)/'CN FD alpha'!V17</f>
        <v>56.737123509969443</v>
      </c>
      <c r="W17" s="22">
        <f>('CN FD S'!W17-'CN FD C'!W17*EurCall!W16)/'CN FD alpha'!W17</f>
        <v>56.713558715159813</v>
      </c>
      <c r="X17" s="22">
        <f>('CN FD S'!X17-'CN FD C'!X17*EurCall!X16)/'CN FD alpha'!X17</f>
        <v>56.68997977722735</v>
      </c>
      <c r="Y17" s="22">
        <f>('CN FD S'!Y17-'CN FD C'!Y17*EurCall!Y16)/'CN FD alpha'!Y17</f>
        <v>56.666386687683428</v>
      </c>
      <c r="Z17" s="22">
        <f>('CN FD S'!Z17-'CN FD C'!Z17*EurCall!Z16)/'CN FD alpha'!Z17</f>
        <v>56.642779438034331</v>
      </c>
      <c r="AA17" s="22">
        <f>('CN FD S'!AA17-'CN FD C'!AA17*EurCall!AA16)/'CN FD alpha'!AA17</f>
        <v>56.619158019781224</v>
      </c>
      <c r="AB17" s="22">
        <f>('CN FD S'!AB17-'CN FD C'!AB17*EurCall!AB16)/'CN FD alpha'!AB17</f>
        <v>56.595522424420167</v>
      </c>
      <c r="AC17" s="22">
        <f>('CN FD S'!AC17-'CN FD C'!AC17*EurCall!AC16)/'CN FD alpha'!AC17</f>
        <v>56.571872643442084</v>
      </c>
      <c r="AD17" s="22">
        <f>('CN FD S'!AD17-'CN FD C'!AD17*EurCall!AD16)/'CN FD alpha'!AD17</f>
        <v>56.548208668332791</v>
      </c>
      <c r="AE17" s="22">
        <f>('CN FD S'!AE17-'CN FD C'!AE17*EurCall!AE16)/'CN FD alpha'!AE17</f>
        <v>56.52453049057295</v>
      </c>
      <c r="AF17" s="22">
        <f>('CN FD S'!AF17-'CN FD C'!AF17*EurCall!AF16)/'CN FD alpha'!AF17</f>
        <v>56.500838101638081</v>
      </c>
      <c r="AG17" s="22">
        <f>('CN FD S'!AG17-'CN FD C'!AG17*EurCall!AG16)/'CN FD alpha'!AG17</f>
        <v>56.477131492998545</v>
      </c>
      <c r="AH17" s="22">
        <f>('CN FD S'!AH17-'CN FD C'!AH17*EurCall!AH16)/'CN FD alpha'!AH17</f>
        <v>56.453410656119573</v>
      </c>
      <c r="AI17" s="22">
        <f>('CN FD S'!AI17-'CN FD C'!AI17*EurCall!AI16)/'CN FD alpha'!AI17</f>
        <v>56.429675582461179</v>
      </c>
      <c r="AJ17" s="22">
        <f>('CN FD S'!AJ17-'CN FD C'!AJ17*EurCall!AJ16)/'CN FD alpha'!AJ17</f>
        <v>56.405926263478214</v>
      </c>
      <c r="AK17" s="22">
        <f>('CN FD S'!AK17-'CN FD C'!AK17*EurCall!AK16)/'CN FD alpha'!AK17</f>
        <v>56.382162690620333</v>
      </c>
      <c r="AL17" s="22">
        <f>('CN FD S'!AL17-'CN FD C'!AL17*EurCall!AL16)/'CN FD alpha'!AL17</f>
        <v>56.35838485533197</v>
      </c>
      <c r="AM17" s="22">
        <f>('CN FD S'!AM17-'CN FD C'!AM17*EurCall!AM16)/'CN FD alpha'!AM17</f>
        <v>56.334592749052312</v>
      </c>
      <c r="AN17" s="22">
        <f>('CN FD S'!AN17-'CN FD C'!AN17*EurCall!AN16)/'CN FD alpha'!AN17</f>
        <v>56.3107863632153</v>
      </c>
      <c r="AO17" s="22">
        <f>('CN FD S'!AO17-'CN FD C'!AO17*EurCall!AO16)/'CN FD alpha'!AO17</f>
        <v>56.286965689249556</v>
      </c>
      <c r="AP17" s="22">
        <f>('CN FD S'!AP17-'CN FD C'!AP17*EurCall!AP16)/'CN FD alpha'!AP17</f>
        <v>56.263130718578374</v>
      </c>
      <c r="AQ17" s="22">
        <f>('CN FD S'!AQ17-'CN FD C'!AQ17*EurCall!AQ16)/'CN FD alpha'!AQ17</f>
        <v>56.239281442619649</v>
      </c>
      <c r="AR17" s="22">
        <f>('CN FD S'!AR17-'CN FD C'!AR17*EurCall!AR16)/'CN FD alpha'!AR17</f>
        <v>56.215417852785798</v>
      </c>
      <c r="AS17" s="22">
        <f>('CN FD S'!AS17-'CN FD C'!AS17*EurCall!AS16)/'CN FD alpha'!AS17</f>
        <v>56.191539940483644</v>
      </c>
      <c r="AT17" s="22">
        <f>('CN FD S'!AT17-'CN FD C'!AT17*EurCall!AT16)/'CN FD alpha'!AT17</f>
        <v>56.167647697114262</v>
      </c>
      <c r="AU17" s="22">
        <f>('CN FD S'!AU17-'CN FD C'!AU17*EurCall!AU16)/'CN FD alpha'!AU17</f>
        <v>56.143741114072782</v>
      </c>
      <c r="AV17" s="22">
        <f>('CN FD S'!AV17-'CN FD C'!AV17*EurCall!AV16)/'CN FD alpha'!AV17</f>
        <v>56.119820182747993</v>
      </c>
      <c r="AW17" s="22">
        <f>('CN FD S'!AW17-'CN FD C'!AW17*EurCall!AW16)/'CN FD alpha'!AW17</f>
        <v>56.095884894521859</v>
      </c>
      <c r="AX17" s="22">
        <f>('CN FD S'!AX17-'CN FD C'!AX17*EurCall!AX16)/'CN FD alpha'!AX17</f>
        <v>56.071935240768745</v>
      </c>
      <c r="AY17" s="22">
        <f>('CN FD S'!AY17-'CN FD C'!AY17*EurCall!AY16)/'CN FD alpha'!AY17</f>
        <v>56.047971212854634</v>
      </c>
      <c r="AZ17" s="22">
        <f>('CN FD S'!AZ17-'CN FD C'!AZ17*EurCall!AZ16)/'CN FD alpha'!AZ17</f>
        <v>56.023992802138764</v>
      </c>
      <c r="BA17" s="6">
        <f t="shared" si="1"/>
        <v>56</v>
      </c>
    </row>
    <row r="18" spans="1:53" x14ac:dyDescent="0.2">
      <c r="A18" s="15">
        <f t="shared" si="2"/>
        <v>47</v>
      </c>
      <c r="B18" s="16">
        <f t="shared" si="0"/>
        <v>94</v>
      </c>
      <c r="C18" s="22">
        <f>('CN FD S'!C18-'CN FD C'!C18*EurCall!C17)/'CN FD alpha'!C18</f>
        <v>55.182178677673832</v>
      </c>
      <c r="D18" s="22">
        <f>('CN FD S'!D18-'CN FD C'!D18*EurCall!D17)/'CN FD alpha'!D18</f>
        <v>55.158880995519937</v>
      </c>
      <c r="E18" s="22">
        <f>('CN FD S'!E18-'CN FD C'!E18*EurCall!E17)/'CN FD alpha'!E18</f>
        <v>55.135569330686067</v>
      </c>
      <c r="F18" s="22">
        <f>('CN FD S'!F18-'CN FD C'!F18*EurCall!F17)/'CN FD alpha'!F18</f>
        <v>55.112243674753522</v>
      </c>
      <c r="G18" s="22">
        <f>('CN FD S'!G18-'CN FD C'!G18*EurCall!G17)/'CN FD alpha'!G18</f>
        <v>55.088904019303463</v>
      </c>
      <c r="H18" s="22">
        <f>('CN FD S'!H18-'CN FD C'!H18*EurCall!H17)/'CN FD alpha'!H18</f>
        <v>55.06555035591613</v>
      </c>
      <c r="I18" s="22">
        <f>('CN FD S'!I18-'CN FD C'!I18*EurCall!I17)/'CN FD alpha'!I18</f>
        <v>55.04218267617015</v>
      </c>
      <c r="J18" s="22">
        <f>('CN FD S'!J18-'CN FD C'!J18*EurCall!J17)/'CN FD alpha'!J18</f>
        <v>55.018800971641987</v>
      </c>
      <c r="K18" s="22">
        <f>('CN FD S'!K18-'CN FD C'!K18*EurCall!K17)/'CN FD alpha'!K18</f>
        <v>54.995405233905416</v>
      </c>
      <c r="L18" s="22">
        <f>('CN FD S'!L18-'CN FD C'!L18*EurCall!L17)/'CN FD alpha'!L18</f>
        <v>54.971995454531069</v>
      </c>
      <c r="M18" s="22">
        <f>('CN FD S'!M18-'CN FD C'!M18*EurCall!M17)/'CN FD alpha'!M18</f>
        <v>54.948571625086089</v>
      </c>
      <c r="N18" s="22">
        <f>('CN FD S'!N18-'CN FD C'!N18*EurCall!N17)/'CN FD alpha'!N18</f>
        <v>54.925133737133763</v>
      </c>
      <c r="O18" s="22">
        <f>('CN FD S'!O18-'CN FD C'!O18*EurCall!O17)/'CN FD alpha'!O18</f>
        <v>54.901681782233332</v>
      </c>
      <c r="P18" s="22">
        <f>('CN FD S'!P18-'CN FD C'!P18*EurCall!P17)/'CN FD alpha'!P18</f>
        <v>54.878215751939713</v>
      </c>
      <c r="Q18" s="22">
        <f>('CN FD S'!Q18-'CN FD C'!Q18*EurCall!Q17)/'CN FD alpha'!Q18</f>
        <v>54.854735637803344</v>
      </c>
      <c r="R18" s="22">
        <f>('CN FD S'!R18-'CN FD C'!R18*EurCall!R17)/'CN FD alpha'!R18</f>
        <v>54.831241431370053</v>
      </c>
      <c r="S18" s="22">
        <f>('CN FD S'!S18-'CN FD C'!S18*EurCall!S17)/'CN FD alpha'!S18</f>
        <v>54.807733124180892</v>
      </c>
      <c r="T18" s="22">
        <f>('CN FD S'!T18-'CN FD C'!T18*EurCall!T17)/'CN FD alpha'!T18</f>
        <v>54.784210707772111</v>
      </c>
      <c r="U18" s="22">
        <f>('CN FD S'!U18-'CN FD C'!U18*EurCall!U17)/'CN FD alpha'!U18</f>
        <v>54.760674173675056</v>
      </c>
      <c r="V18" s="22">
        <f>('CN FD S'!V18-'CN FD C'!V18*EurCall!V17)/'CN FD alpha'!V18</f>
        <v>54.737123513416094</v>
      </c>
      <c r="W18" s="22">
        <f>('CN FD S'!W18-'CN FD C'!W18*EurCall!W17)/'CN FD alpha'!W18</f>
        <v>54.713558718516573</v>
      </c>
      <c r="X18" s="22">
        <f>('CN FD S'!X18-'CN FD C'!X18*EurCall!X17)/'CN FD alpha'!X18</f>
        <v>54.689979780492841</v>
      </c>
      <c r="Y18" s="22">
        <f>('CN FD S'!Y18-'CN FD C'!Y18*EurCall!Y17)/'CN FD alpha'!Y18</f>
        <v>54.666386690856164</v>
      </c>
      <c r="Z18" s="22">
        <f>('CN FD S'!Z18-'CN FD C'!Z18*EurCall!Z17)/'CN FD alpha'!Z18</f>
        <v>54.642779441112737</v>
      </c>
      <c r="AA18" s="22">
        <f>('CN FD S'!AA18-'CN FD C'!AA18*EurCall!AA17)/'CN FD alpha'!AA18</f>
        <v>54.619158022763635</v>
      </c>
      <c r="AB18" s="22">
        <f>('CN FD S'!AB18-'CN FD C'!AB18*EurCall!AB17)/'CN FD alpha'!AB18</f>
        <v>54.595522427304836</v>
      </c>
      <c r="AC18" s="22">
        <f>('CN FD S'!AC18-'CN FD C'!AC18*EurCall!AC17)/'CN FD alpha'!AC18</f>
        <v>54.571872646227192</v>
      </c>
      <c r="AD18" s="22">
        <f>('CN FD S'!AD18-'CN FD C'!AD18*EurCall!AD17)/'CN FD alpha'!AD18</f>
        <v>54.54820867101644</v>
      </c>
      <c r="AE18" s="22">
        <f>('CN FD S'!AE18-'CN FD C'!AE18*EurCall!AE17)/'CN FD alpha'!AE18</f>
        <v>54.524530493153158</v>
      </c>
      <c r="AF18" s="22">
        <f>('CN FD S'!AF18-'CN FD C'!AF18*EurCall!AF17)/'CN FD alpha'!AF18</f>
        <v>54.500838104112759</v>
      </c>
      <c r="AG18" s="22">
        <f>('CN FD S'!AG18-'CN FD C'!AG18*EurCall!AG17)/'CN FD alpha'!AG18</f>
        <v>54.477131495365562</v>
      </c>
      <c r="AH18" s="22">
        <f>('CN FD S'!AH18-'CN FD C'!AH18*EurCall!AH17)/'CN FD alpha'!AH18</f>
        <v>54.453410658376647</v>
      </c>
      <c r="AI18" s="22">
        <f>('CN FD S'!AI18-'CN FD C'!AI18*EurCall!AI17)/'CN FD alpha'!AI18</f>
        <v>54.429675584605974</v>
      </c>
      <c r="AJ18" s="22">
        <f>('CN FD S'!AJ18-'CN FD C'!AJ18*EurCall!AJ17)/'CN FD alpha'!AJ18</f>
        <v>54.405926265508285</v>
      </c>
      <c r="AK18" s="22">
        <f>('CN FD S'!AK18-'CN FD C'!AK18*EurCall!AK17)/'CN FD alpha'!AK18</f>
        <v>54.382162692533136</v>
      </c>
      <c r="AL18" s="22">
        <f>('CN FD S'!AL18-'CN FD C'!AL18*EurCall!AL17)/'CN FD alpha'!AL18</f>
        <v>54.35838485712484</v>
      </c>
      <c r="AM18" s="22">
        <f>('CN FD S'!AM18-'CN FD C'!AM18*EurCall!AM17)/'CN FD alpha'!AM18</f>
        <v>54.3345927507225</v>
      </c>
      <c r="AN18" s="22">
        <f>('CN FD S'!AN18-'CN FD C'!AN18*EurCall!AN17)/'CN FD alpha'!AN18</f>
        <v>54.310786364759963</v>
      </c>
      <c r="AO18" s="22">
        <f>('CN FD S'!AO18-'CN FD C'!AO18*EurCall!AO17)/'CN FD alpha'!AO18</f>
        <v>54.286965690665795</v>
      </c>
      <c r="AP18" s="22">
        <f>('CN FD S'!AP18-'CN FD C'!AP18*EurCall!AP17)/'CN FD alpha'!AP18</f>
        <v>54.263130719863241</v>
      </c>
      <c r="AQ18" s="22">
        <f>('CN FD S'!AQ18-'CN FD C'!AQ18*EurCall!AQ17)/'CN FD alpha'!AQ18</f>
        <v>54.239281443770231</v>
      </c>
      <c r="AR18" s="22">
        <f>('CN FD S'!AR18-'CN FD C'!AR18*EurCall!AR17)/'CN FD alpha'!AR18</f>
        <v>54.215417853799266</v>
      </c>
      <c r="AS18" s="22">
        <f>('CN FD S'!AS18-'CN FD C'!AS18*EurCall!AS17)/'CN FD alpha'!AS18</f>
        <v>54.191539941357455</v>
      </c>
      <c r="AT18" s="22">
        <f>('CN FD S'!AT18-'CN FD C'!AT18*EurCall!AT17)/'CN FD alpha'!AT18</f>
        <v>54.167647697846427</v>
      </c>
      <c r="AU18" s="22">
        <f>('CN FD S'!AU18-'CN FD C'!AU18*EurCall!AU17)/'CN FD alpha'!AU18</f>
        <v>54.143741114662305</v>
      </c>
      <c r="AV18" s="22">
        <f>('CN FD S'!AV18-'CN FD C'!AV18*EurCall!AV17)/'CN FD alpha'!AV18</f>
        <v>54.119820183195763</v>
      </c>
      <c r="AW18" s="22">
        <f>('CN FD S'!AW18-'CN FD C'!AW18*EurCall!AW17)/'CN FD alpha'!AW18</f>
        <v>54.095884894832167</v>
      </c>
      <c r="AX18" s="22">
        <f>('CN FD S'!AX18-'CN FD C'!AX18*EurCall!AX17)/'CN FD alpha'!AX18</f>
        <v>54.071935240952207</v>
      </c>
      <c r="AY18" s="22">
        <f>('CN FD S'!AY18-'CN FD C'!AY18*EurCall!AY17)/'CN FD alpha'!AY18</f>
        <v>54.047971212933753</v>
      </c>
      <c r="AZ18" s="22">
        <f>('CN FD S'!AZ18-'CN FD C'!AZ18*EurCall!AZ17)/'CN FD alpha'!AZ18</f>
        <v>54.023992802156009</v>
      </c>
      <c r="BA18" s="6">
        <f t="shared" si="1"/>
        <v>54</v>
      </c>
    </row>
    <row r="19" spans="1:53" x14ac:dyDescent="0.2">
      <c r="A19" s="15">
        <f t="shared" si="2"/>
        <v>46</v>
      </c>
      <c r="B19" s="16">
        <f t="shared" si="0"/>
        <v>92</v>
      </c>
      <c r="C19" s="22">
        <f>('CN FD S'!C19-'CN FD C'!C19*EurCall!C18)/'CN FD alpha'!C19</f>
        <v>53.182178684525248</v>
      </c>
      <c r="D19" s="22">
        <f>('CN FD S'!D19-'CN FD C'!D19*EurCall!D18)/'CN FD alpha'!D19</f>
        <v>53.158881001650279</v>
      </c>
      <c r="E19" s="22">
        <f>('CN FD S'!E19-'CN FD C'!E19*EurCall!E18)/'CN FD alpha'!E19</f>
        <v>53.135569336235811</v>
      </c>
      <c r="F19" s="22">
        <f>('CN FD S'!F19-'CN FD C'!F19*EurCall!F18)/'CN FD alpha'!F19</f>
        <v>53.112243679835863</v>
      </c>
      <c r="G19" s="22">
        <f>('CN FD S'!G19-'CN FD C'!G19*EurCall!G18)/'CN FD alpha'!G19</f>
        <v>53.088904024008855</v>
      </c>
      <c r="H19" s="22">
        <f>('CN FD S'!H19-'CN FD C'!H19*EurCall!H18)/'CN FD alpha'!H19</f>
        <v>53.065550360316195</v>
      </c>
      <c r="I19" s="22">
        <f>('CN FD S'!I19-'CN FD C'!I19*EurCall!I18)/'CN FD alpha'!I19</f>
        <v>53.042182680321076</v>
      </c>
      <c r="J19" s="22">
        <f>('CN FD S'!J19-'CN FD C'!J19*EurCall!J18)/'CN FD alpha'!J19</f>
        <v>53.018800975587389</v>
      </c>
      <c r="K19" s="22">
        <f>('CN FD S'!K19-'CN FD C'!K19*EurCall!K18)/'CN FD alpha'!K19</f>
        <v>52.995405237678781</v>
      </c>
      <c r="L19" s="22">
        <f>('CN FD S'!L19-'CN FD C'!L19*EurCall!L18)/'CN FD alpha'!L19</f>
        <v>52.971995458157799</v>
      </c>
      <c r="M19" s="22">
        <f>('CN FD S'!M19-'CN FD C'!M19*EurCall!M18)/'CN FD alpha'!M19</f>
        <v>52.948571628585157</v>
      </c>
      <c r="N19" s="22">
        <f>('CN FD S'!N19-'CN FD C'!N19*EurCall!N18)/'CN FD alpha'!N19</f>
        <v>52.925133740519136</v>
      </c>
      <c r="O19" s="22">
        <f>('CN FD S'!O19-'CN FD C'!O19*EurCall!O18)/'CN FD alpha'!O19</f>
        <v>52.90168178551508</v>
      </c>
      <c r="P19" s="22">
        <f>('CN FD S'!P19-'CN FD C'!P19*EurCall!P18)/'CN FD alpha'!P19</f>
        <v>52.878215755124927</v>
      </c>
      <c r="Q19" s="22">
        <f>('CN FD S'!Q19-'CN FD C'!Q19*EurCall!Q18)/'CN FD alpha'!Q19</f>
        <v>52.854735640896855</v>
      </c>
      <c r="R19" s="22">
        <f>('CN FD S'!R19-'CN FD C'!R19*EurCall!R18)/'CN FD alpha'!R19</f>
        <v>52.831241434374988</v>
      </c>
      <c r="S19" s="22">
        <f>('CN FD S'!S19-'CN FD C'!S19*EurCall!S18)/'CN FD alpha'!S19</f>
        <v>52.807733127099127</v>
      </c>
      <c r="T19" s="22">
        <f>('CN FD S'!T19-'CN FD C'!T19*EurCall!T18)/'CN FD alpha'!T19</f>
        <v>52.784210710604633</v>
      </c>
      <c r="U19" s="22">
        <f>('CN FD S'!U19-'CN FD C'!U19*EurCall!U18)/'CN FD alpha'!U19</f>
        <v>52.760674176422164</v>
      </c>
      <c r="V19" s="22">
        <f>('CN FD S'!V19-'CN FD C'!V19*EurCall!V18)/'CN FD alpha'!V19</f>
        <v>52.737123516077624</v>
      </c>
      <c r="W19" s="22">
        <f>('CN FD S'!W19-'CN FD C'!W19*EurCall!W18)/'CN FD alpha'!W19</f>
        <v>52.713558721092056</v>
      </c>
      <c r="X19" s="22">
        <f>('CN FD S'!X19-'CN FD C'!X19*EurCall!X18)/'CN FD alpha'!X19</f>
        <v>52.68997978298156</v>
      </c>
      <c r="Y19" s="22">
        <f>('CN FD S'!Y19-'CN FD C'!Y19*EurCall!Y18)/'CN FD alpha'!Y19</f>
        <v>52.666386693257238</v>
      </c>
      <c r="Z19" s="22">
        <f>('CN FD S'!Z19-'CN FD C'!Z19*EurCall!Z18)/'CN FD alpha'!Z19</f>
        <v>52.642779443425162</v>
      </c>
      <c r="AA19" s="22">
        <f>('CN FD S'!AA19-'CN FD C'!AA19*EurCall!AA18)/'CN FD alpha'!AA19</f>
        <v>52.619158024986348</v>
      </c>
      <c r="AB19" s="22">
        <f>('CN FD S'!AB19-'CN FD C'!AB19*EurCall!AB18)/'CN FD alpha'!AB19</f>
        <v>52.59552242943672</v>
      </c>
      <c r="AC19" s="22">
        <f>('CN FD S'!AC19-'CN FD C'!AC19*EurCall!AC18)/'CN FD alpha'!AC19</f>
        <v>52.571872648267096</v>
      </c>
      <c r="AD19" s="22">
        <f>('CN FD S'!AD19-'CN FD C'!AD19*EurCall!AD18)/'CN FD alpha'!AD19</f>
        <v>52.548208672963177</v>
      </c>
      <c r="AE19" s="22">
        <f>('CN FD S'!AE19-'CN FD C'!AE19*EurCall!AE18)/'CN FD alpha'!AE19</f>
        <v>52.524530495005543</v>
      </c>
      <c r="AF19" s="22">
        <f>('CN FD S'!AF19-'CN FD C'!AF19*EurCall!AF18)/'CN FD alpha'!AF19</f>
        <v>52.500838105869612</v>
      </c>
      <c r="AG19" s="22">
        <f>('CN FD S'!AG19-'CN FD C'!AG19*EurCall!AG18)/'CN FD alpha'!AG19</f>
        <v>52.477131497025681</v>
      </c>
      <c r="AH19" s="22">
        <f>('CN FD S'!AH19-'CN FD C'!AH19*EurCall!AH18)/'CN FD alpha'!AH19</f>
        <v>52.453410659938868</v>
      </c>
      <c r="AI19" s="22">
        <f>('CN FD S'!AI19-'CN FD C'!AI19*EurCall!AI18)/'CN FD alpha'!AI19</f>
        <v>52.429675586069166</v>
      </c>
      <c r="AJ19" s="22">
        <f>('CN FD S'!AJ19-'CN FD C'!AJ19*EurCall!AJ18)/'CN FD alpha'!AJ19</f>
        <v>52.405926266871361</v>
      </c>
      <c r="AK19" s="22">
        <f>('CN FD S'!AK19-'CN FD C'!AK19*EurCall!AK18)/'CN FD alpha'!AK19</f>
        <v>52.382162693795067</v>
      </c>
      <c r="AL19" s="22">
        <f>('CN FD S'!AL19-'CN FD C'!AL19*EurCall!AL18)/'CN FD alpha'!AL19</f>
        <v>52.358384858284737</v>
      </c>
      <c r="AM19" s="22">
        <f>('CN FD S'!AM19-'CN FD C'!AM19*EurCall!AM18)/'CN FD alpha'!AM19</f>
        <v>52.334592751779596</v>
      </c>
      <c r="AN19" s="22">
        <f>('CN FD S'!AN19-'CN FD C'!AN19*EurCall!AN18)/'CN FD alpha'!AN19</f>
        <v>52.310786365713703</v>
      </c>
      <c r="AO19" s="22">
        <f>('CN FD S'!AO19-'CN FD C'!AO19*EurCall!AO18)/'CN FD alpha'!AO19</f>
        <v>52.286965691515881</v>
      </c>
      <c r="AP19" s="22">
        <f>('CN FD S'!AP19-'CN FD C'!AP19*EurCall!AP18)/'CN FD alpha'!AP19</f>
        <v>52.26313072060978</v>
      </c>
      <c r="AQ19" s="22">
        <f>('CN FD S'!AQ19-'CN FD C'!AQ19*EurCall!AQ18)/'CN FD alpha'!AQ19</f>
        <v>52.23928144441382</v>
      </c>
      <c r="AR19" s="22">
        <f>('CN FD S'!AR19-'CN FD C'!AR19*EurCall!AR18)/'CN FD alpha'!AR19</f>
        <v>52.21541785434124</v>
      </c>
      <c r="AS19" s="22">
        <f>('CN FD S'!AS19-'CN FD C'!AS19*EurCall!AS18)/'CN FD alpha'!AS19</f>
        <v>52.191539941800116</v>
      </c>
      <c r="AT19" s="22">
        <f>('CN FD S'!AT19-'CN FD C'!AT19*EurCall!AT18)/'CN FD alpha'!AT19</f>
        <v>52.167647698193434</v>
      </c>
      <c r="AU19" s="22">
        <f>('CN FD S'!AU19-'CN FD C'!AU19*EurCall!AU18)/'CN FD alpha'!AU19</f>
        <v>52.14374111491923</v>
      </c>
      <c r="AV19" s="22">
        <f>('CN FD S'!AV19-'CN FD C'!AV19*EurCall!AV18)/'CN FD alpha'!AV19</f>
        <v>52.11982018337077</v>
      </c>
      <c r="AW19" s="22">
        <f>('CN FD S'!AW19-'CN FD C'!AW19*EurCall!AW18)/'CN FD alpha'!AW19</f>
        <v>52.095884894936965</v>
      </c>
      <c r="AX19" s="22">
        <f>('CN FD S'!AX19-'CN FD C'!AX19*EurCall!AX18)/'CN FD alpha'!AX19</f>
        <v>52.071935241002947</v>
      </c>
      <c r="AY19" s="22">
        <f>('CN FD S'!AY19-'CN FD C'!AY19*EurCall!AY18)/'CN FD alpha'!AY19</f>
        <v>52.047971212950735</v>
      </c>
      <c r="AZ19" s="22">
        <f>('CN FD S'!AZ19-'CN FD C'!AZ19*EurCall!AZ18)/'CN FD alpha'!AZ19</f>
        <v>52.02399280215883</v>
      </c>
      <c r="BA19" s="6">
        <f t="shared" si="1"/>
        <v>52</v>
      </c>
    </row>
    <row r="20" spans="1:53" x14ac:dyDescent="0.2">
      <c r="A20" s="15">
        <f t="shared" si="2"/>
        <v>45</v>
      </c>
      <c r="B20" s="16">
        <f t="shared" si="0"/>
        <v>90</v>
      </c>
      <c r="C20" s="22">
        <f>('CN FD S'!C20-'CN FD C'!C20*EurCall!C19)/'CN FD alpha'!C20</f>
        <v>51.18217869410546</v>
      </c>
      <c r="D20" s="22">
        <f>('CN FD S'!D20-'CN FD C'!D20*EurCall!D19)/'CN FD alpha'!D20</f>
        <v>51.158881009741464</v>
      </c>
      <c r="E20" s="22">
        <f>('CN FD S'!E20-'CN FD C'!E20*EurCall!E19)/'CN FD alpha'!E20</f>
        <v>51.135569343132069</v>
      </c>
      <c r="F20" s="22">
        <f>('CN FD S'!F20-'CN FD C'!F20*EurCall!F19)/'CN FD alpha'!F20</f>
        <v>51.112243685777308</v>
      </c>
      <c r="G20" s="22">
        <f>('CN FD S'!G20-'CN FD C'!G20*EurCall!G19)/'CN FD alpha'!G20</f>
        <v>51.08890402918999</v>
      </c>
      <c r="H20" s="22">
        <f>('CN FD S'!H20-'CN FD C'!H20*EurCall!H19)/'CN FD alpha'!H20</f>
        <v>51.065550364893298</v>
      </c>
      <c r="I20" s="22">
        <f>('CN FD S'!I20-'CN FD C'!I20*EurCall!I19)/'CN FD alpha'!I20</f>
        <v>51.042182684418641</v>
      </c>
      <c r="J20" s="22">
        <f>('CN FD S'!J20-'CN FD C'!J20*EurCall!J19)/'CN FD alpha'!J20</f>
        <v>51.018800979303698</v>
      </c>
      <c r="K20" s="22">
        <f>('CN FD S'!K20-'CN FD C'!K20*EurCall!K19)/'CN FD alpha'!K20</f>
        <v>50.995405241090651</v>
      </c>
      <c r="L20" s="22">
        <f>('CN FD S'!L20-'CN FD C'!L20*EurCall!L19)/'CN FD alpha'!L20</f>
        <v>50.97199546132466</v>
      </c>
      <c r="M20" s="22">
        <f>('CN FD S'!M20-'CN FD C'!M20*EurCall!M19)/'CN FD alpha'!M20</f>
        <v>50.948571631552475</v>
      </c>
      <c r="N20" s="22">
        <f>('CN FD S'!N20-'CN FD C'!N20*EurCall!N19)/'CN FD alpha'!N20</f>
        <v>50.925133743321297</v>
      </c>
      <c r="O20" s="22">
        <f>('CN FD S'!O20-'CN FD C'!O20*EurCall!O19)/'CN FD alpha'!O20</f>
        <v>50.901681788177726</v>
      </c>
      <c r="P20" s="22">
        <f>('CN FD S'!P20-'CN FD C'!P20*EurCall!P19)/'CN FD alpha'!P20</f>
        <v>50.878215757666929</v>
      </c>
      <c r="Q20" s="22">
        <f>('CN FD S'!Q20-'CN FD C'!Q20*EurCall!Q19)/'CN FD alpha'!Q20</f>
        <v>50.854735643331857</v>
      </c>
      <c r="R20" s="22">
        <f>('CN FD S'!R20-'CN FD C'!R20*EurCall!R19)/'CN FD alpha'!R20</f>
        <v>50.831241436712666</v>
      </c>
      <c r="S20" s="22">
        <f>('CN FD S'!S20-'CN FD C'!S20*EurCall!S19)/'CN FD alpha'!S20</f>
        <v>50.807733129346246</v>
      </c>
      <c r="T20" s="22">
        <f>('CN FD S'!T20-'CN FD C'!T20*EurCall!T19)/'CN FD alpha'!T20</f>
        <v>50.784210712765699</v>
      </c>
      <c r="U20" s="22">
        <f>('CN FD S'!U20-'CN FD C'!U20*EurCall!U19)/'CN FD alpha'!U20</f>
        <v>50.760674178500139</v>
      </c>
      <c r="V20" s="22">
        <f>('CN FD S'!V20-'CN FD C'!V20*EurCall!V19)/'CN FD alpha'!V20</f>
        <v>50.737123518074327</v>
      </c>
      <c r="W20" s="22">
        <f>('CN FD S'!W20-'CN FD C'!W20*EurCall!W19)/'CN FD alpha'!W20</f>
        <v>50.713558723008497</v>
      </c>
      <c r="X20" s="22">
        <f>('CN FD S'!X20-'CN FD C'!X20*EurCall!X19)/'CN FD alpha'!X20</f>
        <v>50.689979784818213</v>
      </c>
      <c r="Y20" s="22">
        <f>('CN FD S'!Y20-'CN FD C'!Y20*EurCall!Y19)/'CN FD alpha'!Y20</f>
        <v>50.666386695014225</v>
      </c>
      <c r="Z20" s="22">
        <f>('CN FD S'!Z20-'CN FD C'!Z20*EurCall!Z19)/'CN FD alpha'!Z20</f>
        <v>50.64277944510237</v>
      </c>
      <c r="AA20" s="22">
        <f>('CN FD S'!AA20-'CN FD C'!AA20*EurCall!AA19)/'CN FD alpha'!AA20</f>
        <v>50.61915802658352</v>
      </c>
      <c r="AB20" s="22">
        <f>('CN FD S'!AB20-'CN FD C'!AB20*EurCall!AB19)/'CN FD alpha'!AB20</f>
        <v>50.595522430953544</v>
      </c>
      <c r="AC20" s="22">
        <f>('CN FD S'!AC20-'CN FD C'!AC20*EurCall!AC19)/'CN FD alpha'!AC20</f>
        <v>50.571872649703238</v>
      </c>
      <c r="AD20" s="22">
        <f>('CN FD S'!AD20-'CN FD C'!AD20*EurCall!AD19)/'CN FD alpha'!AD20</f>
        <v>50.548208674318303</v>
      </c>
      <c r="AE20" s="22">
        <f>('CN FD S'!AE20-'CN FD C'!AE20*EurCall!AE19)/'CN FD alpha'!AE20</f>
        <v>50.524530496279361</v>
      </c>
      <c r="AF20" s="22">
        <f>('CN FD S'!AF20-'CN FD C'!AF20*EurCall!AF19)/'CN FD alpha'!AF20</f>
        <v>50.500838107061917</v>
      </c>
      <c r="AG20" s="22">
        <f>('CN FD S'!AG20-'CN FD C'!AG20*EurCall!AG19)/'CN FD alpha'!AG20</f>
        <v>50.47713149813633</v>
      </c>
      <c r="AH20" s="22">
        <f>('CN FD S'!AH20-'CN FD C'!AH20*EurCall!AH19)/'CN FD alpha'!AH20</f>
        <v>50.453410660967847</v>
      </c>
      <c r="AI20" s="22">
        <f>('CN FD S'!AI20-'CN FD C'!AI20*EurCall!AI19)/'CN FD alpha'!AI20</f>
        <v>50.429675587016582</v>
      </c>
      <c r="AJ20" s="22">
        <f>('CN FD S'!AJ20-'CN FD C'!AJ20*EurCall!AJ19)/'CN FD alpha'!AJ20</f>
        <v>50.405926267737492</v>
      </c>
      <c r="AK20" s="22">
        <f>('CN FD S'!AK20-'CN FD C'!AK20*EurCall!AK19)/'CN FD alpha'!AK20</f>
        <v>50.382162694580408</v>
      </c>
      <c r="AL20" s="22">
        <f>('CN FD S'!AL20-'CN FD C'!AL20*EurCall!AL19)/'CN FD alpha'!AL20</f>
        <v>50.358384858990021</v>
      </c>
      <c r="AM20" s="22">
        <f>('CN FD S'!AM20-'CN FD C'!AM20*EurCall!AM19)/'CN FD alpha'!AM20</f>
        <v>50.334592752405868</v>
      </c>
      <c r="AN20" s="22">
        <f>('CN FD S'!AN20-'CN FD C'!AN20*EurCall!AN19)/'CN FD alpha'!AN20</f>
        <v>50.310786366262356</v>
      </c>
      <c r="AO20" s="22">
        <f>('CN FD S'!AO20-'CN FD C'!AO20*EurCall!AO19)/'CN FD alpha'!AO20</f>
        <v>50.286965691988797</v>
      </c>
      <c r="AP20" s="22">
        <f>('CN FD S'!AP20-'CN FD C'!AP20*EurCall!AP19)/'CN FD alpha'!AP20</f>
        <v>50.263130721009361</v>
      </c>
      <c r="AQ20" s="22">
        <f>('CN FD S'!AQ20-'CN FD C'!AQ20*EurCall!AQ19)/'CN FD alpha'!AQ20</f>
        <v>50.239281444743163</v>
      </c>
      <c r="AR20" s="22">
        <f>('CN FD S'!AR20-'CN FD C'!AR20*EurCall!AR19)/'CN FD alpha'!AR20</f>
        <v>50.215417854604254</v>
      </c>
      <c r="AS20" s="22">
        <f>('CN FD S'!AS20-'CN FD C'!AS20*EurCall!AS19)/'CN FD alpha'!AS20</f>
        <v>50.191539942001732</v>
      </c>
      <c r="AT20" s="22">
        <f>('CN FD S'!AT20-'CN FD C'!AT20*EurCall!AT19)/'CN FD alpha'!AT20</f>
        <v>50.167647698339742</v>
      </c>
      <c r="AU20" s="22">
        <f>('CN FD S'!AU20-'CN FD C'!AU20*EurCall!AU19)/'CN FD alpha'!AU20</f>
        <v>50.143741115017676</v>
      </c>
      <c r="AV20" s="22">
        <f>('CN FD S'!AV20-'CN FD C'!AV20*EurCall!AV19)/'CN FD alpha'!AV20</f>
        <v>50.119820183430242</v>
      </c>
      <c r="AW20" s="22">
        <f>('CN FD S'!AW20-'CN FD C'!AW20*EurCall!AW19)/'CN FD alpha'!AW20</f>
        <v>50.095884894967568</v>
      </c>
      <c r="AX20" s="22">
        <f>('CN FD S'!AX20-'CN FD C'!AX20*EurCall!AX19)/'CN FD alpha'!AX20</f>
        <v>50.071935241015261</v>
      </c>
      <c r="AY20" s="22">
        <f>('CN FD S'!AY20-'CN FD C'!AY20*EurCall!AY19)/'CN FD alpha'!AY20</f>
        <v>50.047971212954074</v>
      </c>
      <c r="AZ20" s="22">
        <f>('CN FD S'!AZ20-'CN FD C'!AZ20*EurCall!AZ19)/'CN FD alpha'!AZ20</f>
        <v>50.02399280215927</v>
      </c>
      <c r="BA20" s="6">
        <f t="shared" si="1"/>
        <v>50</v>
      </c>
    </row>
    <row r="21" spans="1:53" x14ac:dyDescent="0.2">
      <c r="A21" s="15">
        <f t="shared" si="2"/>
        <v>44</v>
      </c>
      <c r="B21" s="16">
        <f t="shared" si="0"/>
        <v>88</v>
      </c>
      <c r="C21" s="22">
        <f>('CN FD S'!C21-'CN FD C'!C21*EurCall!C20)/'CN FD alpha'!C21</f>
        <v>49.182178710947944</v>
      </c>
      <c r="D21" s="22">
        <f>('CN FD S'!D21-'CN FD C'!D21*EurCall!D20)/'CN FD alpha'!D21</f>
        <v>49.158881023411801</v>
      </c>
      <c r="E21" s="22">
        <f>('CN FD S'!E21-'CN FD C'!E21*EurCall!E20)/'CN FD alpha'!E21</f>
        <v>49.135569354245213</v>
      </c>
      <c r="F21" s="22">
        <f>('CN FD S'!F21-'CN FD C'!F21*EurCall!F20)/'CN FD alpha'!F21</f>
        <v>49.112243694841538</v>
      </c>
      <c r="G21" s="22">
        <f>('CN FD S'!G21-'CN FD C'!G21*EurCall!G20)/'CN FD alpha'!G21</f>
        <v>49.088904036622388</v>
      </c>
      <c r="H21" s="22">
        <f>('CN FD S'!H21-'CN FD C'!H21*EurCall!H20)/'CN FD alpha'!H21</f>
        <v>49.065550371033488</v>
      </c>
      <c r="I21" s="22">
        <f>('CN FD S'!I21-'CN FD C'!I21*EurCall!I20)/'CN FD alpha'!I21</f>
        <v>49.04218268954093</v>
      </c>
      <c r="J21" s="22">
        <f>('CN FD S'!J21-'CN FD C'!J21*EurCall!J20)/'CN FD alpha'!J21</f>
        <v>49.018800983627756</v>
      </c>
      <c r="K21" s="22">
        <f>('CN FD S'!K21-'CN FD C'!K21*EurCall!K20)/'CN FD alpha'!K21</f>
        <v>48.995405244790824</v>
      </c>
      <c r="L21" s="22">
        <f>('CN FD S'!L21-'CN FD C'!L21*EurCall!L20)/'CN FD alpha'!L21</f>
        <v>48.971995464538026</v>
      </c>
      <c r="M21" s="22">
        <f>('CN FD S'!M21-'CN FD C'!M21*EurCall!M20)/'CN FD alpha'!M21</f>
        <v>48.948571634385743</v>
      </c>
      <c r="N21" s="22">
        <f>('CN FD S'!N21-'CN FD C'!N21*EurCall!N20)/'CN FD alpha'!N21</f>
        <v>48.925133745856655</v>
      </c>
      <c r="O21" s="22">
        <f>('CN FD S'!O21-'CN FD C'!O21*EurCall!O20)/'CN FD alpha'!O21</f>
        <v>48.901681790477781</v>
      </c>
      <c r="P21" s="22">
        <f>('CN FD S'!P21-'CN FD C'!P21*EurCall!P20)/'CN FD alpha'!P21</f>
        <v>48.87821575977879</v>
      </c>
      <c r="Q21" s="22">
        <f>('CN FD S'!Q21-'CN FD C'!Q21*EurCall!Q20)/'CN FD alpha'!Q21</f>
        <v>48.854735645290553</v>
      </c>
      <c r="R21" s="22">
        <f>('CN FD S'!R21-'CN FD C'!R21*EurCall!R20)/'CN FD alpha'!R21</f>
        <v>48.831241438543913</v>
      </c>
      <c r="S21" s="22">
        <f>('CN FD S'!S21-'CN FD C'!S21*EurCall!S20)/'CN FD alpha'!S21</f>
        <v>48.807733131068602</v>
      </c>
      <c r="T21" s="22">
        <f>('CN FD S'!T21-'CN FD C'!T21*EurCall!T20)/'CN FD alpha'!T21</f>
        <v>48.784210714392437</v>
      </c>
      <c r="U21" s="22">
        <f>('CN FD S'!U21-'CN FD C'!U21*EurCall!U20)/'CN FD alpha'!U21</f>
        <v>48.760674180040532</v>
      </c>
      <c r="V21" s="22">
        <f>('CN FD S'!V21-'CN FD C'!V21*EurCall!V20)/'CN FD alpha'!V21</f>
        <v>48.737123519534784</v>
      </c>
      <c r="W21" s="22">
        <f>('CN FD S'!W21-'CN FD C'!W21*EurCall!W20)/'CN FD alpha'!W21</f>
        <v>48.713558724393394</v>
      </c>
      <c r="X21" s="22">
        <f>('CN FD S'!X21-'CN FD C'!X21*EurCall!X20)/'CN FD alpha'!X21</f>
        <v>48.689979786130472</v>
      </c>
      <c r="Y21" s="22">
        <f>('CN FD S'!Y21-'CN FD C'!Y21*EurCall!Y20)/'CN FD alpha'!Y21</f>
        <v>48.666386696255792</v>
      </c>
      <c r="Z21" s="22">
        <f>('CN FD S'!Z21-'CN FD C'!Z21*EurCall!Z20)/'CN FD alpha'!Z21</f>
        <v>48.64277944627456</v>
      </c>
      <c r="AA21" s="22">
        <f>('CN FD S'!AA21-'CN FD C'!AA21*EurCall!AA20)/'CN FD alpha'!AA21</f>
        <v>48.619158027687249</v>
      </c>
      <c r="AB21" s="22">
        <f>('CN FD S'!AB21-'CN FD C'!AB21*EurCall!AB20)/'CN FD alpha'!AB21</f>
        <v>48.595522431989487</v>
      </c>
      <c r="AC21" s="22">
        <f>('CN FD S'!AC21-'CN FD C'!AC21*EurCall!AC20)/'CN FD alpha'!AC21</f>
        <v>48.57187265067197</v>
      </c>
      <c r="AD21" s="22">
        <f>('CN FD S'!AD21-'CN FD C'!AD21*EurCall!AD20)/'CN FD alpha'!AD21</f>
        <v>48.548208675220373</v>
      </c>
      <c r="AE21" s="22">
        <f>('CN FD S'!AE21-'CN FD C'!AE21*EurCall!AE20)/'CN FD alpha'!AE21</f>
        <v>48.524530497115357</v>
      </c>
      <c r="AF21" s="22">
        <f>('CN FD S'!AF21-'CN FD C'!AF21*EurCall!AF20)/'CN FD alpha'!AF21</f>
        <v>48.5008381078325</v>
      </c>
      <c r="AG21" s="22">
        <f>('CN FD S'!AG21-'CN FD C'!AG21*EurCall!AG20)/'CN FD alpha'!AG21</f>
        <v>48.477131498842304</v>
      </c>
      <c r="AH21" s="22">
        <f>('CN FD S'!AH21-'CN FD C'!AH21*EurCall!AH20)/'CN FD alpha'!AH21</f>
        <v>48.45341066161015</v>
      </c>
      <c r="AI21" s="22">
        <f>('CN FD S'!AI21-'CN FD C'!AI21*EurCall!AI20)/'CN FD alpha'!AI21</f>
        <v>48.429675587596343</v>
      </c>
      <c r="AJ21" s="22">
        <f>('CN FD S'!AJ21-'CN FD C'!AJ21*EurCall!AJ20)/'CN FD alpha'!AJ21</f>
        <v>48.405926268256067</v>
      </c>
      <c r="AK21" s="22">
        <f>('CN FD S'!AK21-'CN FD C'!AK21*EurCall!AK20)/'CN FD alpha'!AK21</f>
        <v>48.382162695039376</v>
      </c>
      <c r="AL21" s="22">
        <f>('CN FD S'!AL21-'CN FD C'!AL21*EurCall!AL20)/'CN FD alpha'!AL21</f>
        <v>48.358384859391244</v>
      </c>
      <c r="AM21" s="22">
        <f>('CN FD S'!AM21-'CN FD C'!AM21*EurCall!AM20)/'CN FD alpha'!AM21</f>
        <v>48.33459275275154</v>
      </c>
      <c r="AN21" s="22">
        <f>('CN FD S'!AN21-'CN FD C'!AN21*EurCall!AN20)/'CN FD alpha'!AN21</f>
        <v>48.310786366555057</v>
      </c>
      <c r="AO21" s="22">
        <f>('CN FD S'!AO21-'CN FD C'!AO21*EurCall!AO20)/'CN FD alpha'!AO21</f>
        <v>48.286965692231497</v>
      </c>
      <c r="AP21" s="22">
        <f>('CN FD S'!AP21-'CN FD C'!AP21*EurCall!AP20)/'CN FD alpha'!AP21</f>
        <v>48.263130721205513</v>
      </c>
      <c r="AQ21" s="22">
        <f>('CN FD S'!AQ21-'CN FD C'!AQ21*EurCall!AQ20)/'CN FD alpha'!AQ21</f>
        <v>48.239281444896719</v>
      </c>
      <c r="AR21" s="22">
        <f>('CN FD S'!AR21-'CN FD C'!AR21*EurCall!AR20)/'CN FD alpha'!AR21</f>
        <v>48.215417854719725</v>
      </c>
      <c r="AS21" s="22">
        <f>('CN FD S'!AS21-'CN FD C'!AS21*EurCall!AS20)/'CN FD alpha'!AS21</f>
        <v>48.191539942084155</v>
      </c>
      <c r="AT21" s="22">
        <f>('CN FD S'!AT21-'CN FD C'!AT21*EurCall!AT20)/'CN FD alpha'!AT21</f>
        <v>48.167647698394681</v>
      </c>
      <c r="AU21" s="22">
        <f>('CN FD S'!AU21-'CN FD C'!AU21*EurCall!AU20)/'CN FD alpha'!AU21</f>
        <v>48.14374111505105</v>
      </c>
      <c r="AV21" s="22">
        <f>('CN FD S'!AV21-'CN FD C'!AV21*EurCall!AV20)/'CN FD alpha'!AV21</f>
        <v>48.119820183448063</v>
      </c>
      <c r="AW21" s="22">
        <f>('CN FD S'!AW21-'CN FD C'!AW21*EurCall!AW20)/'CN FD alpha'!AW21</f>
        <v>48.095884894975505</v>
      </c>
      <c r="AX21" s="22">
        <f>('CN FD S'!AX21-'CN FD C'!AX21*EurCall!AX20)/'CN FD alpha'!AX21</f>
        <v>48.071935241017975</v>
      </c>
      <c r="AY21" s="22">
        <f>('CN FD S'!AY21-'CN FD C'!AY21*EurCall!AY20)/'CN FD alpha'!AY21</f>
        <v>48.0479712129547</v>
      </c>
      <c r="AZ21" s="22">
        <f>('CN FD S'!AZ21-'CN FD C'!AZ21*EurCall!AZ20)/'CN FD alpha'!AZ21</f>
        <v>48.023992802159341</v>
      </c>
      <c r="BA21" s="6">
        <f t="shared" si="1"/>
        <v>48</v>
      </c>
    </row>
    <row r="22" spans="1:53" x14ac:dyDescent="0.2">
      <c r="A22" s="15">
        <f t="shared" si="2"/>
        <v>43</v>
      </c>
      <c r="B22" s="16">
        <f t="shared" si="0"/>
        <v>86</v>
      </c>
      <c r="C22" s="22">
        <f>('CN FD S'!C22-'CN FD C'!C22*EurCall!C21)/'CN FD alpha'!C22</f>
        <v>47.182178745297293</v>
      </c>
      <c r="D22" s="22">
        <f>('CN FD S'!D22-'CN FD C'!D22*EurCall!D21)/'CN FD alpha'!D22</f>
        <v>47.158881050907986</v>
      </c>
      <c r="E22" s="22">
        <f>('CN FD S'!E22-'CN FD C'!E22*EurCall!E21)/'CN FD alpha'!E22</f>
        <v>47.135569376169045</v>
      </c>
      <c r="F22" s="22">
        <f>('CN FD S'!F22-'CN FD C'!F22*EurCall!F21)/'CN FD alpha'!F22</f>
        <v>47.112243712264771</v>
      </c>
      <c r="G22" s="22">
        <f>('CN FD S'!G22-'CN FD C'!G22*EurCall!G21)/'CN FD alpha'!G22</f>
        <v>47.088904050435595</v>
      </c>
      <c r="H22" s="22">
        <f>('CN FD S'!H22-'CN FD C'!H22*EurCall!H21)/'CN FD alpha'!H22</f>
        <v>47.065550381971271</v>
      </c>
      <c r="I22" s="22">
        <f>('CN FD S'!I22-'CN FD C'!I22*EurCall!I21)/'CN FD alpha'!I22</f>
        <v>47.042182698204634</v>
      </c>
      <c r="J22" s="22">
        <f>('CN FD S'!J22-'CN FD C'!J22*EurCall!J21)/'CN FD alpha'!J22</f>
        <v>47.018800990505653</v>
      </c>
      <c r="K22" s="22">
        <f>('CN FD S'!K22-'CN FD C'!K22*EurCall!K21)/'CN FD alpha'!K22</f>
        <v>46.995405250276029</v>
      </c>
      <c r="L22" s="22">
        <f>('CN FD S'!L22-'CN FD C'!L22*EurCall!L21)/'CN FD alpha'!L22</f>
        <v>46.971995468944193</v>
      </c>
      <c r="M22" s="22">
        <f>('CN FD S'!M22-'CN FD C'!M22*EurCall!M21)/'CN FD alpha'!M22</f>
        <v>46.948571637960832</v>
      </c>
      <c r="N22" s="22">
        <f>('CN FD S'!N22-'CN FD C'!N22*EurCall!N21)/'CN FD alpha'!N22</f>
        <v>46.925133748794721</v>
      </c>
      <c r="O22" s="22">
        <f>('CN FD S'!O22-'CN FD C'!O22*EurCall!O21)/'CN FD alpha'!O22</f>
        <v>46.901681792929125</v>
      </c>
      <c r="P22" s="22">
        <f>('CN FD S'!P22-'CN FD C'!P22*EurCall!P21)/'CN FD alpha'!P22</f>
        <v>46.878215761858584</v>
      </c>
      <c r="Q22" s="22">
        <f>('CN FD S'!Q22-'CN FD C'!Q22*EurCall!Q21)/'CN FD alpha'!Q22</f>
        <v>46.854735647086024</v>
      </c>
      <c r="R22" s="22">
        <f>('CN FD S'!R22-'CN FD C'!R22*EurCall!R21)/'CN FD alpha'!R22</f>
        <v>46.831241440120301</v>
      </c>
      <c r="S22" s="22">
        <f>('CN FD S'!S22-'CN FD C'!S22*EurCall!S21)/'CN FD alpha'!S22</f>
        <v>46.807733132474134</v>
      </c>
      <c r="T22" s="22">
        <f>('CN FD S'!T22-'CN FD C'!T22*EurCall!T21)/'CN FD alpha'!T22</f>
        <v>46.784210715662283</v>
      </c>
      <c r="U22" s="22">
        <f>('CN FD S'!U22-'CN FD C'!U22*EurCall!U21)/'CN FD alpha'!U22</f>
        <v>46.760674181200031</v>
      </c>
      <c r="V22" s="22">
        <f>('CN FD S'!V22-'CN FD C'!V22*EurCall!V21)/'CN FD alpha'!V22</f>
        <v>46.737123520601926</v>
      </c>
      <c r="W22" s="22">
        <f>('CN FD S'!W22-'CN FD C'!W22*EurCall!W21)/'CN FD alpha'!W22</f>
        <v>46.713558725380828</v>
      </c>
      <c r="X22" s="22">
        <f>('CN FD S'!X22-'CN FD C'!X22*EurCall!X21)/'CN FD alpha'!X22</f>
        <v>46.689979787046994</v>
      </c>
      <c r="Y22" s="22">
        <f>('CN FD S'!Y22-'CN FD C'!Y22*EurCall!Y21)/'CN FD alpha'!Y22</f>
        <v>46.666386697107505</v>
      </c>
      <c r="Z22" s="22">
        <f>('CN FD S'!Z22-'CN FD C'!Z22*EurCall!Z21)/'CN FD alpha'!Z22</f>
        <v>46.642779447065713</v>
      </c>
      <c r="AA22" s="22">
        <f>('CN FD S'!AA22-'CN FD C'!AA22*EurCall!AA21)/'CN FD alpha'!AA22</f>
        <v>46.619158028420856</v>
      </c>
      <c r="AB22" s="22">
        <f>('CN FD S'!AB22-'CN FD C'!AB22*EurCall!AB21)/'CN FD alpha'!AB22</f>
        <v>46.595522432667771</v>
      </c>
      <c r="AC22" s="22">
        <f>('CN FD S'!AC22-'CN FD C'!AC22*EurCall!AC21)/'CN FD alpha'!AC22</f>
        <v>46.571872651296665</v>
      </c>
      <c r="AD22" s="22">
        <f>('CN FD S'!AD22-'CN FD C'!AD22*EurCall!AD21)/'CN FD alpha'!AD22</f>
        <v>46.548208675792978</v>
      </c>
      <c r="AE22" s="22">
        <f>('CN FD S'!AE22-'CN FD C'!AE22*EurCall!AE21)/'CN FD alpha'!AE22</f>
        <v>46.524530497637265</v>
      </c>
      <c r="AF22" s="22">
        <f>('CN FD S'!AF22-'CN FD C'!AF22*EurCall!AF21)/'CN FD alpha'!AF22</f>
        <v>46.500838108305103</v>
      </c>
      <c r="AG22" s="22">
        <f>('CN FD S'!AG22-'CN FD C'!AG22*EurCall!AG21)/'CN FD alpha'!AG22</f>
        <v>46.477131499267067</v>
      </c>
      <c r="AH22" s="22">
        <f>('CN FD S'!AH22-'CN FD C'!AH22*EurCall!AH21)/'CN FD alpha'!AH22</f>
        <v>46.453410661988649</v>
      </c>
      <c r="AI22" s="22">
        <f>('CN FD S'!AI22-'CN FD C'!AI22*EurCall!AI21)/'CN FD alpha'!AI22</f>
        <v>46.429675587930305</v>
      </c>
      <c r="AJ22" s="22">
        <f>('CN FD S'!AJ22-'CN FD C'!AJ22*EurCall!AJ21)/'CN FD alpha'!AJ22</f>
        <v>46.40592626854739</v>
      </c>
      <c r="AK22" s="22">
        <f>('CN FD S'!AK22-'CN FD C'!AK22*EurCall!AK21)/'CN FD alpha'!AK22</f>
        <v>46.382162695290184</v>
      </c>
      <c r="AL22" s="22">
        <f>('CN FD S'!AL22-'CN FD C'!AL22*EurCall!AL21)/'CN FD alpha'!AL22</f>
        <v>46.358384859603873</v>
      </c>
      <c r="AM22" s="22">
        <f>('CN FD S'!AM22-'CN FD C'!AM22*EurCall!AM21)/'CN FD alpha'!AM22</f>
        <v>46.334592752928565</v>
      </c>
      <c r="AN22" s="22">
        <f>('CN FD S'!AN22-'CN FD C'!AN22*EurCall!AN21)/'CN FD alpha'!AN22</f>
        <v>46.310786366699283</v>
      </c>
      <c r="AO22" s="22">
        <f>('CN FD S'!AO22-'CN FD C'!AO22*EurCall!AO21)/'CN FD alpha'!AO22</f>
        <v>46.286965692345987</v>
      </c>
      <c r="AP22" s="22">
        <f>('CN FD S'!AP22-'CN FD C'!AP22*EurCall!AP21)/'CN FD alpha'!AP22</f>
        <v>46.263130721293557</v>
      </c>
      <c r="AQ22" s="22">
        <f>('CN FD S'!AQ22-'CN FD C'!AQ22*EurCall!AQ21)/'CN FD alpha'!AQ22</f>
        <v>46.239281444961826</v>
      </c>
      <c r="AR22" s="22">
        <f>('CN FD S'!AR22-'CN FD C'!AR22*EurCall!AR21)/'CN FD alpha'!AR22</f>
        <v>46.215417854765548</v>
      </c>
      <c r="AS22" s="22">
        <f>('CN FD S'!AS22-'CN FD C'!AS22*EurCall!AS21)/'CN FD alpha'!AS22</f>
        <v>46.191539942114439</v>
      </c>
      <c r="AT22" s="22">
        <f>('CN FD S'!AT22-'CN FD C'!AT22*EurCall!AT21)/'CN FD alpha'!AT22</f>
        <v>46.167647698413127</v>
      </c>
      <c r="AU22" s="22">
        <f>('CN FD S'!AU22-'CN FD C'!AU22*EurCall!AU21)/'CN FD alpha'!AU22</f>
        <v>46.143741115061147</v>
      </c>
      <c r="AV22" s="22">
        <f>('CN FD S'!AV22-'CN FD C'!AV22*EurCall!AV21)/'CN FD alpha'!AV22</f>
        <v>46.119820183452845</v>
      </c>
      <c r="AW22" s="22">
        <f>('CN FD S'!AW22-'CN FD C'!AW22*EurCall!AW21)/'CN FD alpha'!AW22</f>
        <v>46.09588489497736</v>
      </c>
      <c r="AX22" s="22">
        <f>('CN FD S'!AX22-'CN FD C'!AX22*EurCall!AX21)/'CN FD alpha'!AX22</f>
        <v>46.071935241018522</v>
      </c>
      <c r="AY22" s="22">
        <f>('CN FD S'!AY22-'CN FD C'!AY22*EurCall!AY21)/'CN FD alpha'!AY22</f>
        <v>46.047971212954813</v>
      </c>
      <c r="AZ22" s="22">
        <f>('CN FD S'!AZ22-'CN FD C'!AZ22*EurCall!AZ21)/'CN FD alpha'!AZ22</f>
        <v>46.023992802159363</v>
      </c>
      <c r="BA22" s="6">
        <f t="shared" si="1"/>
        <v>46</v>
      </c>
    </row>
    <row r="23" spans="1:53" x14ac:dyDescent="0.2">
      <c r="A23" s="15">
        <f t="shared" si="2"/>
        <v>42</v>
      </c>
      <c r="B23" s="16">
        <f t="shared" si="0"/>
        <v>84</v>
      </c>
      <c r="C23" s="22">
        <f>('CN FD S'!C23-'CN FD C'!C23*EurCall!C22)/'CN FD alpha'!C23</f>
        <v>45.182178820440235</v>
      </c>
      <c r="D23" s="22">
        <f>('CN FD S'!D23-'CN FD C'!D23*EurCall!D22)/'CN FD alpha'!D23</f>
        <v>45.158881111165968</v>
      </c>
      <c r="E23" s="22">
        <f>('CN FD S'!E23-'CN FD C'!E23*EurCall!E22)/'CN FD alpha'!E23</f>
        <v>45.135569424196703</v>
      </c>
      <c r="F23" s="22">
        <f>('CN FD S'!F23-'CN FD C'!F23*EurCall!F22)/'CN FD alpha'!F23</f>
        <v>45.112243750310803</v>
      </c>
      <c r="G23" s="22">
        <f>('CN FD S'!G23-'CN FD C'!G23*EurCall!G22)/'CN FD alpha'!G23</f>
        <v>45.088904080392219</v>
      </c>
      <c r="H23" s="22">
        <f>('CN FD S'!H23-'CN FD C'!H23*EurCall!H22)/'CN FD alpha'!H23</f>
        <v>45.065550405419714</v>
      </c>
      <c r="I23" s="22">
        <f>('CN FD S'!I23-'CN FD C'!I23*EurCall!I22)/'CN FD alpha'!I23</f>
        <v>45.042182716456573</v>
      </c>
      <c r="J23" s="22">
        <f>('CN FD S'!J23-'CN FD C'!J23*EurCall!J22)/'CN FD alpha'!J23</f>
        <v>45.018801004640821</v>
      </c>
      <c r="K23" s="22">
        <f>('CN FD S'!K23-'CN FD C'!K23*EurCall!K22)/'CN FD alpha'!K23</f>
        <v>44.995405261176074</v>
      </c>
      <c r="L23" s="22">
        <f>('CN FD S'!L23-'CN FD C'!L23*EurCall!L22)/'CN FD alpha'!L23</f>
        <v>44.97199547732292</v>
      </c>
      <c r="M23" s="22">
        <f>('CN FD S'!M23-'CN FD C'!M23*EurCall!M22)/'CN FD alpha'!M23</f>
        <v>44.94857164439096</v>
      </c>
      <c r="N23" s="22">
        <f>('CN FD S'!N23-'CN FD C'!N23*EurCall!N22)/'CN FD alpha'!N23</f>
        <v>44.925133753731473</v>
      </c>
      <c r="O23" s="22">
        <f>('CN FD S'!O23-'CN FD C'!O23*EurCall!O22)/'CN FD alpha'!O23</f>
        <v>44.901681796730742</v>
      </c>
      <c r="P23" s="22">
        <f>('CN FD S'!P23-'CN FD C'!P23*EurCall!P22)/'CN FD alpha'!P23</f>
        <v>44.878215764804025</v>
      </c>
      <c r="Q23" s="22">
        <f>('CN FD S'!Q23-'CN FD C'!Q23*EurCall!Q22)/'CN FD alpha'!Q23</f>
        <v>44.854735649390136</v>
      </c>
      <c r="R23" s="22">
        <f>('CN FD S'!R23-'CN FD C'!R23*EurCall!R22)/'CN FD alpha'!R23</f>
        <v>44.831241441946652</v>
      </c>
      <c r="S23" s="22">
        <f>('CN FD S'!S23-'CN FD C'!S23*EurCall!S22)/'CN FD alpha'!S23</f>
        <v>44.807733133945753</v>
      </c>
      <c r="T23" s="22">
        <f>('CN FD S'!T23-'CN FD C'!T23*EurCall!T22)/'CN FD alpha'!T23</f>
        <v>44.784210716870518</v>
      </c>
      <c r="U23" s="22">
        <f>('CN FD S'!U23-'CN FD C'!U23*EurCall!U22)/'CN FD alpha'!U23</f>
        <v>44.760674182211822</v>
      </c>
      <c r="V23" s="22">
        <f>('CN FD S'!V23-'CN FD C'!V23*EurCall!V22)/'CN FD alpha'!V23</f>
        <v>44.737123521465698</v>
      </c>
      <c r="W23" s="22">
        <f>('CN FD S'!W23-'CN FD C'!W23*EurCall!W22)/'CN FD alpha'!W23</f>
        <v>44.713558726131126</v>
      </c>
      <c r="X23" s="22">
        <f>('CN FD S'!X23-'CN FD C'!X23*EurCall!X22)/'CN FD alpha'!X23</f>
        <v>44.689979787708147</v>
      </c>
      <c r="Y23" s="22">
        <f>('CN FD S'!Y23-'CN FD C'!Y23*EurCall!Y22)/'CN FD alpha'!Y23</f>
        <v>44.66638669769646</v>
      </c>
      <c r="Z23" s="22">
        <f>('CN FD S'!Z23-'CN FD C'!Z23*EurCall!Z22)/'CN FD alpha'!Z23</f>
        <v>44.642779447594187</v>
      </c>
      <c r="AA23" s="22">
        <f>('CN FD S'!AA23-'CN FD C'!AA23*EurCall!AA22)/'CN FD alpha'!AA23</f>
        <v>44.619158028896933</v>
      </c>
      <c r="AB23" s="22">
        <f>('CN FD S'!AB23-'CN FD C'!AB23*EurCall!AB22)/'CN FD alpha'!AB23</f>
        <v>44.595522433097095</v>
      </c>
      <c r="AC23" s="22">
        <f>('CN FD S'!AC23-'CN FD C'!AC23*EurCall!AC22)/'CN FD alpha'!AC23</f>
        <v>44.571872651683272</v>
      </c>
      <c r="AD23" s="22">
        <f>('CN FD S'!AD23-'CN FD C'!AD23*EurCall!AD22)/'CN FD alpha'!AD23</f>
        <v>44.548208676139893</v>
      </c>
      <c r="AE23" s="22">
        <f>('CN FD S'!AE23-'CN FD C'!AE23*EurCall!AE22)/'CN FD alpha'!AE23</f>
        <v>44.524530497946905</v>
      </c>
      <c r="AF23" s="22">
        <f>('CN FD S'!AF23-'CN FD C'!AF23*EurCall!AF22)/'CN FD alpha'!AF23</f>
        <v>44.500838108579551</v>
      </c>
      <c r="AG23" s="22">
        <f>('CN FD S'!AG23-'CN FD C'!AG23*EurCall!AG22)/'CN FD alpha'!AG23</f>
        <v>44.477131499508246</v>
      </c>
      <c r="AH23" s="22">
        <f>('CN FD S'!AH23-'CN FD C'!AH23*EurCall!AH22)/'CN FD alpha'!AH23</f>
        <v>44.453410662198479</v>
      </c>
      <c r="AI23" s="22">
        <f>('CN FD S'!AI23-'CN FD C'!AI23*EurCall!AI22)/'CN FD alpha'!AI23</f>
        <v>44.429675588110712</v>
      </c>
      <c r="AJ23" s="22">
        <f>('CN FD S'!AJ23-'CN FD C'!AJ23*EurCall!AJ22)/'CN FD alpha'!AJ23</f>
        <v>44.405926268700384</v>
      </c>
      <c r="AK23" s="22">
        <f>('CN FD S'!AK23-'CN FD C'!AK23*EurCall!AK22)/'CN FD alpha'!AK23</f>
        <v>44.382162695417875</v>
      </c>
      <c r="AL23" s="22">
        <f>('CN FD S'!AL23-'CN FD C'!AL23*EurCall!AL22)/'CN FD alpha'!AL23</f>
        <v>44.358384859708472</v>
      </c>
      <c r="AM23" s="22">
        <f>('CN FD S'!AM23-'CN FD C'!AM23*EurCall!AM22)/'CN FD alpha'!AM23</f>
        <v>44.33459275301238</v>
      </c>
      <c r="AN23" s="22">
        <f>('CN FD S'!AN23-'CN FD C'!AN23*EurCall!AN22)/'CN FD alpha'!AN23</f>
        <v>44.310786366764709</v>
      </c>
      <c r="AO23" s="22">
        <f>('CN FD S'!AO23-'CN FD C'!AO23*EurCall!AO22)/'CN FD alpha'!AO23</f>
        <v>44.286965692395484</v>
      </c>
      <c r="AP23" s="22">
        <f>('CN FD S'!AP23-'CN FD C'!AP23*EurCall!AP22)/'CN FD alpha'!AP23</f>
        <v>44.263130721329603</v>
      </c>
      <c r="AQ23" s="22">
        <f>('CN FD S'!AQ23-'CN FD C'!AQ23*EurCall!AQ22)/'CN FD alpha'!AQ23</f>
        <v>44.239281444986872</v>
      </c>
      <c r="AR23" s="22">
        <f>('CN FD S'!AR23-'CN FD C'!AR23*EurCall!AR22)/'CN FD alpha'!AR23</f>
        <v>44.215417854781982</v>
      </c>
      <c r="AS23" s="22">
        <f>('CN FD S'!AS23-'CN FD C'!AS23*EurCall!AS22)/'CN FD alpha'!AS23</f>
        <v>44.191539942124464</v>
      </c>
      <c r="AT23" s="22">
        <f>('CN FD S'!AT23-'CN FD C'!AT23*EurCall!AT22)/'CN FD alpha'!AT23</f>
        <v>44.167647698418705</v>
      </c>
      <c r="AU23" s="22">
        <f>('CN FD S'!AU23-'CN FD C'!AU23*EurCall!AU22)/'CN FD alpha'!AU23</f>
        <v>44.143741115063889</v>
      </c>
      <c r="AV23" s="22">
        <f>('CN FD S'!AV23-'CN FD C'!AV23*EurCall!AV22)/'CN FD alpha'!AV23</f>
        <v>44.119820183454003</v>
      </c>
      <c r="AW23" s="22">
        <f>('CN FD S'!AW23-'CN FD C'!AW23*EurCall!AW22)/'CN FD alpha'!AW23</f>
        <v>44.09588489497775</v>
      </c>
      <c r="AX23" s="22">
        <f>('CN FD S'!AX23-'CN FD C'!AX23*EurCall!AX22)/'CN FD alpha'!AX23</f>
        <v>44.071935241018615</v>
      </c>
      <c r="AY23" s="22">
        <f>('CN FD S'!AY23-'CN FD C'!AY23*EurCall!AY22)/'CN FD alpha'!AY23</f>
        <v>44.04797121295482</v>
      </c>
      <c r="AZ23" s="22">
        <f>('CN FD S'!AZ23-'CN FD C'!AZ23*EurCall!AZ22)/'CN FD alpha'!AZ23</f>
        <v>44.023992802159356</v>
      </c>
      <c r="BA23" s="6">
        <f t="shared" si="1"/>
        <v>44</v>
      </c>
    </row>
    <row r="24" spans="1:53" x14ac:dyDescent="0.2">
      <c r="A24" s="15">
        <f t="shared" si="2"/>
        <v>41</v>
      </c>
      <c r="B24" s="16">
        <f t="shared" si="0"/>
        <v>82</v>
      </c>
      <c r="C24" s="22">
        <f>('CN FD S'!C24-'CN FD C'!C24*EurCall!C23)/'CN FD alpha'!C24</f>
        <v>43.182178989445376</v>
      </c>
      <c r="D24" s="22">
        <f>('CN FD S'!D24-'CN FD C'!D24*EurCall!D23)/'CN FD alpha'!D24</f>
        <v>43.158881247813319</v>
      </c>
      <c r="E24" s="22">
        <f>('CN FD S'!E24-'CN FD C'!E24*EurCall!E23)/'CN FD alpha'!E24</f>
        <v>43.135569533955298</v>
      </c>
      <c r="F24" s="22">
        <f>('CN FD S'!F24-'CN FD C'!F24*EurCall!F23)/'CN FD alpha'!F24</f>
        <v>43.112243837870878</v>
      </c>
      <c r="G24" s="22">
        <f>('CN FD S'!G24-'CN FD C'!G24*EurCall!G23)/'CN FD alpha'!G24</f>
        <v>43.08890414975086</v>
      </c>
      <c r="H24" s="22">
        <f>('CN FD S'!H24-'CN FD C'!H24*EurCall!H23)/'CN FD alpha'!H24</f>
        <v>43.065550459960846</v>
      </c>
      <c r="I24" s="22">
        <f>('CN FD S'!I24-'CN FD C'!I24*EurCall!I23)/'CN FD alpha'!I24</f>
        <v>43.042182759025167</v>
      </c>
      <c r="J24" s="22">
        <f>('CN FD S'!J24-'CN FD C'!J24*EurCall!J23)/'CN FD alpha'!J24</f>
        <v>43.018801037611304</v>
      </c>
      <c r="K24" s="22">
        <f>('CN FD S'!K24-'CN FD C'!K24*EurCall!K23)/'CN FD alpha'!K24</f>
        <v>42.995405286514924</v>
      </c>
      <c r="L24" s="22">
        <f>('CN FD S'!L24-'CN FD C'!L24*EurCall!L23)/'CN FD alpha'!L24</f>
        <v>42.971995496645611</v>
      </c>
      <c r="M24" s="22">
        <f>('CN FD S'!M24-'CN FD C'!M24*EurCall!M23)/'CN FD alpha'!M24</f>
        <v>42.94857165901329</v>
      </c>
      <c r="N24" s="22">
        <f>('CN FD S'!N24-'CN FD C'!N24*EurCall!N23)/'CN FD alpha'!N24</f>
        <v>42.925133764715554</v>
      </c>
      <c r="O24" s="22">
        <f>('CN FD S'!O24-'CN FD C'!O24*EurCall!O23)/'CN FD alpha'!O24</f>
        <v>42.901681804925765</v>
      </c>
      <c r="P24" s="22">
        <f>('CN FD S'!P24-'CN FD C'!P24*EurCall!P23)/'CN FD alpha'!P24</f>
        <v>42.878215770882157</v>
      </c>
      <c r="Q24" s="22">
        <f>('CN FD S'!Q24-'CN FD C'!Q24*EurCall!Q23)/'CN FD alpha'!Q24</f>
        <v>42.854735653877796</v>
      </c>
      <c r="R24" s="22">
        <f>('CN FD S'!R24-'CN FD C'!R24*EurCall!R23)/'CN FD alpha'!R24</f>
        <v>42.831241445251543</v>
      </c>
      <c r="S24" s="22">
        <f>('CN FD S'!S24-'CN FD C'!S24*EurCall!S23)/'CN FD alpha'!S24</f>
        <v>42.807733136379881</v>
      </c>
      <c r="T24" s="22">
        <f>('CN FD S'!T24-'CN FD C'!T24*EurCall!T23)/'CN FD alpha'!T24</f>
        <v>42.784210718669726</v>
      </c>
      <c r="U24" s="22">
        <f>('CN FD S'!U24-'CN FD C'!U24*EurCall!U23)/'CN FD alpha'!U24</f>
        <v>42.760674183552041</v>
      </c>
      <c r="V24" s="22">
        <f>('CN FD S'!V24-'CN FD C'!V24*EurCall!V23)/'CN FD alpha'!V24</f>
        <v>42.737123522476388</v>
      </c>
      <c r="W24" s="22">
        <f>('CN FD S'!W24-'CN FD C'!W24*EurCall!W23)/'CN FD alpha'!W24</f>
        <v>42.713558726906157</v>
      </c>
      <c r="X24" s="22">
        <f>('CN FD S'!X24-'CN FD C'!X24*EurCall!X23)/'CN FD alpha'!X24</f>
        <v>42.689979788314638</v>
      </c>
      <c r="Y24" s="22">
        <f>('CN FD S'!Y24-'CN FD C'!Y24*EurCall!Y23)/'CN FD alpha'!Y24</f>
        <v>42.666386698181668</v>
      </c>
      <c r="Z24" s="22">
        <f>('CN FD S'!Z24-'CN FD C'!Z24*EurCall!Z23)/'CN FD alpha'!Z24</f>
        <v>42.642779447990883</v>
      </c>
      <c r="AA24" s="22">
        <f>('CN FD S'!AA24-'CN FD C'!AA24*EurCall!AA23)/'CN FD alpha'!AA24</f>
        <v>42.619158029227599</v>
      </c>
      <c r="AB24" s="22">
        <f>('CN FD S'!AB24-'CN FD C'!AB24*EurCall!AB23)/'CN FD alpha'!AB24</f>
        <v>42.595522433376964</v>
      </c>
      <c r="AC24" s="22">
        <f>('CN FD S'!AC24-'CN FD C'!AC24*EurCall!AC23)/'CN FD alpha'!AC24</f>
        <v>42.571872651922646</v>
      </c>
      <c r="AD24" s="22">
        <f>('CN FD S'!AD24-'CN FD C'!AD24*EurCall!AD23)/'CN FD alpha'!AD24</f>
        <v>42.548208676345773</v>
      </c>
      <c r="AE24" s="22">
        <f>('CN FD S'!AE24-'CN FD C'!AE24*EurCall!AE23)/'CN FD alpha'!AE24</f>
        <v>42.524530498124136</v>
      </c>
      <c r="AF24" s="22">
        <f>('CN FD S'!AF24-'CN FD C'!AF24*EurCall!AF23)/'CN FD alpha'!AF24</f>
        <v>42.500838108731656</v>
      </c>
      <c r="AG24" s="22">
        <f>('CN FD S'!AG24-'CN FD C'!AG24*EurCall!AG23)/'CN FD alpha'!AG24</f>
        <v>42.477131499637935</v>
      </c>
      <c r="AH24" s="22">
        <f>('CN FD S'!AH24-'CN FD C'!AH24*EurCall!AH23)/'CN FD alpha'!AH24</f>
        <v>42.453410662307974</v>
      </c>
      <c r="AI24" s="22">
        <f>('CN FD S'!AI24-'CN FD C'!AI24*EurCall!AI23)/'CN FD alpha'!AI24</f>
        <v>42.429675588202002</v>
      </c>
      <c r="AJ24" s="22">
        <f>('CN FD S'!AJ24-'CN FD C'!AJ24*EurCall!AJ23)/'CN FD alpha'!AJ24</f>
        <v>42.405926268775339</v>
      </c>
      <c r="AK24" s="22">
        <f>('CN FD S'!AK24-'CN FD C'!AK24*EurCall!AK23)/'CN FD alpha'!AK24</f>
        <v>42.382162695478293</v>
      </c>
      <c r="AL24" s="22">
        <f>('CN FD S'!AL24-'CN FD C'!AL24*EurCall!AL23)/'CN FD alpha'!AL24</f>
        <v>42.3583848597561</v>
      </c>
      <c r="AM24" s="22">
        <f>('CN FD S'!AM24-'CN FD C'!AM24*EurCall!AM23)/'CN FD alpha'!AM24</f>
        <v>42.334592753048966</v>
      </c>
      <c r="AN24" s="22">
        <f>('CN FD S'!AN24-'CN FD C'!AN24*EurCall!AN23)/'CN FD alpha'!AN24</f>
        <v>42.310786366791973</v>
      </c>
      <c r="AO24" s="22">
        <f>('CN FD S'!AO24-'CN FD C'!AO24*EurCall!AO23)/'CN FD alpha'!AO24</f>
        <v>42.286965692415066</v>
      </c>
      <c r="AP24" s="22">
        <f>('CN FD S'!AP24-'CN FD C'!AP24*EurCall!AP23)/'CN FD alpha'!AP24</f>
        <v>42.26313072134306</v>
      </c>
      <c r="AQ24" s="22">
        <f>('CN FD S'!AQ24-'CN FD C'!AQ24*EurCall!AQ23)/'CN FD alpha'!AQ24</f>
        <v>42.23928144499564</v>
      </c>
      <c r="AR24" s="22">
        <f>('CN FD S'!AR24-'CN FD C'!AR24*EurCall!AR23)/'CN FD alpha'!AR24</f>
        <v>42.215417854787326</v>
      </c>
      <c r="AS24" s="22">
        <f>('CN FD S'!AS24-'CN FD C'!AS24*EurCall!AS23)/'CN FD alpha'!AS24</f>
        <v>42.191539942127463</v>
      </c>
      <c r="AT24" s="22">
        <f>('CN FD S'!AT24-'CN FD C'!AT24*EurCall!AT23)/'CN FD alpha'!AT24</f>
        <v>42.167647698420218</v>
      </c>
      <c r="AU24" s="22">
        <f>('CN FD S'!AU24-'CN FD C'!AU24*EurCall!AU23)/'CN FD alpha'!AU24</f>
        <v>42.143741115064564</v>
      </c>
      <c r="AV24" s="22">
        <f>('CN FD S'!AV24-'CN FD C'!AV24*EurCall!AV23)/'CN FD alpha'!AV24</f>
        <v>42.119820183454252</v>
      </c>
      <c r="AW24" s="22">
        <f>('CN FD S'!AW24-'CN FD C'!AW24*EurCall!AW23)/'CN FD alpha'!AW24</f>
        <v>42.095884894977821</v>
      </c>
      <c r="AX24" s="22">
        <f>('CN FD S'!AX24-'CN FD C'!AX24*EurCall!AX23)/'CN FD alpha'!AX24</f>
        <v>42.071935241018629</v>
      </c>
      <c r="AY24" s="22">
        <f>('CN FD S'!AY24-'CN FD C'!AY24*EurCall!AY23)/'CN FD alpha'!AY24</f>
        <v>42.04797121295482</v>
      </c>
      <c r="AZ24" s="22">
        <f>('CN FD S'!AZ24-'CN FD C'!AZ24*EurCall!AZ23)/'CN FD alpha'!AZ24</f>
        <v>42.023992802159356</v>
      </c>
      <c r="BA24" s="6">
        <f t="shared" si="1"/>
        <v>42</v>
      </c>
    </row>
    <row r="25" spans="1:53" x14ac:dyDescent="0.2">
      <c r="A25" s="15">
        <f t="shared" si="2"/>
        <v>40</v>
      </c>
      <c r="B25" s="16">
        <f t="shared" si="0"/>
        <v>80</v>
      </c>
      <c r="C25" s="22">
        <f>('CN FD S'!C25-'CN FD C'!C25*EurCall!C24)/'CN FD alpha'!C25</f>
        <v>41.182179373317169</v>
      </c>
      <c r="D25" s="22">
        <f>('CN FD S'!D25-'CN FD C'!D25*EurCall!D24)/'CN FD alpha'!D25</f>
        <v>41.158881561460348</v>
      </c>
      <c r="E25" s="22">
        <f>('CN FD S'!E25-'CN FD C'!E25*EurCall!E24)/'CN FD alpha'!E25</f>
        <v>41.135569788562577</v>
      </c>
      <c r="F25" s="22">
        <f>('CN FD S'!F25-'CN FD C'!F25*EurCall!F24)/'CN FD alpha'!F25</f>
        <v>41.112244043150866</v>
      </c>
      <c r="G25" s="22">
        <f>('CN FD S'!G25-'CN FD C'!G25*EurCall!G24)/'CN FD alpha'!G25</f>
        <v>41.088904314087294</v>
      </c>
      <c r="H25" s="22">
        <f>('CN FD S'!H25-'CN FD C'!H25*EurCall!H24)/'CN FD alpha'!H25</f>
        <v>41.065550590545385</v>
      </c>
      <c r="I25" s="22">
        <f>('CN FD S'!I25-'CN FD C'!I25*EurCall!I24)/'CN FD alpha'!I25</f>
        <v>41.042182861986426</v>
      </c>
      <c r="J25" s="22">
        <f>('CN FD S'!J25-'CN FD C'!J25*EurCall!J24)/'CN FD alpha'!J25</f>
        <v>41.018801118135919</v>
      </c>
      <c r="K25" s="22">
        <f>('CN FD S'!K25-'CN FD C'!K25*EurCall!K24)/'CN FD alpha'!K25</f>
        <v>40.995405348960432</v>
      </c>
      <c r="L25" s="22">
        <f>('CN FD S'!L25-'CN FD C'!L25*EurCall!L24)/'CN FD alpha'!L25</f>
        <v>40.971995544644884</v>
      </c>
      <c r="M25" s="22">
        <f>('CN FD S'!M25-'CN FD C'!M25*EurCall!M24)/'CN FD alpha'!M25</f>
        <v>40.948571695570557</v>
      </c>
      <c r="N25" s="22">
        <f>('CN FD S'!N25-'CN FD C'!N25*EurCall!N24)/'CN FD alpha'!N25</f>
        <v>40.925133792293977</v>
      </c>
      <c r="O25" s="22">
        <f>('CN FD S'!O25-'CN FD C'!O25*EurCall!O24)/'CN FD alpha'!O25</f>
        <v>40.901681825526651</v>
      </c>
      <c r="P25" s="22">
        <f>('CN FD S'!P25-'CN FD C'!P25*EurCall!P24)/'CN FD alpha'!P25</f>
        <v>40.878215786116066</v>
      </c>
      <c r="Q25" s="22">
        <f>('CN FD S'!Q25-'CN FD C'!Q25*EurCall!Q24)/'CN FD alpha'!Q25</f>
        <v>40.854735665027754</v>
      </c>
      <c r="R25" s="22">
        <f>('CN FD S'!R25-'CN FD C'!R25*EurCall!R24)/'CN FD alpha'!R25</f>
        <v>40.831241453328715</v>
      </c>
      <c r="S25" s="22">
        <f>('CN FD S'!S25-'CN FD C'!S25*EurCall!S24)/'CN FD alpha'!S25</f>
        <v>40.807733142172182</v>
      </c>
      <c r="T25" s="22">
        <f>('CN FD S'!T25-'CN FD C'!T25*EurCall!T24)/'CN FD alpha'!T25</f>
        <v>40.784210722783726</v>
      </c>
      <c r="U25" s="22">
        <f>('CN FD S'!U25-'CN FD C'!U25*EurCall!U24)/'CN FD alpha'!U25</f>
        <v>40.760674186448789</v>
      </c>
      <c r="V25" s="22">
        <f>('CN FD S'!V25-'CN FD C'!V25*EurCall!V24)/'CN FD alpha'!V25</f>
        <v>40.737123524501598</v>
      </c>
      <c r="W25" s="22">
        <f>('CN FD S'!W25-'CN FD C'!W25*EurCall!W24)/'CN FD alpha'!W25</f>
        <v>40.713558728315377</v>
      </c>
      <c r="X25" s="22">
        <f>('CN FD S'!X25-'CN FD C'!X25*EurCall!X24)/'CN FD alpha'!X25</f>
        <v>40.689979789293922</v>
      </c>
      <c r="Y25" s="22">
        <f>('CN FD S'!Y25-'CN FD C'!Y25*EurCall!Y24)/'CN FD alpha'!Y25</f>
        <v>40.666386698864322</v>
      </c>
      <c r="Z25" s="22">
        <f>('CN FD S'!Z25-'CN FD C'!Z25*EurCall!Z24)/'CN FD alpha'!Z25</f>
        <v>40.642779448470876</v>
      </c>
      <c r="AA25" s="22">
        <f>('CN FD S'!AA25-'CN FD C'!AA25*EurCall!AA24)/'CN FD alpha'!AA25</f>
        <v>40.619158029569995</v>
      </c>
      <c r="AB25" s="22">
        <f>('CN FD S'!AB25-'CN FD C'!AB25*EurCall!AB24)/'CN FD alpha'!AB25</f>
        <v>40.595522433626066</v>
      </c>
      <c r="AC25" s="22">
        <f>('CN FD S'!AC25-'CN FD C'!AC25*EurCall!AC24)/'CN FD alpha'!AC25</f>
        <v>40.571872652108119</v>
      </c>
      <c r="AD25" s="22">
        <f>('CN FD S'!AD25-'CN FD C'!AD25*EurCall!AD24)/'CN FD alpha'!AD25</f>
        <v>40.548208676487164</v>
      </c>
      <c r="AE25" s="22">
        <f>('CN FD S'!AE25-'CN FD C'!AE25*EurCall!AE24)/'CN FD alpha'!AE25</f>
        <v>40.524530498234199</v>
      </c>
      <c r="AF25" s="22">
        <f>('CN FD S'!AF25-'CN FD C'!AF25*EurCall!AF24)/'CN FD alpha'!AF25</f>
        <v>40.50083810881867</v>
      </c>
      <c r="AG25" s="22">
        <f>('CN FD S'!AG25-'CN FD C'!AG25*EurCall!AG24)/'CN FD alpha'!AG25</f>
        <v>40.477131499707319</v>
      </c>
      <c r="AH25" s="22">
        <f>('CN FD S'!AH25-'CN FD C'!AH25*EurCall!AH24)/'CN FD alpha'!AH25</f>
        <v>40.453410662363389</v>
      </c>
      <c r="AI25" s="22">
        <f>('CN FD S'!AI25-'CN FD C'!AI25*EurCall!AI24)/'CN FD alpha'!AI25</f>
        <v>40.42967558824602</v>
      </c>
      <c r="AJ25" s="22">
        <f>('CN FD S'!AJ25-'CN FD C'!AJ25*EurCall!AJ24)/'CN FD alpha'!AJ25</f>
        <v>40.405926268809893</v>
      </c>
      <c r="AK25" s="22">
        <f>('CN FD S'!AK25-'CN FD C'!AK25*EurCall!AK24)/'CN FD alpha'!AK25</f>
        <v>40.382162695504938</v>
      </c>
      <c r="AL25" s="22">
        <f>('CN FD S'!AL25-'CN FD C'!AL25*EurCall!AL24)/'CN FD alpha'!AL25</f>
        <v>40.358384859776208</v>
      </c>
      <c r="AM25" s="22">
        <f>('CN FD S'!AM25-'CN FD C'!AM25*EurCall!AM24)/'CN FD alpha'!AM25</f>
        <v>40.33459275306371</v>
      </c>
      <c r="AN25" s="22">
        <f>('CN FD S'!AN25-'CN FD C'!AN25*EurCall!AN24)/'CN FD alpha'!AN25</f>
        <v>40.310786366802425</v>
      </c>
      <c r="AO25" s="22">
        <f>('CN FD S'!AO25-'CN FD C'!AO25*EurCall!AO24)/'CN FD alpha'!AO25</f>
        <v>40.286965692422164</v>
      </c>
      <c r="AP25" s="22">
        <f>('CN FD S'!AP25-'CN FD C'!AP25*EurCall!AP24)/'CN FD alpha'!AP25</f>
        <v>40.26313072134765</v>
      </c>
      <c r="AQ25" s="22">
        <f>('CN FD S'!AQ25-'CN FD C'!AQ25*EurCall!AQ24)/'CN FD alpha'!AQ25</f>
        <v>40.239281444998433</v>
      </c>
      <c r="AR25" s="22">
        <f>('CN FD S'!AR25-'CN FD C'!AR25*EurCall!AR24)/'CN FD alpha'!AR25</f>
        <v>40.215417854788896</v>
      </c>
      <c r="AS25" s="22">
        <f>('CN FD S'!AS25-'CN FD C'!AS25*EurCall!AS24)/'CN FD alpha'!AS25</f>
        <v>40.191539942128273</v>
      </c>
      <c r="AT25" s="22">
        <f>('CN FD S'!AT25-'CN FD C'!AT25*EurCall!AT24)/'CN FD alpha'!AT25</f>
        <v>40.167647698420588</v>
      </c>
      <c r="AU25" s="22">
        <f>('CN FD S'!AU25-'CN FD C'!AU25*EurCall!AU24)/'CN FD alpha'!AU25</f>
        <v>40.143741115064707</v>
      </c>
      <c r="AV25" s="22">
        <f>('CN FD S'!AV25-'CN FD C'!AV25*EurCall!AV24)/'CN FD alpha'!AV25</f>
        <v>40.119820183454287</v>
      </c>
      <c r="AW25" s="22">
        <f>('CN FD S'!AW25-'CN FD C'!AW25*EurCall!AW24)/'CN FD alpha'!AW25</f>
        <v>40.095884894977821</v>
      </c>
      <c r="AX25" s="22">
        <f>('CN FD S'!AX25-'CN FD C'!AX25*EurCall!AX24)/'CN FD alpha'!AX25</f>
        <v>40.071935241018629</v>
      </c>
      <c r="AY25" s="22">
        <f>('CN FD S'!AY25-'CN FD C'!AY25*EurCall!AY24)/'CN FD alpha'!AY25</f>
        <v>40.04797121295482</v>
      </c>
      <c r="AZ25" s="22">
        <f>('CN FD S'!AZ25-'CN FD C'!AZ25*EurCall!AZ24)/'CN FD alpha'!AZ25</f>
        <v>40.023992802159356</v>
      </c>
      <c r="BA25" s="6">
        <f t="shared" si="1"/>
        <v>40</v>
      </c>
    </row>
    <row r="26" spans="1:53" x14ac:dyDescent="0.2">
      <c r="A26" s="15">
        <f t="shared" si="2"/>
        <v>39</v>
      </c>
      <c r="B26" s="16">
        <f t="shared" si="0"/>
        <v>78</v>
      </c>
      <c r="C26" s="22">
        <f>('CN FD S'!C26-'CN FD C'!C26*EurCall!C25)/'CN FD alpha'!C26</f>
        <v>39.182180247724219</v>
      </c>
      <c r="D26" s="22">
        <f>('CN FD S'!D26-'CN FD C'!D26*EurCall!D25)/'CN FD alpha'!D26</f>
        <v>39.158882283971316</v>
      </c>
      <c r="E26" s="22">
        <f>('CN FD S'!E26-'CN FD C'!E26*EurCall!E25)/'CN FD alpha'!E26</f>
        <v>39.135570381850279</v>
      </c>
      <c r="F26" s="22">
        <f>('CN FD S'!F26-'CN FD C'!F26*EurCall!F25)/'CN FD alpha'!F26</f>
        <v>39.112244527152257</v>
      </c>
      <c r="G26" s="22">
        <f>('CN FD S'!G26-'CN FD C'!G26*EurCall!G25)/'CN FD alpha'!G26</f>
        <v>39.088904706235745</v>
      </c>
      <c r="H26" s="22">
        <f>('CN FD S'!H26-'CN FD C'!H26*EurCall!H25)/'CN FD alpha'!H26</f>
        <v>39.065550905995529</v>
      </c>
      <c r="I26" s="22">
        <f>('CN FD S'!I26-'CN FD C'!I26*EurCall!I25)/'CN FD alpha'!I26</f>
        <v>39.04218311383061</v>
      </c>
      <c r="J26" s="22">
        <f>('CN FD S'!J26-'CN FD C'!J26*EurCall!J25)/'CN FD alpha'!J26</f>
        <v>39.018801317611199</v>
      </c>
      <c r="K26" s="22">
        <f>('CN FD S'!K26-'CN FD C'!K26*EurCall!K25)/'CN FD alpha'!K26</f>
        <v>38.995405505645273</v>
      </c>
      <c r="L26" s="22">
        <f>('CN FD S'!L26-'CN FD C'!L26*EurCall!L25)/'CN FD alpha'!L26</f>
        <v>38.971995666644872</v>
      </c>
      <c r="M26" s="22">
        <f>('CN FD S'!M26-'CN FD C'!M26*EurCall!M25)/'CN FD alpha'!M26</f>
        <v>38.948571789692444</v>
      </c>
      <c r="N26" s="22">
        <f>('CN FD S'!N26-'CN FD C'!N26*EurCall!N25)/'CN FD alpha'!N26</f>
        <v>38.925133864207609</v>
      </c>
      <c r="O26" s="22">
        <f>('CN FD S'!O26-'CN FD C'!O26*EurCall!O25)/'CN FD alpha'!O26</f>
        <v>38.901681879914555</v>
      </c>
      <c r="P26" s="22">
        <f>('CN FD S'!P26-'CN FD C'!P26*EurCall!P25)/'CN FD alpha'!P26</f>
        <v>38.878215826810376</v>
      </c>
      <c r="Q26" s="22">
        <f>('CN FD S'!Q26-'CN FD C'!Q26*EurCall!Q25)/'CN FD alpha'!Q26</f>
        <v>38.854735695134636</v>
      </c>
      <c r="R26" s="22">
        <f>('CN FD S'!R26-'CN FD C'!R26*EurCall!R25)/'CN FD alpha'!R26</f>
        <v>38.831241475340342</v>
      </c>
      <c r="S26" s="22">
        <f>('CN FD S'!S26-'CN FD C'!S26*EurCall!S25)/'CN FD alpha'!S26</f>
        <v>38.807733158066519</v>
      </c>
      <c r="T26" s="22">
        <f>('CN FD S'!T26-'CN FD C'!T26*EurCall!T25)/'CN FD alpha'!T26</f>
        <v>38.784210734112683</v>
      </c>
      <c r="U26" s="22">
        <f>('CN FD S'!U26-'CN FD C'!U26*EurCall!U25)/'CN FD alpha'!U26</f>
        <v>38.760674194415181</v>
      </c>
      <c r="V26" s="22">
        <f>('CN FD S'!V26-'CN FD C'!V26*EurCall!V25)/'CN FD alpha'!V26</f>
        <v>38.737123530025599</v>
      </c>
      <c r="W26" s="22">
        <f>('CN FD S'!W26-'CN FD C'!W26*EurCall!W25)/'CN FD alpha'!W26</f>
        <v>38.713558732091236</v>
      </c>
      <c r="X26" s="22">
        <f>('CN FD S'!X26-'CN FD C'!X26*EurCall!X25)/'CN FD alpha'!X26</f>
        <v>38.689979791837736</v>
      </c>
      <c r="Y26" s="22">
        <f>('CN FD S'!Y26-'CN FD C'!Y26*EurCall!Y25)/'CN FD alpha'!Y26</f>
        <v>38.666386700553794</v>
      </c>
      <c r="Z26" s="22">
        <f>('CN FD S'!Z26-'CN FD C'!Z26*EurCall!Z25)/'CN FD alpha'!Z26</f>
        <v>38.642779449577795</v>
      </c>
      <c r="AA26" s="22">
        <f>('CN FD S'!AA26-'CN FD C'!AA26*EurCall!AA25)/'CN FD alpha'!AA26</f>
        <v>38.619158030286485</v>
      </c>
      <c r="AB26" s="22">
        <f>('CN FD S'!AB26-'CN FD C'!AB26*EurCall!AB25)/'CN FD alpha'!AB26</f>
        <v>38.595522434085382</v>
      </c>
      <c r="AC26" s="22">
        <f>('CN FD S'!AC26-'CN FD C'!AC26*EurCall!AC25)/'CN FD alpha'!AC26</f>
        <v>38.571872652400849</v>
      </c>
      <c r="AD26" s="22">
        <f>('CN FD S'!AD26-'CN FD C'!AD26*EurCall!AD25)/'CN FD alpha'!AD26</f>
        <v>38.548208676673632</v>
      </c>
      <c r="AE26" s="22">
        <f>('CN FD S'!AE26-'CN FD C'!AE26*EurCall!AE25)/'CN FD alpha'!AE26</f>
        <v>38.524530498353712</v>
      </c>
      <c r="AF26" s="22">
        <f>('CN FD S'!AF26-'CN FD C'!AF26*EurCall!AF25)/'CN FD alpha'!AF26</f>
        <v>38.500838108896289</v>
      </c>
      <c r="AG26" s="22">
        <f>('CN FD S'!AG26-'CN FD C'!AG26*EurCall!AG25)/'CN FD alpha'!AG26</f>
        <v>38.477131499758706</v>
      </c>
      <c r="AH26" s="22">
        <f>('CN FD S'!AH26-'CN FD C'!AH26*EurCall!AH25)/'CN FD alpha'!AH26</f>
        <v>38.453410662398156</v>
      </c>
      <c r="AI26" s="22">
        <f>('CN FD S'!AI26-'CN FD C'!AI26*EurCall!AI25)/'CN FD alpha'!AI26</f>
        <v>38.429675588270015</v>
      </c>
      <c r="AJ26" s="22">
        <f>('CN FD S'!AJ26-'CN FD C'!AJ26*EurCall!AJ25)/'CN FD alpha'!AJ26</f>
        <v>38.405926268826676</v>
      </c>
      <c r="AK26" s="22">
        <f>('CN FD S'!AK26-'CN FD C'!AK26*EurCall!AK25)/'CN FD alpha'!AK26</f>
        <v>38.382162695516726</v>
      </c>
      <c r="AL26" s="22">
        <f>('CN FD S'!AL26-'CN FD C'!AL26*EurCall!AL25)/'CN FD alpha'!AL26</f>
        <v>38.358384859784415</v>
      </c>
      <c r="AM26" s="22">
        <f>('CN FD S'!AM26-'CN FD C'!AM26*EurCall!AM25)/'CN FD alpha'!AM26</f>
        <v>38.334592753069316</v>
      </c>
      <c r="AN26" s="22">
        <f>('CN FD S'!AN26-'CN FD C'!AN26*EurCall!AN25)/'CN FD alpha'!AN26</f>
        <v>38.310786366806134</v>
      </c>
      <c r="AO26" s="22">
        <f>('CN FD S'!AO26-'CN FD C'!AO26*EurCall!AO25)/'CN FD alpha'!AO26</f>
        <v>38.286965692424523</v>
      </c>
      <c r="AP26" s="22">
        <f>('CN FD S'!AP26-'CN FD C'!AP26*EurCall!AP25)/'CN FD alpha'!AP26</f>
        <v>38.263130721349064</v>
      </c>
      <c r="AQ26" s="22">
        <f>('CN FD S'!AQ26-'CN FD C'!AQ26*EurCall!AQ25)/'CN FD alpha'!AQ26</f>
        <v>38.239281444999222</v>
      </c>
      <c r="AR26" s="22">
        <f>('CN FD S'!AR26-'CN FD C'!AR26*EurCall!AR25)/'CN FD alpha'!AR26</f>
        <v>38.215417854789308</v>
      </c>
      <c r="AS26" s="22">
        <f>('CN FD S'!AS26-'CN FD C'!AS26*EurCall!AS25)/'CN FD alpha'!AS26</f>
        <v>38.191539942128458</v>
      </c>
      <c r="AT26" s="22">
        <f>('CN FD S'!AT26-'CN FD C'!AT26*EurCall!AT25)/'CN FD alpha'!AT26</f>
        <v>38.167647698420659</v>
      </c>
      <c r="AU26" s="22">
        <f>('CN FD S'!AU26-'CN FD C'!AU26*EurCall!AU25)/'CN FD alpha'!AU26</f>
        <v>38.143741115064721</v>
      </c>
      <c r="AV26" s="22">
        <f>('CN FD S'!AV26-'CN FD C'!AV26*EurCall!AV25)/'CN FD alpha'!AV26</f>
        <v>38.11982018345428</v>
      </c>
      <c r="AW26" s="22">
        <f>('CN FD S'!AW26-'CN FD C'!AW26*EurCall!AW25)/'CN FD alpha'!AW26</f>
        <v>38.095884894977814</v>
      </c>
      <c r="AX26" s="22">
        <f>('CN FD S'!AX26-'CN FD C'!AX26*EurCall!AX25)/'CN FD alpha'!AX26</f>
        <v>38.071935241018615</v>
      </c>
      <c r="AY26" s="22">
        <f>('CN FD S'!AY26-'CN FD C'!AY26*EurCall!AY25)/'CN FD alpha'!AY26</f>
        <v>38.047971212954813</v>
      </c>
      <c r="AZ26" s="22">
        <f>('CN FD S'!AZ26-'CN FD C'!AZ26*EurCall!AZ25)/'CN FD alpha'!AZ26</f>
        <v>38.023992802159349</v>
      </c>
      <c r="BA26" s="6">
        <f t="shared" si="1"/>
        <v>38</v>
      </c>
    </row>
    <row r="27" spans="1:53" x14ac:dyDescent="0.2">
      <c r="A27" s="15">
        <f t="shared" si="2"/>
        <v>38</v>
      </c>
      <c r="B27" s="16">
        <f t="shared" si="0"/>
        <v>76</v>
      </c>
      <c r="C27" s="22">
        <f>('CN FD S'!C27-'CN FD C'!C27*EurCall!C26)/'CN FD alpha'!C27</f>
        <v>37.182182239408675</v>
      </c>
      <c r="D27" s="22">
        <f>('CN FD S'!D27-'CN FD C'!D27*EurCall!D26)/'CN FD alpha'!D27</f>
        <v>37.158883948667203</v>
      </c>
      <c r="E27" s="22">
        <f>('CN FD S'!E27-'CN FD C'!E27*EurCall!E26)/'CN FD alpha'!E27</f>
        <v>37.13557176502578</v>
      </c>
      <c r="F27" s="22">
        <f>('CN FD S'!F27-'CN FD C'!F27*EurCall!F26)/'CN FD alpha'!F27</f>
        <v>37.112245669300101</v>
      </c>
      <c r="G27" s="22">
        <f>('CN FD S'!G27-'CN FD C'!G27*EurCall!G26)/'CN FD alpha'!G27</f>
        <v>37.088905643229133</v>
      </c>
      <c r="H27" s="22">
        <f>('CN FD S'!H27-'CN FD C'!H27*EurCall!H26)/'CN FD alpha'!H27</f>
        <v>37.065551669440318</v>
      </c>
      <c r="I27" s="22">
        <f>('CN FD S'!I27-'CN FD C'!I27*EurCall!I26)/'CN FD alpha'!I27</f>
        <v>37.042183731411569</v>
      </c>
      <c r="J27" s="22">
        <f>('CN FD S'!J27-'CN FD C'!J27*EurCall!J26)/'CN FD alpha'!J27</f>
        <v>37.018801813430322</v>
      </c>
      <c r="K27" s="22">
        <f>('CN FD S'!K27-'CN FD C'!K27*EurCall!K26)/'CN FD alpha'!K27</f>
        <v>36.995405900550253</v>
      </c>
      <c r="L27" s="22">
        <f>('CN FD S'!L27-'CN FD C'!L27*EurCall!L26)/'CN FD alpha'!L27</f>
        <v>36.971995978545827</v>
      </c>
      <c r="M27" s="22">
        <f>('CN FD S'!M27-'CN FD C'!M27*EurCall!M26)/'CN FD alpha'!M27</f>
        <v>36.948572033865247</v>
      </c>
      <c r="N27" s="22">
        <f>('CN FD S'!N27-'CN FD C'!N27*EurCall!N26)/'CN FD alpha'!N27</f>
        <v>36.925134053582312</v>
      </c>
      <c r="O27" s="22">
        <f>('CN FD S'!O27-'CN FD C'!O27*EurCall!O26)/'CN FD alpha'!O27</f>
        <v>36.901682025347554</v>
      </c>
      <c r="P27" s="22">
        <f>('CN FD S'!P27-'CN FD C'!P27*EurCall!P26)/'CN FD alpha'!P27</f>
        <v>36.878215937339313</v>
      </c>
      <c r="Q27" s="22">
        <f>('CN FD S'!Q27-'CN FD C'!Q27*EurCall!Q26)/'CN FD alpha'!Q27</f>
        <v>36.85473577821508</v>
      </c>
      <c r="R27" s="22">
        <f>('CN FD S'!R27-'CN FD C'!R27*EurCall!R26)/'CN FD alpha'!R27</f>
        <v>36.831241537063754</v>
      </c>
      <c r="S27" s="22">
        <f>('CN FD S'!S27-'CN FD C'!S27*EurCall!S26)/'CN FD alpha'!S27</f>
        <v>36.807733203359135</v>
      </c>
      <c r="T27" s="22">
        <f>('CN FD S'!T27-'CN FD C'!T27*EurCall!T26)/'CN FD alpha'!T27</f>
        <v>36.784210766915194</v>
      </c>
      <c r="U27" s="22">
        <f>('CN FD S'!U27-'CN FD C'!U27*EurCall!U26)/'CN FD alpha'!U27</f>
        <v>36.760674217843551</v>
      </c>
      <c r="V27" s="22">
        <f>('CN FD S'!V27-'CN FD C'!V27*EurCall!V26)/'CN FD alpha'!V27</f>
        <v>36.737123546513352</v>
      </c>
      <c r="W27" s="22">
        <f>('CN FD S'!W27-'CN FD C'!W27*EurCall!W26)/'CN FD alpha'!W27</f>
        <v>36.713558743514007</v>
      </c>
      <c r="X27" s="22">
        <f>('CN FD S'!X27-'CN FD C'!X27*EurCall!X26)/'CN FD alpha'!X27</f>
        <v>36.689979799620886</v>
      </c>
      <c r="Y27" s="22">
        <f>('CN FD S'!Y27-'CN FD C'!Y27*EurCall!Y26)/'CN FD alpha'!Y27</f>
        <v>36.666386705764261</v>
      </c>
      <c r="Z27" s="22">
        <f>('CN FD S'!Z27-'CN FD C'!Z27*EurCall!Z26)/'CN FD alpha'!Z27</f>
        <v>36.642779453001424</v>
      </c>
      <c r="AA27" s="22">
        <f>('CN FD S'!AA27-'CN FD C'!AA27*EurCall!AA26)/'CN FD alpha'!AA27</f>
        <v>36.619158032492123</v>
      </c>
      <c r="AB27" s="22">
        <f>('CN FD S'!AB27-'CN FD C'!AB27*EurCall!AB26)/'CN FD alpha'!AB27</f>
        <v>36.595522435477235</v>
      </c>
      <c r="AC27" s="22">
        <f>('CN FD S'!AC27-'CN FD C'!AC27*EurCall!AC26)/'CN FD alpha'!AC27</f>
        <v>36.571872653260407</v>
      </c>
      <c r="AD27" s="22">
        <f>('CN FD S'!AD27-'CN FD C'!AD27*EurCall!AD26)/'CN FD alpha'!AD27</f>
        <v>36.54820867719279</v>
      </c>
      <c r="AE27" s="22">
        <f>('CN FD S'!AE27-'CN FD C'!AE27*EurCall!AE26)/'CN FD alpha'!AE27</f>
        <v>36.524530498660312</v>
      </c>
      <c r="AF27" s="22">
        <f>('CN FD S'!AF27-'CN FD C'!AF27*EurCall!AF26)/'CN FD alpha'!AF27</f>
        <v>36.50083810907342</v>
      </c>
      <c r="AG27" s="22">
        <f>('CN FD S'!AG27-'CN FD C'!AG27*EurCall!AG26)/'CN FD alpha'!AG27</f>
        <v>36.477131499858963</v>
      </c>
      <c r="AH27" s="22">
        <f>('CN FD S'!AH27-'CN FD C'!AH27*EurCall!AH26)/'CN FD alpha'!AH27</f>
        <v>36.453410662453905</v>
      </c>
      <c r="AI27" s="22">
        <f>('CN FD S'!AI27-'CN FD C'!AI27*EurCall!AI26)/'CN FD alpha'!AI27</f>
        <v>36.429675588300626</v>
      </c>
      <c r="AJ27" s="22">
        <f>('CN FD S'!AJ27-'CN FD C'!AJ27*EurCall!AJ26)/'CN FD alpha'!AJ27</f>
        <v>36.40592626884338</v>
      </c>
      <c r="AK27" s="22">
        <f>('CN FD S'!AK27-'CN FD C'!AK27*EurCall!AK26)/'CN FD alpha'!AK27</f>
        <v>36.382162695525849</v>
      </c>
      <c r="AL27" s="22">
        <f>('CN FD S'!AL27-'CN FD C'!AL27*EurCall!AL26)/'CN FD alpha'!AL27</f>
        <v>36.358384859789432</v>
      </c>
      <c r="AM27" s="22">
        <f>('CN FD S'!AM27-'CN FD C'!AM27*EurCall!AM26)/'CN FD alpha'!AM27</f>
        <v>36.334592753072101</v>
      </c>
      <c r="AN27" s="22">
        <f>('CN FD S'!AN27-'CN FD C'!AN27*EurCall!AN26)/'CN FD alpha'!AN27</f>
        <v>36.310786366807683</v>
      </c>
      <c r="AO27" s="22">
        <f>('CN FD S'!AO27-'CN FD C'!AO27*EurCall!AO26)/'CN FD alpha'!AO27</f>
        <v>36.286965692425376</v>
      </c>
      <c r="AP27" s="22">
        <f>('CN FD S'!AP27-'CN FD C'!AP27*EurCall!AP26)/'CN FD alpha'!AP27</f>
        <v>36.263130721349526</v>
      </c>
      <c r="AQ27" s="22">
        <f>('CN FD S'!AQ27-'CN FD C'!AQ27*EurCall!AQ26)/'CN FD alpha'!AQ27</f>
        <v>36.23928144499947</v>
      </c>
      <c r="AR27" s="22">
        <f>('CN FD S'!AR27-'CN FD C'!AR27*EurCall!AR26)/'CN FD alpha'!AR27</f>
        <v>36.215417854789429</v>
      </c>
      <c r="AS27" s="22">
        <f>('CN FD S'!AS27-'CN FD C'!AS27*EurCall!AS26)/'CN FD alpha'!AS27</f>
        <v>36.191539942128522</v>
      </c>
      <c r="AT27" s="22">
        <f>('CN FD S'!AT27-'CN FD C'!AT27*EurCall!AT26)/'CN FD alpha'!AT27</f>
        <v>36.167647698420687</v>
      </c>
      <c r="AU27" s="22">
        <f>('CN FD S'!AU27-'CN FD C'!AU27*EurCall!AU26)/'CN FD alpha'!AU27</f>
        <v>36.143741115064735</v>
      </c>
      <c r="AV27" s="22">
        <f>('CN FD S'!AV27-'CN FD C'!AV27*EurCall!AV26)/'CN FD alpha'!AV27</f>
        <v>36.119820183454294</v>
      </c>
      <c r="AW27" s="22">
        <f>('CN FD S'!AW27-'CN FD C'!AW27*EurCall!AW26)/'CN FD alpha'!AW27</f>
        <v>36.095884894977829</v>
      </c>
      <c r="AX27" s="22">
        <f>('CN FD S'!AX27-'CN FD C'!AX27*EurCall!AX26)/'CN FD alpha'!AX27</f>
        <v>36.071935241018622</v>
      </c>
      <c r="AY27" s="22">
        <f>('CN FD S'!AY27-'CN FD C'!AY27*EurCall!AY26)/'CN FD alpha'!AY27</f>
        <v>36.047971212954813</v>
      </c>
      <c r="AZ27" s="22">
        <f>('CN FD S'!AZ27-'CN FD C'!AZ27*EurCall!AZ26)/'CN FD alpha'!AZ27</f>
        <v>36.023992802159356</v>
      </c>
      <c r="BA27" s="6">
        <f t="shared" si="1"/>
        <v>36</v>
      </c>
    </row>
    <row r="28" spans="1:53" x14ac:dyDescent="0.2">
      <c r="A28" s="15">
        <f t="shared" si="2"/>
        <v>37</v>
      </c>
      <c r="B28" s="16">
        <f t="shared" si="0"/>
        <v>74</v>
      </c>
      <c r="C28" s="22">
        <f>('CN FD S'!C28-'CN FD C'!C28*EurCall!C27)/'CN FD alpha'!C28</f>
        <v>35.18218676879723</v>
      </c>
      <c r="D28" s="22">
        <f>('CN FD S'!D28-'CN FD C'!D28*EurCall!D27)/'CN FD alpha'!D28</f>
        <v>35.158887778475354</v>
      </c>
      <c r="E28" s="22">
        <f>('CN FD S'!E28-'CN FD C'!E28*EurCall!E27)/'CN FD alpha'!E28</f>
        <v>35.135574985261009</v>
      </c>
      <c r="F28" s="22">
        <f>('CN FD S'!F28-'CN FD C'!F28*EurCall!F27)/'CN FD alpha'!F28</f>
        <v>35.1122483611558</v>
      </c>
      <c r="G28" s="22">
        <f>('CN FD S'!G28-'CN FD C'!G28*EurCall!G27)/'CN FD alpha'!G28</f>
        <v>35.08890787959136</v>
      </c>
      <c r="H28" s="22">
        <f>('CN FD S'!H28-'CN FD C'!H28*EurCall!H27)/'CN FD alpha'!H28</f>
        <v>35.065553515402407</v>
      </c>
      <c r="I28" s="22">
        <f>('CN FD S'!I28-'CN FD C'!I28*EurCall!I27)/'CN FD alpha'!I28</f>
        <v>35.042185244793217</v>
      </c>
      <c r="J28" s="22">
        <f>('CN FD S'!J28-'CN FD C'!J28*EurCall!J27)/'CN FD alpha'!J28</f>
        <v>35.01880304529773</v>
      </c>
      <c r="K28" s="22">
        <f>('CN FD S'!K28-'CN FD C'!K28*EurCall!K27)/'CN FD alpha'!K28</f>
        <v>34.995406895733609</v>
      </c>
      <c r="L28" s="22">
        <f>('CN FD S'!L28-'CN FD C'!L28*EurCall!L27)/'CN FD alpha'!L28</f>
        <v>34.971996776150668</v>
      </c>
      <c r="M28" s="22">
        <f>('CN FD S'!M28-'CN FD C'!M28*EurCall!M27)/'CN FD alpha'!M28</f>
        <v>34.948572667774272</v>
      </c>
      <c r="N28" s="22">
        <f>('CN FD S'!N28-'CN FD C'!N28*EurCall!N27)/'CN FD alpha'!N28</f>
        <v>34.925134552944073</v>
      </c>
      <c r="O28" s="22">
        <f>('CN FD S'!O28-'CN FD C'!O28*EurCall!O27)/'CN FD alpha'!O28</f>
        <v>34.901682415049045</v>
      </c>
      <c r="P28" s="22">
        <f>('CN FD S'!P28-'CN FD C'!P28*EurCall!P27)/'CN FD alpha'!P28</f>
        <v>34.878216238459245</v>
      </c>
      <c r="Q28" s="22">
        <f>('CN FD S'!Q28-'CN FD C'!Q28*EurCall!Q27)/'CN FD alpha'!Q28</f>
        <v>34.854736008455312</v>
      </c>
      <c r="R28" s="22">
        <f>('CN FD S'!R28-'CN FD C'!R28*EurCall!R27)/'CN FD alpha'!R28</f>
        <v>34.831241711156352</v>
      </c>
      <c r="S28" s="22">
        <f>('CN FD S'!S28-'CN FD C'!S28*EurCall!S27)/'CN FD alpha'!S28</f>
        <v>34.807733333447167</v>
      </c>
      <c r="T28" s="22">
        <f>('CN FD S'!T28-'CN FD C'!T28*EurCall!T27)/'CN FD alpha'!T28</f>
        <v>34.784210862905688</v>
      </c>
      <c r="U28" s="22">
        <f>('CN FD S'!U28-'CN FD C'!U28*EurCall!U27)/'CN FD alpha'!U28</f>
        <v>34.760674287731355</v>
      </c>
      <c r="V28" s="22">
        <f>('CN FD S'!V28-'CN FD C'!V28*EurCall!V27)/'CN FD alpha'!V28</f>
        <v>34.737123596675382</v>
      </c>
      <c r="W28" s="22">
        <f>('CN FD S'!W28-'CN FD C'!W28*EurCall!W27)/'CN FD alpha'!W28</f>
        <v>34.713558778973656</v>
      </c>
      <c r="X28" s="22">
        <f>('CN FD S'!X28-'CN FD C'!X28*EurCall!X27)/'CN FD alpha'!X28</f>
        <v>34.689979824282844</v>
      </c>
      <c r="Y28" s="22">
        <f>('CN FD S'!Y28-'CN FD C'!Y28*EurCall!Y27)/'CN FD alpha'!Y28</f>
        <v>34.666386722620558</v>
      </c>
      <c r="Z28" s="22">
        <f>('CN FD S'!Z28-'CN FD C'!Z28*EurCall!Z27)/'CN FD alpha'!Z28</f>
        <v>34.642779464309818</v>
      </c>
      <c r="AA28" s="22">
        <f>('CN FD S'!AA28-'CN FD C'!AA28*EurCall!AA27)/'CN FD alpha'!AA28</f>
        <v>34.619158039928443</v>
      </c>
      <c r="AB28" s="22">
        <f>('CN FD S'!AB28-'CN FD C'!AB28*EurCall!AB27)/'CN FD alpha'!AB28</f>
        <v>34.595522440263444</v>
      </c>
      <c r="AC28" s="22">
        <f>('CN FD S'!AC28-'CN FD C'!AC28*EurCall!AC27)/'CN FD alpha'!AC28</f>
        <v>34.571872656270678</v>
      </c>
      <c r="AD28" s="22">
        <f>('CN FD S'!AD28-'CN FD C'!AD28*EurCall!AD27)/'CN FD alpha'!AD28</f>
        <v>34.548208679039668</v>
      </c>
      <c r="AE28" s="22">
        <f>('CN FD S'!AE28-'CN FD C'!AE28*EurCall!AE27)/'CN FD alpha'!AE28</f>
        <v>34.524530499763522</v>
      </c>
      <c r="AF28" s="22">
        <f>('CN FD S'!AF28-'CN FD C'!AF28*EurCall!AF27)/'CN FD alpha'!AF28</f>
        <v>34.500838109713705</v>
      </c>
      <c r="AG28" s="22">
        <f>('CN FD S'!AG28-'CN FD C'!AG28*EurCall!AG27)/'CN FD alpha'!AG28</f>
        <v>34.477131500219222</v>
      </c>
      <c r="AH28" s="22">
        <f>('CN FD S'!AH28-'CN FD C'!AH28*EurCall!AH27)/'CN FD alpha'!AH28</f>
        <v>34.453410662649965</v>
      </c>
      <c r="AI28" s="22">
        <f>('CN FD S'!AI28-'CN FD C'!AI28*EurCall!AI27)/'CN FD alpha'!AI28</f>
        <v>34.429675588403569</v>
      </c>
      <c r="AJ28" s="22">
        <f>('CN FD S'!AJ28-'CN FD C'!AJ28*EurCall!AJ27)/'CN FD alpha'!AJ28</f>
        <v>34.405926268895399</v>
      </c>
      <c r="AK28" s="22">
        <f>('CN FD S'!AK28-'CN FD C'!AK28*EurCall!AK27)/'CN FD alpha'!AK28</f>
        <v>34.382162695551088</v>
      </c>
      <c r="AL28" s="22">
        <f>('CN FD S'!AL28-'CN FD C'!AL28*EurCall!AL27)/'CN FD alpha'!AL28</f>
        <v>34.358384859801163</v>
      </c>
      <c r="AM28" s="22">
        <f>('CN FD S'!AM28-'CN FD C'!AM28*EurCall!AM27)/'CN FD alpha'!AM28</f>
        <v>34.334592753077324</v>
      </c>
      <c r="AN28" s="22">
        <f>('CN FD S'!AN28-'CN FD C'!AN28*EurCall!AN27)/'CN FD alpha'!AN28</f>
        <v>34.310786366809907</v>
      </c>
      <c r="AO28" s="22">
        <f>('CN FD S'!AO28-'CN FD C'!AO28*EurCall!AO27)/'CN FD alpha'!AO28</f>
        <v>34.286965692426278</v>
      </c>
      <c r="AP28" s="22">
        <f>('CN FD S'!AP28-'CN FD C'!AP28*EurCall!AP27)/'CN FD alpha'!AP28</f>
        <v>34.263130721349874</v>
      </c>
      <c r="AQ28" s="22">
        <f>('CN FD S'!AQ28-'CN FD C'!AQ28*EurCall!AQ27)/'CN FD alpha'!AQ28</f>
        <v>34.239281444999591</v>
      </c>
      <c r="AR28" s="22">
        <f>('CN FD S'!AR28-'CN FD C'!AR28*EurCall!AR27)/'CN FD alpha'!AR28</f>
        <v>34.215417854789472</v>
      </c>
      <c r="AS28" s="22">
        <f>('CN FD S'!AS28-'CN FD C'!AS28*EurCall!AS27)/'CN FD alpha'!AS28</f>
        <v>34.191539942128536</v>
      </c>
      <c r="AT28" s="22">
        <f>('CN FD S'!AT28-'CN FD C'!AT28*EurCall!AT27)/'CN FD alpha'!AT28</f>
        <v>34.167647698420694</v>
      </c>
      <c r="AU28" s="22">
        <f>('CN FD S'!AU28-'CN FD C'!AU28*EurCall!AU27)/'CN FD alpha'!AU28</f>
        <v>34.143741115064742</v>
      </c>
      <c r="AV28" s="22">
        <f>('CN FD S'!AV28-'CN FD C'!AV28*EurCall!AV27)/'CN FD alpha'!AV28</f>
        <v>34.119820183454294</v>
      </c>
      <c r="AW28" s="22">
        <f>('CN FD S'!AW28-'CN FD C'!AW28*EurCall!AW27)/'CN FD alpha'!AW28</f>
        <v>34.095884894977821</v>
      </c>
      <c r="AX28" s="22">
        <f>('CN FD S'!AX28-'CN FD C'!AX28*EurCall!AX27)/'CN FD alpha'!AX28</f>
        <v>34.071935241018622</v>
      </c>
      <c r="AY28" s="22">
        <f>('CN FD S'!AY28-'CN FD C'!AY28*EurCall!AY27)/'CN FD alpha'!AY28</f>
        <v>34.047971212954813</v>
      </c>
      <c r="AZ28" s="22">
        <f>('CN FD S'!AZ28-'CN FD C'!AZ28*EurCall!AZ27)/'CN FD alpha'!AZ28</f>
        <v>34.023992802159349</v>
      </c>
      <c r="BA28" s="6">
        <f t="shared" si="1"/>
        <v>34</v>
      </c>
    </row>
    <row r="29" spans="1:53" x14ac:dyDescent="0.2">
      <c r="A29" s="15">
        <f t="shared" si="2"/>
        <v>36</v>
      </c>
      <c r="B29" s="16">
        <f t="shared" si="0"/>
        <v>72</v>
      </c>
      <c r="C29" s="22">
        <f>('CN FD S'!C29-'CN FD C'!C29*EurCall!C28)/'CN FD alpha'!C29</f>
        <v>33.18219704112127</v>
      </c>
      <c r="D29" s="22">
        <f>('CN FD S'!D29-'CN FD C'!D29*EurCall!D28)/'CN FD alpha'!D29</f>
        <v>33.158896565562237</v>
      </c>
      <c r="E29" s="22">
        <f>('CN FD S'!E29-'CN FD C'!E29*EurCall!E28)/'CN FD alpha'!E29</f>
        <v>33.135582462522457</v>
      </c>
      <c r="F29" s="22">
        <f>('CN FD S'!F29-'CN FD C'!F29*EurCall!F28)/'CN FD alpha'!F29</f>
        <v>33.112254688892371</v>
      </c>
      <c r="G29" s="22">
        <f>('CN FD S'!G29-'CN FD C'!G29*EurCall!G28)/'CN FD alpha'!G29</f>
        <v>33.088913203634867</v>
      </c>
      <c r="H29" s="22">
        <f>('CN FD S'!H29-'CN FD C'!H29*EurCall!H28)/'CN FD alpha'!H29</f>
        <v>33.065557967792508</v>
      </c>
      <c r="I29" s="22">
        <f>('CN FD S'!I29-'CN FD C'!I29*EurCall!I28)/'CN FD alpha'!I29</f>
        <v>33.042188944483556</v>
      </c>
      <c r="J29" s="22">
        <f>('CN FD S'!J29-'CN FD C'!J29*EurCall!J28)/'CN FD alpha'!J29</f>
        <v>33.01880609888677</v>
      </c>
      <c r="K29" s="22">
        <f>('CN FD S'!K29-'CN FD C'!K29*EurCall!K28)/'CN FD alpha'!K29</f>
        <v>32.995409398214768</v>
      </c>
      <c r="L29" s="22">
        <f>('CN FD S'!L29-'CN FD C'!L29*EurCall!L28)/'CN FD alpha'!L29</f>
        <v>32.971998811676244</v>
      </c>
      <c r="M29" s="22">
        <f>('CN FD S'!M29-'CN FD C'!M29*EurCall!M28)/'CN FD alpha'!M29</f>
        <v>32.948574310427126</v>
      </c>
      <c r="N29" s="22">
        <f>('CN FD S'!N29-'CN FD C'!N29*EurCall!N28)/'CN FD alpha'!N29</f>
        <v>32.925135867511173</v>
      </c>
      <c r="O29" s="22">
        <f>('CN FD S'!O29-'CN FD C'!O29*EurCall!O28)/'CN FD alpha'!O29</f>
        <v>32.901683457790597</v>
      </c>
      <c r="P29" s="22">
        <f>('CN FD S'!P29-'CN FD C'!P29*EurCall!P28)/'CN FD alpha'!P29</f>
        <v>32.878217057867396</v>
      </c>
      <c r="Q29" s="22">
        <f>('CN FD S'!Q29-'CN FD C'!Q29*EurCall!Q28)/'CN FD alpha'!Q29</f>
        <v>32.85473664599629</v>
      </c>
      <c r="R29" s="22">
        <f>('CN FD S'!R29-'CN FD C'!R29*EurCall!R28)/'CN FD alpha'!R29</f>
        <v>32.831242201990428</v>
      </c>
      <c r="S29" s="22">
        <f>('CN FD S'!S29-'CN FD C'!S29*EurCall!S28)/'CN FD alpha'!S29</f>
        <v>32.807733707120889</v>
      </c>
      <c r="T29" s="22">
        <f>('CN FD S'!T29-'CN FD C'!T29*EurCall!T28)/'CN FD alpha'!T29</f>
        <v>32.784211144011401</v>
      </c>
      <c r="U29" s="22">
        <f>('CN FD S'!U29-'CN FD C'!U29*EurCall!U28)/'CN FD alpha'!U29</f>
        <v>32.760674496529667</v>
      </c>
      <c r="V29" s="22">
        <f>('CN FD S'!V29-'CN FD C'!V29*EurCall!V28)/'CN FD alpha'!V29</f>
        <v>32.737123749676776</v>
      </c>
      <c r="W29" s="22">
        <f>('CN FD S'!W29-'CN FD C'!W29*EurCall!W28)/'CN FD alpha'!W29</f>
        <v>32.713558889476161</v>
      </c>
      <c r="X29" s="22">
        <f>('CN FD S'!X29-'CN FD C'!X29*EurCall!X28)/'CN FD alpha'!X29</f>
        <v>32.68997990286379</v>
      </c>
      <c r="Y29" s="22">
        <f>('CN FD S'!Y29-'CN FD C'!Y29*EurCall!Y28)/'CN FD alpha'!Y29</f>
        <v>32.666386777580833</v>
      </c>
      <c r="Z29" s="22">
        <f>('CN FD S'!Z29-'CN FD C'!Z29*EurCall!Z28)/'CN FD alpha'!Z29</f>
        <v>32.642779502070375</v>
      </c>
      <c r="AA29" s="22">
        <f>('CN FD S'!AA29-'CN FD C'!AA29*EurCall!AA28)/'CN FD alpha'!AA29</f>
        <v>32.619158065379409</v>
      </c>
      <c r="AB29" s="22">
        <f>('CN FD S'!AB29-'CN FD C'!AB29*EurCall!AB28)/'CN FD alpha'!AB29</f>
        <v>32.595522457067197</v>
      </c>
      <c r="AC29" s="22">
        <f>('CN FD S'!AC29-'CN FD C'!AC29*EurCall!AC28)/'CN FD alpha'!AC29</f>
        <v>32.57187266712085</v>
      </c>
      <c r="AD29" s="22">
        <f>('CN FD S'!AD29-'CN FD C'!AD29*EurCall!AD28)/'CN FD alpha'!AD29</f>
        <v>32.548208685878961</v>
      </c>
      <c r="AE29" s="22">
        <f>('CN FD S'!AE29-'CN FD C'!AE29*EurCall!AE28)/'CN FD alpha'!AE29</f>
        <v>32.524530503963639</v>
      </c>
      <c r="AF29" s="22">
        <f>('CN FD S'!AF29-'CN FD C'!AF29*EurCall!AF28)/'CN FD alpha'!AF29</f>
        <v>32.500838112221082</v>
      </c>
      <c r="AG29" s="22">
        <f>('CN FD S'!AG29-'CN FD C'!AG29*EurCall!AG28)/'CN FD alpha'!AG29</f>
        <v>32.477131501670684</v>
      </c>
      <c r="AH29" s="22">
        <f>('CN FD S'!AH29-'CN FD C'!AH29*EurCall!AH28)/'CN FD alpha'!AH29</f>
        <v>32.453410663462442</v>
      </c>
      <c r="AI29" s="22">
        <f>('CN FD S'!AI29-'CN FD C'!AI29*EurCall!AI28)/'CN FD alpha'!AI29</f>
        <v>32.429675588841988</v>
      </c>
      <c r="AJ29" s="22">
        <f>('CN FD S'!AJ29-'CN FD C'!AJ29*EurCall!AJ28)/'CN FD alpha'!AJ29</f>
        <v>32.405926269122652</v>
      </c>
      <c r="AK29" s="22">
        <f>('CN FD S'!AK29-'CN FD C'!AK29*EurCall!AK28)/'CN FD alpha'!AK29</f>
        <v>32.382162695663794</v>
      </c>
      <c r="AL29" s="22">
        <f>('CN FD S'!AL29-'CN FD C'!AL29*EurCall!AL28)/'CN FD alpha'!AL29</f>
        <v>32.358384859854411</v>
      </c>
      <c r="AM29" s="22">
        <f>('CN FD S'!AM29-'CN FD C'!AM29*EurCall!AM28)/'CN FD alpha'!AM29</f>
        <v>32.334592753101163</v>
      </c>
      <c r="AN29" s="22">
        <f>('CN FD S'!AN29-'CN FD C'!AN29*EurCall!AN28)/'CN FD alpha'!AN29</f>
        <v>32.310786366819961</v>
      </c>
      <c r="AO29" s="22">
        <f>('CN FD S'!AO29-'CN FD C'!AO29*EurCall!AO28)/'CN FD alpha'!AO29</f>
        <v>32.28696569243025</v>
      </c>
      <c r="AP29" s="22">
        <f>('CN FD S'!AP29-'CN FD C'!AP29*EurCall!AP28)/'CN FD alpha'!AP29</f>
        <v>32.263130721351338</v>
      </c>
      <c r="AQ29" s="22">
        <f>('CN FD S'!AQ29-'CN FD C'!AQ29*EurCall!AQ28)/'CN FD alpha'!AQ29</f>
        <v>32.239281445000088</v>
      </c>
      <c r="AR29" s="22">
        <f>('CN FD S'!AR29-'CN FD C'!AR29*EurCall!AR28)/'CN FD alpha'!AR29</f>
        <v>32.215417854789635</v>
      </c>
      <c r="AS29" s="22">
        <f>('CN FD S'!AS29-'CN FD C'!AS29*EurCall!AS28)/'CN FD alpha'!AS29</f>
        <v>32.191539942128585</v>
      </c>
      <c r="AT29" s="22">
        <f>('CN FD S'!AT29-'CN FD C'!AT29*EurCall!AT28)/'CN FD alpha'!AT29</f>
        <v>32.167647698420716</v>
      </c>
      <c r="AU29" s="22">
        <f>('CN FD S'!AU29-'CN FD C'!AU29*EurCall!AU28)/'CN FD alpha'!AU29</f>
        <v>32.143741115064749</v>
      </c>
      <c r="AV29" s="22">
        <f>('CN FD S'!AV29-'CN FD C'!AV29*EurCall!AV28)/'CN FD alpha'!AV29</f>
        <v>32.119820183454301</v>
      </c>
      <c r="AW29" s="22">
        <f>('CN FD S'!AW29-'CN FD C'!AW29*EurCall!AW28)/'CN FD alpha'!AW29</f>
        <v>32.095884894977829</v>
      </c>
      <c r="AX29" s="22">
        <f>('CN FD S'!AX29-'CN FD C'!AX29*EurCall!AX28)/'CN FD alpha'!AX29</f>
        <v>32.071935241018622</v>
      </c>
      <c r="AY29" s="22">
        <f>('CN FD S'!AY29-'CN FD C'!AY29*EurCall!AY28)/'CN FD alpha'!AY29</f>
        <v>32.047971212954813</v>
      </c>
      <c r="AZ29" s="22">
        <f>('CN FD S'!AZ29-'CN FD C'!AZ29*EurCall!AZ28)/'CN FD alpha'!AZ29</f>
        <v>32.023992802159349</v>
      </c>
      <c r="BA29" s="6">
        <f t="shared" si="1"/>
        <v>32</v>
      </c>
    </row>
    <row r="30" spans="1:53" x14ac:dyDescent="0.2">
      <c r="A30" s="15">
        <f t="shared" si="2"/>
        <v>35</v>
      </c>
      <c r="B30" s="16">
        <f t="shared" si="0"/>
        <v>70</v>
      </c>
      <c r="C30" s="22">
        <f>('CN FD S'!C30-'CN FD C'!C30*EurCall!C29)/'CN FD alpha'!C30</f>
        <v>31.182220248071641</v>
      </c>
      <c r="D30" s="22">
        <f>('CN FD S'!D30-'CN FD C'!D30*EurCall!D29)/'CN FD alpha'!D30</f>
        <v>31.158916648962169</v>
      </c>
      <c r="E30" s="22">
        <f>('CN FD S'!E30-'CN FD C'!E30*EurCall!E29)/'CN FD alpha'!E30</f>
        <v>31.135599757828043</v>
      </c>
      <c r="F30" s="22">
        <f>('CN FD S'!F30-'CN FD C'!F30*EurCall!F29)/'CN FD alpha'!F30</f>
        <v>31.112269506712739</v>
      </c>
      <c r="G30" s="22">
        <f>('CN FD S'!G30-'CN FD C'!G30*EurCall!G29)/'CN FD alpha'!G30</f>
        <v>31.088925830384316</v>
      </c>
      <c r="H30" s="22">
        <f>('CN FD S'!H30-'CN FD C'!H30*EurCall!H29)/'CN FD alpha'!H30</f>
        <v>31.065568666424134</v>
      </c>
      <c r="I30" s="22">
        <f>('CN FD S'!I30-'CN FD C'!I30*EurCall!I29)/'CN FD alpha'!I30</f>
        <v>31.042197955300356</v>
      </c>
      <c r="J30" s="22">
        <f>('CN FD S'!J30-'CN FD C'!J30*EurCall!J29)/'CN FD alpha'!J30</f>
        <v>31.018813640425197</v>
      </c>
      <c r="K30" s="22">
        <f>('CN FD S'!K30-'CN FD C'!K30*EurCall!K29)/'CN FD alpha'!K30</f>
        <v>30.995415668194909</v>
      </c>
      <c r="L30" s="22">
        <f>('CN FD S'!L30-'CN FD C'!L30*EurCall!L29)/'CN FD alpha'!L30</f>
        <v>30.972003988011686</v>
      </c>
      <c r="M30" s="22">
        <f>('CN FD S'!M30-'CN FD C'!M30*EurCall!M29)/'CN FD alpha'!M30</f>
        <v>30.948578552286804</v>
      </c>
      <c r="N30" s="22">
        <f>('CN FD S'!N30-'CN FD C'!N30*EurCall!N29)/'CN FD alpha'!N30</f>
        <v>30.925139316424616</v>
      </c>
      <c r="O30" s="22">
        <f>('CN FD S'!O30-'CN FD C'!O30*EurCall!O29)/'CN FD alpha'!O30</f>
        <v>30.90168623878721</v>
      </c>
      <c r="P30" s="22">
        <f>('CN FD S'!P30-'CN FD C'!P30*EurCall!P29)/'CN FD alpha'!P30</f>
        <v>30.878219280639797</v>
      </c>
      <c r="Q30" s="22">
        <f>('CN FD S'!Q30-'CN FD C'!Q30*EurCall!Q29)/'CN FD alpha'!Q30</f>
        <v>30.854738406077278</v>
      </c>
      <c r="R30" s="22">
        <f>('CN FD S'!R30-'CN FD C'!R30*EurCall!R29)/'CN FD alpha'!R30</f>
        <v>30.831243581932668</v>
      </c>
      <c r="S30" s="22">
        <f>('CN FD S'!S30-'CN FD C'!S30*EurCall!S29)/'CN FD alpha'!S30</f>
        <v>30.807734777668369</v>
      </c>
      <c r="T30" s="22">
        <f>('CN FD S'!T30-'CN FD C'!T30*EurCall!T29)/'CN FD alpha'!T30</f>
        <v>30.78421196525176</v>
      </c>
      <c r="U30" s="22">
        <f>('CN FD S'!U30-'CN FD C'!U30*EurCall!U29)/'CN FD alpha'!U30</f>
        <v>30.760675119016668</v>
      </c>
      <c r="V30" s="22">
        <f>('CN FD S'!V30-'CN FD C'!V30*EurCall!V29)/'CN FD alpha'!V30</f>
        <v>30.7371242155128</v>
      </c>
      <c r="W30" s="22">
        <f>('CN FD S'!W30-'CN FD C'!W30*EurCall!W29)/'CN FD alpha'!W30</f>
        <v>30.713559233345293</v>
      </c>
      <c r="X30" s="22">
        <f>('CN FD S'!X30-'CN FD C'!X30*EurCall!X29)/'CN FD alpha'!X30</f>
        <v>30.689980153007028</v>
      </c>
      <c r="Y30" s="22">
        <f>('CN FD S'!Y30-'CN FD C'!Y30*EurCall!Y29)/'CN FD alpha'!Y30</f>
        <v>30.666386956706166</v>
      </c>
      <c r="Z30" s="22">
        <f>('CN FD S'!Z30-'CN FD C'!Z30*EurCall!Z29)/'CN FD alpha'!Z30</f>
        <v>30.642779628191914</v>
      </c>
      <c r="AA30" s="22">
        <f>('CN FD S'!AA30-'CN FD C'!AA30*EurCall!AA29)/'CN FD alpha'!AA30</f>
        <v>30.619158152581129</v>
      </c>
      <c r="AB30" s="22">
        <f>('CN FD S'!AB30-'CN FD C'!AB30*EurCall!AB29)/'CN FD alpha'!AB30</f>
        <v>30.595522516188659</v>
      </c>
      <c r="AC30" s="22">
        <f>('CN FD S'!AC30-'CN FD C'!AC30*EurCall!AC29)/'CN FD alpha'!AC30</f>
        <v>30.571872706364019</v>
      </c>
      <c r="AD30" s="22">
        <f>('CN FD S'!AD30-'CN FD C'!AD30*EurCall!AD29)/'CN FD alpha'!AD30</f>
        <v>30.548208711336752</v>
      </c>
      <c r="AE30" s="22">
        <f>('CN FD S'!AE30-'CN FD C'!AE30*EurCall!AE29)/'CN FD alpha'!AE30</f>
        <v>30.524530520072602</v>
      </c>
      <c r="AF30" s="22">
        <f>('CN FD S'!AF30-'CN FD C'!AF30*EurCall!AF29)/'CN FD alpha'!AF30</f>
        <v>30.500838122142142</v>
      </c>
      <c r="AG30" s="22">
        <f>('CN FD S'!AG30-'CN FD C'!AG30*EurCall!AG29)/'CN FD alpha'!AG30</f>
        <v>30.477131507603119</v>
      </c>
      <c r="AH30" s="22">
        <f>('CN FD S'!AH30-'CN FD C'!AH30*EurCall!AH29)/'CN FD alpha'!AH30</f>
        <v>30.453410666897234</v>
      </c>
      <c r="AI30" s="22">
        <f>('CN FD S'!AI30-'CN FD C'!AI30*EurCall!AI29)/'CN FD alpha'!AI30</f>
        <v>30.429675590761619</v>
      </c>
      <c r="AJ30" s="22">
        <f>('CN FD S'!AJ30-'CN FD C'!AJ30*EurCall!AJ29)/'CN FD alpha'!AJ30</f>
        <v>30.405926270154616</v>
      </c>
      <c r="AK30" s="22">
        <f>('CN FD S'!AK30-'CN FD C'!AK30*EurCall!AK29)/'CN FD alpha'!AK30</f>
        <v>30.382162696195309</v>
      </c>
      <c r="AL30" s="22">
        <f>('CN FD S'!AL30-'CN FD C'!AL30*EurCall!AL29)/'CN FD alpha'!AL30</f>
        <v>30.358384860115507</v>
      </c>
      <c r="AM30" s="22">
        <f>('CN FD S'!AM30-'CN FD C'!AM30*EurCall!AM29)/'CN FD alpha'!AM30</f>
        <v>30.334592753222854</v>
      </c>
      <c r="AN30" s="22">
        <f>('CN FD S'!AN30-'CN FD C'!AN30*EurCall!AN29)/'CN FD alpha'!AN30</f>
        <v>30.310786366873447</v>
      </c>
      <c r="AO30" s="22">
        <f>('CN FD S'!AO30-'CN FD C'!AO30*EurCall!AO29)/'CN FD alpha'!AO30</f>
        <v>30.28696569245227</v>
      </c>
      <c r="AP30" s="22">
        <f>('CN FD S'!AP30-'CN FD C'!AP30*EurCall!AP29)/'CN FD alpha'!AP30</f>
        <v>30.263130721359762</v>
      </c>
      <c r="AQ30" s="22">
        <f>('CN FD S'!AQ30-'CN FD C'!AQ30*EurCall!AQ29)/'CN FD alpha'!AQ30</f>
        <v>30.239281445003055</v>
      </c>
      <c r="AR30" s="22">
        <f>('CN FD S'!AR30-'CN FD C'!AR30*EurCall!AR29)/'CN FD alpha'!AR30</f>
        <v>30.21541785479058</v>
      </c>
      <c r="AS30" s="22">
        <f>('CN FD S'!AS30-'CN FD C'!AS30*EurCall!AS29)/'CN FD alpha'!AS30</f>
        <v>30.191539942128859</v>
      </c>
      <c r="AT30" s="22">
        <f>('CN FD S'!AT30-'CN FD C'!AT30*EurCall!AT29)/'CN FD alpha'!AT30</f>
        <v>30.167647698420783</v>
      </c>
      <c r="AU30" s="22">
        <f>('CN FD S'!AU30-'CN FD C'!AU30*EurCall!AU29)/'CN FD alpha'!AU30</f>
        <v>30.143741115064767</v>
      </c>
      <c r="AV30" s="22">
        <f>('CN FD S'!AV30-'CN FD C'!AV30*EurCall!AV29)/'CN FD alpha'!AV30</f>
        <v>30.119820183454305</v>
      </c>
      <c r="AW30" s="22">
        <f>('CN FD S'!AW30-'CN FD C'!AW30*EurCall!AW29)/'CN FD alpha'!AW30</f>
        <v>30.095884894977829</v>
      </c>
      <c r="AX30" s="22">
        <f>('CN FD S'!AX30-'CN FD C'!AX30*EurCall!AX29)/'CN FD alpha'!AX30</f>
        <v>30.071935241018622</v>
      </c>
      <c r="AY30" s="22">
        <f>('CN FD S'!AY30-'CN FD C'!AY30*EurCall!AY29)/'CN FD alpha'!AY30</f>
        <v>30.047971212954817</v>
      </c>
      <c r="AZ30" s="22">
        <f>('CN FD S'!AZ30-'CN FD C'!AZ30*EurCall!AZ29)/'CN FD alpha'!AZ30</f>
        <v>30.023992802159356</v>
      </c>
      <c r="BA30" s="6">
        <f t="shared" si="1"/>
        <v>30</v>
      </c>
    </row>
    <row r="31" spans="1:53" x14ac:dyDescent="0.2">
      <c r="A31" s="15">
        <f t="shared" si="2"/>
        <v>34</v>
      </c>
      <c r="B31" s="16">
        <f t="shared" si="0"/>
        <v>68</v>
      </c>
      <c r="C31" s="22">
        <f>('CN FD S'!C31-'CN FD C'!C31*EurCall!C30)/'CN FD alpha'!C31</f>
        <v>29.182272409886231</v>
      </c>
      <c r="D31" s="22">
        <f>('CN FD S'!D31-'CN FD C'!D31*EurCall!D30)/'CN FD alpha'!D31</f>
        <v>29.158962316749541</v>
      </c>
      <c r="E31" s="22">
        <f>('CN FD S'!E31-'CN FD C'!E31*EurCall!E30)/'CN FD alpha'!E31</f>
        <v>29.135639558576155</v>
      </c>
      <c r="F31" s="22">
        <f>('CN FD S'!F31-'CN FD C'!F31*EurCall!F30)/'CN FD alpha'!F31</f>
        <v>29.11230402874936</v>
      </c>
      <c r="G31" s="22">
        <f>('CN FD S'!G31-'CN FD C'!G31*EurCall!G30)/'CN FD alpha'!G31</f>
        <v>29.08895562368539</v>
      </c>
      <c r="H31" s="22">
        <f>('CN FD S'!H31-'CN FD C'!H31*EurCall!H30)/'CN FD alpha'!H31</f>
        <v>29.06559424307321</v>
      </c>
      <c r="I31" s="22">
        <f>('CN FD S'!I31-'CN FD C'!I31*EurCall!I30)/'CN FD alpha'!I31</f>
        <v>29.042219790099733</v>
      </c>
      <c r="J31" s="22">
        <f>('CN FD S'!J31-'CN FD C'!J31*EurCall!J30)/'CN FD alpha'!J31</f>
        <v>29.018832171657866</v>
      </c>
      <c r="K31" s="22">
        <f>('CN FD S'!K31-'CN FD C'!K31*EurCall!K30)/'CN FD alpha'!K31</f>
        <v>28.995431298534687</v>
      </c>
      <c r="L31" s="22">
        <f>('CN FD S'!L31-'CN FD C'!L31*EurCall!L30)/'CN FD alpha'!L31</f>
        <v>28.972017085577239</v>
      </c>
      <c r="M31" s="22">
        <f>('CN FD S'!M31-'CN FD C'!M31*EurCall!M30)/'CN FD alpha'!M31</f>
        <v>28.948589451833378</v>
      </c>
      <c r="N31" s="22">
        <f>('CN FD S'!N31-'CN FD C'!N31*EurCall!N30)/'CN FD alpha'!N31</f>
        <v>28.925148320665368</v>
      </c>
      <c r="O31" s="22">
        <f>('CN FD S'!O31-'CN FD C'!O31*EurCall!O30)/'CN FD alpha'!O31</f>
        <v>28.90169361983412</v>
      </c>
      <c r="P31" s="22">
        <f>('CN FD S'!P31-'CN FD C'!P31*EurCall!P30)/'CN FD alpha'!P31</f>
        <v>28.878225281552222</v>
      </c>
      <c r="Q31" s="22">
        <f>('CN FD S'!Q31-'CN FD C'!Q31*EurCall!Q30)/'CN FD alpha'!Q31</f>
        <v>28.854743242504323</v>
      </c>
      <c r="R31" s="22">
        <f>('CN FD S'!R31-'CN FD C'!R31*EurCall!R30)/'CN FD alpha'!R31</f>
        <v>28.831247443833849</v>
      </c>
      <c r="S31" s="22">
        <f>('CN FD S'!S31-'CN FD C'!S31*EurCall!S30)/'CN FD alpha'!S31</f>
        <v>28.807737831095462</v>
      </c>
      <c r="T31" s="22">
        <f>('CN FD S'!T31-'CN FD C'!T31*EurCall!T30)/'CN FD alpha'!T31</f>
        <v>28.784214354173326</v>
      </c>
      <c r="U31" s="22">
        <f>('CN FD S'!U31-'CN FD C'!U31*EurCall!U30)/'CN FD alpha'!U31</f>
        <v>28.760676967165789</v>
      </c>
      <c r="V31" s="22">
        <f>('CN FD S'!V31-'CN FD C'!V31*EurCall!V30)/'CN FD alpha'!V31</f>
        <v>28.737125628237838</v>
      </c>
      <c r="W31" s="22">
        <f>('CN FD S'!W31-'CN FD C'!W31*EurCall!W30)/'CN FD alpha'!W31</f>
        <v>28.713560299443209</v>
      </c>
      <c r="X31" s="22">
        <f>('CN FD S'!X31-'CN FD C'!X31*EurCall!X30)/'CN FD alpha'!X31</f>
        <v>28.689980946518922</v>
      </c>
      <c r="Y31" s="22">
        <f>('CN FD S'!Y31-'CN FD C'!Y31*EurCall!Y30)/'CN FD alpha'!Y31</f>
        <v>28.666387538655506</v>
      </c>
      <c r="Z31" s="22">
        <f>('CN FD S'!Z31-'CN FD C'!Z31*EurCall!Z30)/'CN FD alpha'!Z31</f>
        <v>28.64278004824693</v>
      </c>
      <c r="AA31" s="22">
        <f>('CN FD S'!AA31-'CN FD C'!AA31*EurCall!AA30)/'CN FD alpha'!AA31</f>
        <v>28.619158450624777</v>
      </c>
      <c r="AB31" s="22">
        <f>('CN FD S'!AB31-'CN FD C'!AB31*EurCall!AB30)/'CN FD alpha'!AB31</f>
        <v>28.595522723781574</v>
      </c>
      <c r="AC31" s="22">
        <f>('CN FD S'!AC31-'CN FD C'!AC31*EurCall!AC30)/'CN FD alpha'!AC31</f>
        <v>28.571872848088667</v>
      </c>
      <c r="AD31" s="22">
        <f>('CN FD S'!AD31-'CN FD C'!AD31*EurCall!AD30)/'CN FD alpha'!AD31</f>
        <v>28.54820880601396</v>
      </c>
      <c r="AE31" s="22">
        <f>('CN FD S'!AE31-'CN FD C'!AE31*EurCall!AE30)/'CN FD alpha'!AE31</f>
        <v>28.524530581845028</v>
      </c>
      <c r="AF31" s="22">
        <f>('CN FD S'!AF31-'CN FD C'!AF31*EurCall!AF30)/'CN FD alpha'!AF31</f>
        <v>28.500838161422671</v>
      </c>
      <c r="AG31" s="22">
        <f>('CN FD S'!AG31-'CN FD C'!AG31*EurCall!AG30)/'CN FD alpha'!AG31</f>
        <v>28.477131531889615</v>
      </c>
      <c r="AH31" s="22">
        <f>('CN FD S'!AH31-'CN FD C'!AH31*EurCall!AH30)/'CN FD alpha'!AH31</f>
        <v>28.453410681458468</v>
      </c>
      <c r="AI31" s="22">
        <f>('CN FD S'!AI31-'CN FD C'!AI31*EurCall!AI30)/'CN FD alpha'!AI31</f>
        <v>28.429675599202071</v>
      </c>
      <c r="AJ31" s="22">
        <f>('CN FD S'!AJ31-'CN FD C'!AJ31*EurCall!AJ30)/'CN FD alpha'!AJ31</f>
        <v>28.405926274868488</v>
      </c>
      <c r="AK31" s="22">
        <f>('CN FD S'!AK31-'CN FD C'!AK31*EurCall!AK30)/'CN FD alpha'!AK31</f>
        <v>28.382162698721906</v>
      </c>
      <c r="AL31" s="22">
        <f>('CN FD S'!AL31-'CN FD C'!AL31*EurCall!AL30)/'CN FD alpha'!AL31</f>
        <v>28.358384861409391</v>
      </c>
      <c r="AM31" s="22">
        <f>('CN FD S'!AM31-'CN FD C'!AM31*EurCall!AM30)/'CN FD alpha'!AM31</f>
        <v>28.334592753852665</v>
      </c>
      <c r="AN31" s="22">
        <f>('CN FD S'!AN31-'CN FD C'!AN31*EurCall!AN30)/'CN FD alpha'!AN31</f>
        <v>28.310786367163114</v>
      </c>
      <c r="AO31" s="22">
        <f>('CN FD S'!AO31-'CN FD C'!AO31*EurCall!AO30)/'CN FD alpha'!AO31</f>
        <v>28.286965692577272</v>
      </c>
      <c r="AP31" s="22">
        <f>('CN FD S'!AP31-'CN FD C'!AP31*EurCall!AP30)/'CN FD alpha'!AP31</f>
        <v>28.263130721409961</v>
      </c>
      <c r="AQ31" s="22">
        <f>('CN FD S'!AQ31-'CN FD C'!AQ31*EurCall!AQ30)/'CN FD alpha'!AQ31</f>
        <v>28.239281445021636</v>
      </c>
      <c r="AR31" s="22">
        <f>('CN FD S'!AR31-'CN FD C'!AR31*EurCall!AR30)/'CN FD alpha'!AR31</f>
        <v>28.215417854796843</v>
      </c>
      <c r="AS31" s="22">
        <f>('CN FD S'!AS31-'CN FD C'!AS31*EurCall!AS30)/'CN FD alpha'!AS31</f>
        <v>28.191539942130749</v>
      </c>
      <c r="AT31" s="22">
        <f>('CN FD S'!AT31-'CN FD C'!AT31*EurCall!AT30)/'CN FD alpha'!AT31</f>
        <v>28.167647698421288</v>
      </c>
      <c r="AU31" s="22">
        <f>('CN FD S'!AU31-'CN FD C'!AU31*EurCall!AU30)/'CN FD alpha'!AU31</f>
        <v>28.143741115064877</v>
      </c>
      <c r="AV31" s="22">
        <f>('CN FD S'!AV31-'CN FD C'!AV31*EurCall!AV30)/'CN FD alpha'!AV31</f>
        <v>28.119820183454323</v>
      </c>
      <c r="AW31" s="22">
        <f>('CN FD S'!AW31-'CN FD C'!AW31*EurCall!AW30)/'CN FD alpha'!AW31</f>
        <v>28.095884894977829</v>
      </c>
      <c r="AX31" s="22">
        <f>('CN FD S'!AX31-'CN FD C'!AX31*EurCall!AX30)/'CN FD alpha'!AX31</f>
        <v>28.071935241018625</v>
      </c>
      <c r="AY31" s="22">
        <f>('CN FD S'!AY31-'CN FD C'!AY31*EurCall!AY30)/'CN FD alpha'!AY31</f>
        <v>28.047971212954817</v>
      </c>
      <c r="AZ31" s="22">
        <f>('CN FD S'!AZ31-'CN FD C'!AZ31*EurCall!AZ30)/'CN FD alpha'!AZ31</f>
        <v>28.023992802159349</v>
      </c>
      <c r="BA31" s="6">
        <f t="shared" si="1"/>
        <v>28</v>
      </c>
    </row>
    <row r="32" spans="1:53" x14ac:dyDescent="0.2">
      <c r="A32" s="15">
        <f t="shared" si="2"/>
        <v>33</v>
      </c>
      <c r="B32" s="16">
        <f t="shared" si="0"/>
        <v>66</v>
      </c>
      <c r="C32" s="22">
        <f>('CN FD S'!C32-'CN FD C'!C32*EurCall!C31)/'CN FD alpha'!C32</f>
        <v>27.182388893796741</v>
      </c>
      <c r="D32" s="22">
        <f>('CN FD S'!D32-'CN FD C'!D32*EurCall!D31)/'CN FD alpha'!D32</f>
        <v>27.159065485215862</v>
      </c>
      <c r="E32" s="22">
        <f>('CN FD S'!E32-'CN FD C'!E32*EurCall!E31)/'CN FD alpha'!E32</f>
        <v>27.135730551089125</v>
      </c>
      <c r="F32" s="22">
        <f>('CN FD S'!F32-'CN FD C'!F32*EurCall!F31)/'CN FD alpha'!F32</f>
        <v>27.112383929115186</v>
      </c>
      <c r="G32" s="22">
        <f>('CN FD S'!G32-'CN FD C'!G32*EurCall!G31)/'CN FD alpha'!G32</f>
        <v>27.089025459255836</v>
      </c>
      <c r="H32" s="22">
        <f>('CN FD S'!H32-'CN FD C'!H32*EurCall!H31)/'CN FD alpha'!H32</f>
        <v>27.065654984201316</v>
      </c>
      <c r="I32" s="22">
        <f>('CN FD S'!I32-'CN FD C'!I32*EurCall!I31)/'CN FD alpha'!I32</f>
        <v>27.042272349833663</v>
      </c>
      <c r="J32" s="22">
        <f>('CN FD S'!J32-'CN FD C'!J32*EurCall!J31)/'CN FD alpha'!J32</f>
        <v>27.018877405683799</v>
      </c>
      <c r="K32" s="22">
        <f>('CN FD S'!K32-'CN FD C'!K32*EurCall!K31)/'CN FD alpha'!K32</f>
        <v>26.995470005377815</v>
      </c>
      <c r="L32" s="22">
        <f>('CN FD S'!L32-'CN FD C'!L32*EurCall!L31)/'CN FD alpha'!L32</f>
        <v>26.972050007067629</v>
      </c>
      <c r="M32" s="22">
        <f>('CN FD S'!M32-'CN FD C'!M32*EurCall!M31)/'CN FD alpha'!M32</f>
        <v>26.948617273840888</v>
      </c>
      <c r="N32" s="22">
        <f>('CN FD S'!N32-'CN FD C'!N32*EurCall!N31)/'CN FD alpha'!N32</f>
        <v>26.925171674104828</v>
      </c>
      <c r="O32" s="22">
        <f>('CN FD S'!O32-'CN FD C'!O32*EurCall!O31)/'CN FD alpha'!O32</f>
        <v>26.901713081938762</v>
      </c>
      <c r="P32" s="22">
        <f>('CN FD S'!P32-'CN FD C'!P32*EurCall!P31)/'CN FD alpha'!P32</f>
        <v>26.87824137740968</v>
      </c>
      <c r="Q32" s="22">
        <f>('CN FD S'!Q32-'CN FD C'!Q32*EurCall!Q31)/'CN FD alpha'!Q32</f>
        <v>26.854756446845858</v>
      </c>
      <c r="R32" s="22">
        <f>('CN FD S'!R32-'CN FD C'!R32*EurCall!R31)/'CN FD alpha'!R32</f>
        <v>26.831258183063255</v>
      </c>
      <c r="S32" s="22">
        <f>('CN FD S'!S32-'CN FD C'!S32*EurCall!S31)/'CN FD alpha'!S32</f>
        <v>26.807746485540157</v>
      </c>
      <c r="T32" s="22">
        <f>('CN FD S'!T32-'CN FD C'!T32*EurCall!T31)/'CN FD alpha'!T32</f>
        <v>26.784221260535929</v>
      </c>
      <c r="U32" s="22">
        <f>('CN FD S'!U32-'CN FD C'!U32*EurCall!U31)/'CN FD alpha'!U32</f>
        <v>26.760682421150467</v>
      </c>
      <c r="V32" s="22">
        <f>('CN FD S'!V32-'CN FD C'!V32*EurCall!V31)/'CN FD alpha'!V32</f>
        <v>26.737129887321842</v>
      </c>
      <c r="W32" s="22">
        <f>('CN FD S'!W32-'CN FD C'!W32*EurCall!W31)/'CN FD alpha'!W32</f>
        <v>26.713563585760703</v>
      </c>
      <c r="X32" s="22">
        <f>('CN FD S'!X32-'CN FD C'!X32*EurCall!X31)/'CN FD alpha'!X32</f>
        <v>26.689983449821156</v>
      </c>
      <c r="Y32" s="22">
        <f>('CN FD S'!Y32-'CN FD C'!Y32*EurCall!Y31)/'CN FD alpha'!Y32</f>
        <v>26.666389419309279</v>
      </c>
      <c r="Z32" s="22">
        <f>('CN FD S'!Z32-'CN FD C'!Z32*EurCall!Z31)/'CN FD alpha'!Z32</f>
        <v>26.642781440231786</v>
      </c>
      <c r="AA32" s="22">
        <f>('CN FD S'!AA32-'CN FD C'!AA32*EurCall!AA31)/'CN FD alpha'!AA32</f>
        <v>26.619159464489019</v>
      </c>
      <c r="AB32" s="22">
        <f>('CN FD S'!AB32-'CN FD C'!AB32*EurCall!AB31)/'CN FD alpha'!AB32</f>
        <v>26.595523449517867</v>
      </c>
      <c r="AC32" s="22">
        <f>('CN FD S'!AC32-'CN FD C'!AC32*EurCall!AC31)/'CN FD alpha'!AC32</f>
        <v>26.571873357891771</v>
      </c>
      <c r="AD32" s="22">
        <f>('CN FD S'!AD32-'CN FD C'!AD32*EurCall!AD31)/'CN FD alpha'!AD32</f>
        <v>26.548209156886355</v>
      </c>
      <c r="AE32" s="22">
        <f>('CN FD S'!AE32-'CN FD C'!AE32*EurCall!AE31)/'CN FD alpha'!AE32</f>
        <v>26.524530818020224</v>
      </c>
      <c r="AF32" s="22">
        <f>('CN FD S'!AF32-'CN FD C'!AF32*EurCall!AF31)/'CN FD alpha'!AF32</f>
        <v>26.500838316581696</v>
      </c>
      <c r="AG32" s="22">
        <f>('CN FD S'!AG32-'CN FD C'!AG32*EurCall!AG31)/'CN FD alpha'!AG32</f>
        <v>26.477131631152208</v>
      </c>
      <c r="AH32" s="22">
        <f>('CN FD S'!AH32-'CN FD C'!AH32*EurCall!AH31)/'CN FD alpha'!AH32</f>
        <v>26.453410743137692</v>
      </c>
      <c r="AI32" s="22">
        <f>('CN FD S'!AI32-'CN FD C'!AI32*EurCall!AI31)/'CN FD alpha'!AI32</f>
        <v>26.42967563631834</v>
      </c>
      <c r="AJ32" s="22">
        <f>('CN FD S'!AJ32-'CN FD C'!AJ32*EurCall!AJ31)/'CN FD alpha'!AJ32</f>
        <v>26.405926296426671</v>
      </c>
      <c r="AK32" s="22">
        <f>('CN FD S'!AK32-'CN FD C'!AK32*EurCall!AK31)/'CN FD alpha'!AK32</f>
        <v>26.38216271076179</v>
      </c>
      <c r="AL32" s="22">
        <f>('CN FD S'!AL32-'CN FD C'!AL32*EurCall!AL31)/'CN FD alpha'!AL32</f>
        <v>26.358384867846411</v>
      </c>
      <c r="AM32" s="22">
        <f>('CN FD S'!AM32-'CN FD C'!AM32*EurCall!AM31)/'CN FD alpha'!AM32</f>
        <v>26.334592757130547</v>
      </c>
      <c r="AN32" s="22">
        <f>('CN FD S'!AN32-'CN FD C'!AN32*EurCall!AN31)/'CN FD alpha'!AN32</f>
        <v>26.310786368743553</v>
      </c>
      <c r="AO32" s="22">
        <f>('CN FD S'!AO32-'CN FD C'!AO32*EurCall!AO31)/'CN FD alpha'!AO32</f>
        <v>26.286965693293805</v>
      </c>
      <c r="AP32" s="22">
        <f>('CN FD S'!AP32-'CN FD C'!AP32*EurCall!AP31)/'CN FD alpha'!AP32</f>
        <v>26.263130721712944</v>
      </c>
      <c r="AQ32" s="22">
        <f>('CN FD S'!AQ32-'CN FD C'!AQ32*EurCall!AQ31)/'CN FD alpha'!AQ32</f>
        <v>26.239281445139966</v>
      </c>
      <c r="AR32" s="22">
        <f>('CN FD S'!AR32-'CN FD C'!AR32*EurCall!AR31)/'CN FD alpha'!AR32</f>
        <v>26.215417854839032</v>
      </c>
      <c r="AS32" s="22">
        <f>('CN FD S'!AS32-'CN FD C'!AS32*EurCall!AS31)/'CN FD alpha'!AS32</f>
        <v>26.191539942144285</v>
      </c>
      <c r="AT32" s="22">
        <f>('CN FD S'!AT32-'CN FD C'!AT32*EurCall!AT31)/'CN FD alpha'!AT32</f>
        <v>26.167647698425121</v>
      </c>
      <c r="AU32" s="22">
        <f>('CN FD S'!AU32-'CN FD C'!AU32*EurCall!AU31)/'CN FD alpha'!AU32</f>
        <v>26.143741115065815</v>
      </c>
      <c r="AV32" s="22">
        <f>('CN FD S'!AV32-'CN FD C'!AV32*EurCall!AV31)/'CN FD alpha'!AV32</f>
        <v>26.119820183454518</v>
      </c>
      <c r="AW32" s="22">
        <f>('CN FD S'!AW32-'CN FD C'!AW32*EurCall!AW31)/'CN FD alpha'!AW32</f>
        <v>26.095884894977868</v>
      </c>
      <c r="AX32" s="22">
        <f>('CN FD S'!AX32-'CN FD C'!AX32*EurCall!AX31)/'CN FD alpha'!AX32</f>
        <v>26.07193524101864</v>
      </c>
      <c r="AY32" s="22">
        <f>('CN FD S'!AY32-'CN FD C'!AY32*EurCall!AY31)/'CN FD alpha'!AY32</f>
        <v>26.047971212954828</v>
      </c>
      <c r="AZ32" s="22">
        <f>('CN FD S'!AZ32-'CN FD C'!AZ32*EurCall!AZ31)/'CN FD alpha'!AZ32</f>
        <v>26.023992802159359</v>
      </c>
      <c r="BA32" s="6">
        <f t="shared" si="1"/>
        <v>26</v>
      </c>
    </row>
    <row r="33" spans="1:53" x14ac:dyDescent="0.2">
      <c r="A33" s="15">
        <f t="shared" si="2"/>
        <v>32</v>
      </c>
      <c r="B33" s="16">
        <f t="shared" si="0"/>
        <v>64</v>
      </c>
      <c r="C33" s="22">
        <f>('CN FD S'!C33-'CN FD C'!C33*EurCall!C32)/'CN FD alpha'!C33</f>
        <v>25.182646918615379</v>
      </c>
      <c r="D33" s="22">
        <f>('CN FD S'!D33-'CN FD C'!D33*EurCall!D32)/'CN FD alpha'!D33</f>
        <v>25.159296660182566</v>
      </c>
      <c r="E33" s="22">
        <f>('CN FD S'!E33-'CN FD C'!E33*EurCall!E32)/'CN FD alpha'!E33</f>
        <v>25.135936876508357</v>
      </c>
      <c r="F33" s="22">
        <f>('CN FD S'!F33-'CN FD C'!F33*EurCall!F32)/'CN FD alpha'!F33</f>
        <v>25.11256733406865</v>
      </c>
      <c r="G33" s="22">
        <f>('CN FD S'!G33-'CN FD C'!G33*EurCall!G32)/'CN FD alpha'!G33</f>
        <v>25.089187798527512</v>
      </c>
      <c r="H33" s="22">
        <f>('CN FD S'!H33-'CN FD C'!H33*EurCall!H32)/'CN FD alpha'!H33</f>
        <v>25.065798035450918</v>
      </c>
      <c r="I33" s="22">
        <f>('CN FD S'!I33-'CN FD C'!I33*EurCall!I32)/'CN FD alpha'!I33</f>
        <v>25.042397811051647</v>
      </c>
      <c r="J33" s="22">
        <f>('CN FD S'!J33-'CN FD C'!J33*EurCall!J32)/'CN FD alpha'!J33</f>
        <v>25.018986892961053</v>
      </c>
      <c r="K33" s="22">
        <f>('CN FD S'!K33-'CN FD C'!K33*EurCall!K32)/'CN FD alpha'!K33</f>
        <v>24.99556505102257</v>
      </c>
      <c r="L33" s="22">
        <f>('CN FD S'!L33-'CN FD C'!L33*EurCall!L32)/'CN FD alpha'!L33</f>
        <v>24.97213205810095</v>
      </c>
      <c r="M33" s="22">
        <f>('CN FD S'!M33-'CN FD C'!M33*EurCall!M32)/'CN FD alpha'!M33</f>
        <v>24.94868769090035</v>
      </c>
      <c r="N33" s="22">
        <f>('CN FD S'!N33-'CN FD C'!N33*EurCall!N32)/'CN FD alpha'!N33</f>
        <v>24.925231730783416</v>
      </c>
      <c r="O33" s="22">
        <f>('CN FD S'!O33-'CN FD C'!O33*EurCall!O32)/'CN FD alpha'!O33</f>
        <v>24.90176396458266</v>
      </c>
      <c r="P33" s="22">
        <f>('CN FD S'!P33-'CN FD C'!P33*EurCall!P32)/'CN FD alpha'!P33</f>
        <v>24.878284185394588</v>
      </c>
      <c r="Q33" s="22">
        <f>('CN FD S'!Q33-'CN FD C'!Q33*EurCall!Q32)/'CN FD alpha'!Q33</f>
        <v>24.854792193346295</v>
      </c>
      <c r="R33" s="22">
        <f>('CN FD S'!R33-'CN FD C'!R33*EurCall!R32)/'CN FD alpha'!R33</f>
        <v>24.831287796323561</v>
      </c>
      <c r="S33" s="22">
        <f>('CN FD S'!S33-'CN FD C'!S33*EurCall!S32)/'CN FD alpha'!S33</f>
        <v>24.807770810649043</v>
      </c>
      <c r="T33" s="22">
        <f>('CN FD S'!T33-'CN FD C'!T33*EurCall!T32)/'CN FD alpha'!T33</f>
        <v>24.784241061698935</v>
      </c>
      <c r="U33" s="22">
        <f>('CN FD S'!U33-'CN FD C'!U33*EurCall!U32)/'CN FD alpha'!U33</f>
        <v>24.760698384446403</v>
      </c>
      <c r="V33" s="22">
        <f>('CN FD S'!V33-'CN FD C'!V33*EurCall!V32)/'CN FD alpha'!V33</f>
        <v>24.737142623920402</v>
      </c>
      <c r="W33" s="22">
        <f>('CN FD S'!W33-'CN FD C'!W33*EurCall!W32)/'CN FD alpha'!W33</f>
        <v>24.713573635569258</v>
      </c>
      <c r="X33" s="22">
        <f>('CN FD S'!X33-'CN FD C'!X33*EurCall!X32)/'CN FD alpha'!X33</f>
        <v>24.689991285519287</v>
      </c>
      <c r="Y33" s="22">
        <f>('CN FD S'!Y33-'CN FD C'!Y33*EurCall!Y32)/'CN FD alpha'!Y33</f>
        <v>24.66639545072039</v>
      </c>
      <c r="Z33" s="22">
        <f>('CN FD S'!Z33-'CN FD C'!Z33*EurCall!Z32)/'CN FD alpha'!Z33</f>
        <v>24.642786018972316</v>
      </c>
      <c r="AA33" s="22">
        <f>('CN FD S'!AA33-'CN FD C'!AA33*EurCall!AA32)/'CN FD alpha'!AA33</f>
        <v>24.619162888827887</v>
      </c>
      <c r="AB33" s="22">
        <f>('CN FD S'!AB33-'CN FD C'!AB33*EurCall!AB32)/'CN FD alpha'!AB33</f>
        <v>24.595525969372115</v>
      </c>
      <c r="AC33" s="22">
        <f>('CN FD S'!AC33-'CN FD C'!AC33*EurCall!AC32)/'CN FD alpha'!AC33</f>
        <v>24.571875179879498</v>
      </c>
      <c r="AD33" s="22">
        <f>('CN FD S'!AD33-'CN FD C'!AD33*EurCall!AD32)/'CN FD alpha'!AD33</f>
        <v>24.548210449355199</v>
      </c>
      <c r="AE33" s="22">
        <f>('CN FD S'!AE33-'CN FD C'!AE33*EurCall!AE32)/'CN FD alpha'!AE33</f>
        <v>24.524531715969502</v>
      </c>
      <c r="AF33" s="22">
        <f>('CN FD S'!AF33-'CN FD C'!AF33*EurCall!AF32)/'CN FD alpha'!AF33</f>
        <v>24.5008389263987</v>
      </c>
      <c r="AG33" s="22">
        <f>('CN FD S'!AG33-'CN FD C'!AG33*EurCall!AG32)/'CN FD alpha'!AG33</f>
        <v>24.477132035088964</v>
      </c>
      <c r="AH33" s="22">
        <f>('CN FD S'!AH33-'CN FD C'!AH33*EurCall!AH32)/'CN FD alpha'!AH33</f>
        <v>24.453411003462943</v>
      </c>
      <c r="AI33" s="22">
        <f>('CN FD S'!AI33-'CN FD C'!AI33*EurCall!AI32)/'CN FD alpha'!AI33</f>
        <v>24.429675799091211</v>
      </c>
      <c r="AJ33" s="22">
        <f>('CN FD S'!AJ33-'CN FD C'!AJ33*EurCall!AJ32)/'CN FD alpha'!AJ33</f>
        <v>24.405926394852251</v>
      </c>
      <c r="AK33" s="22">
        <f>('CN FD S'!AK33-'CN FD C'!AK33*EurCall!AK32)/'CN FD alpha'!AK33</f>
        <v>24.382162768105061</v>
      </c>
      <c r="AL33" s="22">
        <f>('CN FD S'!AL33-'CN FD C'!AL33*EurCall!AL32)/'CN FD alpha'!AL33</f>
        <v>24.358384899897565</v>
      </c>
      <c r="AM33" s="22">
        <f>('CN FD S'!AM33-'CN FD C'!AM33*EurCall!AM32)/'CN FD alpha'!AM33</f>
        <v>24.334592774231847</v>
      </c>
      <c r="AN33" s="22">
        <f>('CN FD S'!AN33-'CN FD C'!AN33*EurCall!AN32)/'CN FD alpha'!AN33</f>
        <v>24.310786377403431</v>
      </c>
      <c r="AO33" s="22">
        <f>('CN FD S'!AO33-'CN FD C'!AO33*EurCall!AO32)/'CN FD alpha'!AO33</f>
        <v>24.286965697427309</v>
      </c>
      <c r="AP33" s="22">
        <f>('CN FD S'!AP33-'CN FD C'!AP33*EurCall!AP32)/'CN FD alpha'!AP33</f>
        <v>24.263130723557637</v>
      </c>
      <c r="AQ33" s="22">
        <f>('CN FD S'!AQ33-'CN FD C'!AQ33*EurCall!AQ32)/'CN FD alpha'!AQ33</f>
        <v>24.23928144590224</v>
      </c>
      <c r="AR33" s="22">
        <f>('CN FD S'!AR33-'CN FD C'!AR33*EurCall!AR32)/'CN FD alpha'!AR33</f>
        <v>24.215417855127281</v>
      </c>
      <c r="AS33" s="22">
        <f>('CN FD S'!AS33-'CN FD C'!AS33*EurCall!AS32)/'CN FD alpha'!AS33</f>
        <v>24.191539942242603</v>
      </c>
      <c r="AT33" s="22">
        <f>('CN FD S'!AT33-'CN FD C'!AT33*EurCall!AT32)/'CN FD alpha'!AT33</f>
        <v>24.167647698454832</v>
      </c>
      <c r="AU33" s="22">
        <f>('CN FD S'!AU33-'CN FD C'!AU33*EurCall!AU32)/'CN FD alpha'!AU33</f>
        <v>24.143741115073592</v>
      </c>
      <c r="AV33" s="22">
        <f>('CN FD S'!AV33-'CN FD C'!AV33*EurCall!AV32)/'CN FD alpha'!AV33</f>
        <v>24.119820183456227</v>
      </c>
      <c r="AW33" s="22">
        <f>('CN FD S'!AW33-'CN FD C'!AW33*EurCall!AW32)/'CN FD alpha'!AW33</f>
        <v>24.09588489497817</v>
      </c>
      <c r="AX33" s="22">
        <f>('CN FD S'!AX33-'CN FD C'!AX33*EurCall!AX32)/'CN FD alpha'!AX33</f>
        <v>24.071935241018679</v>
      </c>
      <c r="AY33" s="22">
        <f>('CN FD S'!AY33-'CN FD C'!AY33*EurCall!AY32)/'CN FD alpha'!AY33</f>
        <v>24.047971212954828</v>
      </c>
      <c r="AZ33" s="22">
        <f>('CN FD S'!AZ33-'CN FD C'!AZ33*EurCall!AZ32)/'CN FD alpha'!AZ33</f>
        <v>24.023992802159352</v>
      </c>
      <c r="BA33" s="6">
        <f t="shared" si="1"/>
        <v>24</v>
      </c>
    </row>
    <row r="34" spans="1:53" x14ac:dyDescent="0.2">
      <c r="A34" s="15">
        <f t="shared" si="2"/>
        <v>31</v>
      </c>
      <c r="B34" s="16">
        <f t="shared" si="0"/>
        <v>62</v>
      </c>
      <c r="C34" s="22">
        <f>('CN FD S'!C34-'CN FD C'!C34*EurCall!C33)/'CN FD alpha'!C34</f>
        <v>23.183212813699225</v>
      </c>
      <c r="D34" s="22">
        <f>('CN FD S'!D34-'CN FD C'!D34*EurCall!D33)/'CN FD alpha'!D34</f>
        <v>23.159809491773323</v>
      </c>
      <c r="E34" s="22">
        <f>('CN FD S'!E34-'CN FD C'!E34*EurCall!E33)/'CN FD alpha'!E34</f>
        <v>23.136400005743305</v>
      </c>
      <c r="F34" s="22">
        <f>('CN FD S'!F34-'CN FD C'!F34*EurCall!F33)/'CN FD alpha'!F34</f>
        <v>23.112984049083988</v>
      </c>
      <c r="G34" s="22">
        <f>('CN FD S'!G34-'CN FD C'!G34*EurCall!G33)/'CN FD alpha'!G34</f>
        <v>23.089561307506543</v>
      </c>
      <c r="H34" s="22">
        <f>('CN FD S'!H34-'CN FD C'!H34*EurCall!H33)/'CN FD alpha'!H34</f>
        <v>23.066131459777942</v>
      </c>
      <c r="I34" s="22">
        <f>('CN FD S'!I34-'CN FD C'!I34*EurCall!I33)/'CN FD alpha'!I34</f>
        <v>23.042694178627777</v>
      </c>
      <c r="J34" s="22">
        <f>('CN FD S'!J34-'CN FD C'!J34*EurCall!J33)/'CN FD alpha'!J34</f>
        <v>23.01924913174237</v>
      </c>
      <c r="K34" s="22">
        <f>('CN FD S'!K34-'CN FD C'!K34*EurCall!K33)/'CN FD alpha'!K34</f>
        <v>22.995795982844925</v>
      </c>
      <c r="L34" s="22">
        <f>('CN FD S'!L34-'CN FD C'!L34*EurCall!L33)/'CN FD alpha'!L34</f>
        <v>22.972334392858979</v>
      </c>
      <c r="M34" s="22">
        <f>('CN FD S'!M34-'CN FD C'!M34*EurCall!M33)/'CN FD alpha'!M34</f>
        <v>22.948864021150971</v>
      </c>
      <c r="N34" s="22">
        <f>('CN FD S'!N34-'CN FD C'!N34*EurCall!N33)/'CN FD alpha'!N34</f>
        <v>22.925384526845882</v>
      </c>
      <c r="O34" s="22">
        <f>('CN FD S'!O34-'CN FD C'!O34*EurCall!O33)/'CN FD alpha'!O34</f>
        <v>22.901895570208087</v>
      </c>
      <c r="P34" s="22">
        <f>('CN FD S'!P34-'CN FD C'!P34*EurCall!P33)/'CN FD alpha'!P34</f>
        <v>22.878396814077284</v>
      </c>
      <c r="Q34" s="22">
        <f>('CN FD S'!Q34-'CN FD C'!Q34*EurCall!Q33)/'CN FD alpha'!Q34</f>
        <v>22.85488792534742</v>
      </c>
      <c r="R34" s="22">
        <f>('CN FD S'!R34-'CN FD C'!R34*EurCall!R33)/'CN FD alpha'!R34</f>
        <v>22.831368576473924</v>
      </c>
      <c r="S34" s="22">
        <f>('CN FD S'!S34-'CN FD C'!S34*EurCall!S33)/'CN FD alpha'!S34</f>
        <v>22.807838446992367</v>
      </c>
      <c r="T34" s="22">
        <f>('CN FD S'!T34-'CN FD C'!T34*EurCall!T33)/'CN FD alpha'!T34</f>
        <v>22.784297225029309</v>
      </c>
      <c r="U34" s="22">
        <f>('CN FD S'!U34-'CN FD C'!U34*EurCall!U33)/'CN FD alpha'!U34</f>
        <v>22.760744608783799</v>
      </c>
      <c r="V34" s="22">
        <f>('CN FD S'!V34-'CN FD C'!V34*EurCall!V33)/'CN FD alpha'!V34</f>
        <v>22.737180307955974</v>
      </c>
      <c r="W34" s="22">
        <f>('CN FD S'!W34-'CN FD C'!W34*EurCall!W33)/'CN FD alpha'!W34</f>
        <v>22.713604045097586</v>
      </c>
      <c r="X34" s="22">
        <f>('CN FD S'!X34-'CN FD C'!X34*EurCall!X33)/'CN FD alpha'!X34</f>
        <v>22.69001555685788</v>
      </c>
      <c r="Y34" s="22">
        <f>('CN FD S'!Y34-'CN FD C'!Y34*EurCall!Y33)/'CN FD alpha'!Y34</f>
        <v>22.666414595097766</v>
      </c>
      <c r="Z34" s="22">
        <f>('CN FD S'!Z34-'CN FD C'!Z34*EurCall!Z33)/'CN FD alpha'!Z34</f>
        <v>22.642800927845286</v>
      </c>
      <c r="AA34" s="22">
        <f>('CN FD S'!AA34-'CN FD C'!AA34*EurCall!AA33)/'CN FD alpha'!AA34</f>
        <v>22.619174340066373</v>
      </c>
      <c r="AB34" s="22">
        <f>('CN FD S'!AB34-'CN FD C'!AB34*EurCall!AB33)/'CN FD alpha'!AB34</f>
        <v>22.595534634227178</v>
      </c>
      <c r="AC34" s="22">
        <f>('CN FD S'!AC34-'CN FD C'!AC34*EurCall!AC33)/'CN FD alpha'!AC34</f>
        <v>22.571881630627381</v>
      </c>
      <c r="AD34" s="22">
        <f>('CN FD S'!AD34-'CN FD C'!AD34*EurCall!AD33)/'CN FD alpha'!AD34</f>
        <v>22.548215167488607</v>
      </c>
      <c r="AE34" s="22">
        <f>('CN FD S'!AE34-'CN FD C'!AE34*EurCall!AE33)/'CN FD alpha'!AE34</f>
        <v>22.524535100788107</v>
      </c>
      <c r="AF34" s="22">
        <f>('CN FD S'!AF34-'CN FD C'!AF34*EurCall!AF33)/'CN FD alpha'!AF34</f>
        <v>22.500841303834779</v>
      </c>
      <c r="AG34" s="22">
        <f>('CN FD S'!AG34-'CN FD C'!AG34*EurCall!AG33)/'CN FD alpha'!AG34</f>
        <v>22.477133666593271</v>
      </c>
      <c r="AH34" s="22">
        <f>('CN FD S'!AH34-'CN FD C'!AH34*EurCall!AH33)/'CN FD alpha'!AH34</f>
        <v>22.453412094770826</v>
      </c>
      <c r="AI34" s="22">
        <f>('CN FD S'!AI34-'CN FD C'!AI34*EurCall!AI33)/'CN FD alpha'!AI34</f>
        <v>22.429676508691262</v>
      </c>
      <c r="AJ34" s="22">
        <f>('CN FD S'!AJ34-'CN FD C'!AJ34*EurCall!AJ33)/'CN FD alpha'!AJ34</f>
        <v>22.405926841990073</v>
      </c>
      <c r="AK34" s="22">
        <f>('CN FD S'!AK34-'CN FD C'!AK34*EurCall!AK33)/'CN FD alpha'!AK34</f>
        <v>22.382163040173204</v>
      </c>
      <c r="AL34" s="22">
        <f>('CN FD S'!AL34-'CN FD C'!AL34*EurCall!AL33)/'CN FD alpha'!AL34</f>
        <v>22.358385059089418</v>
      </c>
      <c r="AM34" s="22">
        <f>('CN FD S'!AM34-'CN FD C'!AM34*EurCall!AM33)/'CN FD alpha'!AM34</f>
        <v>22.334592863370915</v>
      </c>
      <c r="AN34" s="22">
        <f>('CN FD S'!AN34-'CN FD C'!AN34*EurCall!AN33)/'CN FD alpha'!AN34</f>
        <v>22.310786424898605</v>
      </c>
      <c r="AO34" s="22">
        <f>('CN FD S'!AO34-'CN FD C'!AO34*EurCall!AO33)/'CN FD alpha'!AO34</f>
        <v>22.286965721346313</v>
      </c>
      <c r="AP34" s="22">
        <f>('CN FD S'!AP34-'CN FD C'!AP34*EurCall!AP33)/'CN FD alpha'!AP34</f>
        <v>22.263130734852073</v>
      </c>
      <c r="AQ34" s="22">
        <f>('CN FD S'!AQ34-'CN FD C'!AQ34*EurCall!AQ33)/'CN FD alpha'!AQ34</f>
        <v>22.239281450854701</v>
      </c>
      <c r="AR34" s="22">
        <f>('CN FD S'!AR34-'CN FD C'!AR34*EurCall!AR33)/'CN FD alpha'!AR34</f>
        <v>22.2154178571203</v>
      </c>
      <c r="AS34" s="22">
        <f>('CN FD S'!AS34-'CN FD C'!AS34*EurCall!AS33)/'CN FD alpha'!AS34</f>
        <v>22.191539942968113</v>
      </c>
      <c r="AT34" s="22">
        <f>('CN FD S'!AT34-'CN FD C'!AT34*EurCall!AT33)/'CN FD alpha'!AT34</f>
        <v>22.167647698689422</v>
      </c>
      <c r="AU34" s="22">
        <f>('CN FD S'!AU34-'CN FD C'!AU34*EurCall!AU33)/'CN FD alpha'!AU34</f>
        <v>22.143741115139406</v>
      </c>
      <c r="AV34" s="22">
        <f>('CN FD S'!AV34-'CN FD C'!AV34*EurCall!AV33)/'CN FD alpha'!AV34</f>
        <v>22.119820183471756</v>
      </c>
      <c r="AW34" s="22">
        <f>('CN FD S'!AW34-'CN FD C'!AW34*EurCall!AW33)/'CN FD alpha'!AW34</f>
        <v>22.095884894981118</v>
      </c>
      <c r="AX34" s="22">
        <f>('CN FD S'!AX34-'CN FD C'!AX34*EurCall!AX33)/'CN FD alpha'!AX34</f>
        <v>22.071935241019098</v>
      </c>
      <c r="AY34" s="22">
        <f>('CN FD S'!AY34-'CN FD C'!AY34*EurCall!AY33)/'CN FD alpha'!AY34</f>
        <v>22.047971212954867</v>
      </c>
      <c r="AZ34" s="22">
        <f>('CN FD S'!AZ34-'CN FD C'!AZ34*EurCall!AZ33)/'CN FD alpha'!AZ34</f>
        <v>22.023992802159359</v>
      </c>
      <c r="BA34" s="6">
        <f t="shared" si="1"/>
        <v>22</v>
      </c>
    </row>
    <row r="35" spans="1:53" x14ac:dyDescent="0.2">
      <c r="A35" s="15">
        <f t="shared" si="2"/>
        <v>30</v>
      </c>
      <c r="B35" s="16">
        <f t="shared" si="0"/>
        <v>60</v>
      </c>
      <c r="C35" s="22">
        <f>('CN FD S'!C35-'CN FD C'!C35*EurCall!C34)/'CN FD alpha'!C35</f>
        <v>21.184439008525928</v>
      </c>
      <c r="D35" s="22">
        <f>('CN FD S'!D35-'CN FD C'!D35*EurCall!D34)/'CN FD alpha'!D35</f>
        <v>21.160933327892511</v>
      </c>
      <c r="E35" s="22">
        <f>('CN FD S'!E35-'CN FD C'!E35*EurCall!E34)/'CN FD alpha'!E35</f>
        <v>21.137426819514289</v>
      </c>
      <c r="F35" s="22">
        <f>('CN FD S'!F35-'CN FD C'!F35*EurCall!F34)/'CN FD alpha'!F35</f>
        <v>21.113919140003919</v>
      </c>
      <c r="G35" s="22">
        <f>('CN FD S'!G35-'CN FD C'!G35*EurCall!G34)/'CN FD alpha'!G35</f>
        <v>21.090409926284334</v>
      </c>
      <c r="H35" s="22">
        <f>('CN FD S'!H35-'CN FD C'!H35*EurCall!H34)/'CN FD alpha'!H35</f>
        <v>21.066898796050683</v>
      </c>
      <c r="I35" s="22">
        <f>('CN FD S'!I35-'CN FD C'!I35*EurCall!I34)/'CN FD alpha'!I35</f>
        <v>21.043385348379424</v>
      </c>
      <c r="J35" s="22">
        <f>('CN FD S'!J35-'CN FD C'!J35*EurCall!J34)/'CN FD alpha'!J35</f>
        <v>21.01986916449513</v>
      </c>
      <c r="K35" s="22">
        <f>('CN FD S'!K35-'CN FD C'!K35*EurCall!K34)/'CN FD alpha'!K35</f>
        <v>20.996349808704963</v>
      </c>
      <c r="L35" s="22">
        <f>('CN FD S'!L35-'CN FD C'!L35*EurCall!L34)/'CN FD alpha'!L35</f>
        <v>20.97282682950993</v>
      </c>
      <c r="M35" s="22">
        <f>('CN FD S'!M35-'CN FD C'!M35*EurCall!M34)/'CN FD alpha'!M35</f>
        <v>20.94929976090059</v>
      </c>
      <c r="N35" s="22">
        <f>('CN FD S'!N35-'CN FD C'!N35*EurCall!N34)/'CN FD alpha'!N35</f>
        <v>20.92576812384339</v>
      </c>
      <c r="O35" s="22">
        <f>('CN FD S'!O35-'CN FD C'!O35*EurCall!O34)/'CN FD alpha'!O35</f>
        <v>20.90223142796145</v>
      </c>
      <c r="P35" s="22">
        <f>('CN FD S'!P35-'CN FD C'!P35*EurCall!P34)/'CN FD alpha'!P35</f>
        <v>20.878689173411168</v>
      </c>
      <c r="Q35" s="22">
        <f>('CN FD S'!Q35-'CN FD C'!Q35*EurCall!Q34)/'CN FD alpha'!Q35</f>
        <v>20.855140852952651</v>
      </c>
      <c r="R35" s="22">
        <f>('CN FD S'!R35-'CN FD C'!R35*EurCall!R34)/'CN FD alpha'!R35</f>
        <v>20.831585954208279</v>
      </c>
      <c r="S35" s="22">
        <f>('CN FD S'!S35-'CN FD C'!S35*EurCall!S34)/'CN FD alpha'!S35</f>
        <v>20.808023962099305</v>
      </c>
      <c r="T35" s="22">
        <f>('CN FD S'!T35-'CN FD C'!T35*EurCall!T34)/'CN FD alpha'!T35</f>
        <v>20.784454361445473</v>
      </c>
      <c r="U35" s="22">
        <f>('CN FD S'!U35-'CN FD C'!U35*EurCall!U34)/'CN FD alpha'!U35</f>
        <v>20.760876639706972</v>
      </c>
      <c r="V35" s="22">
        <f>('CN FD S'!V35-'CN FD C'!V35*EurCall!V34)/'CN FD alpha'!V35</f>
        <v>20.7372902898422</v>
      </c>
      <c r="W35" s="22">
        <f>('CN FD S'!W35-'CN FD C'!W35*EurCall!W34)/'CN FD alpha'!W35</f>
        <v>20.713694813248164</v>
      </c>
      <c r="X35" s="22">
        <f>('CN FD S'!X35-'CN FD C'!X35*EurCall!X34)/'CN FD alpha'!X35</f>
        <v>20.690089722743775</v>
      </c>
      <c r="Y35" s="22">
        <f>('CN FD S'!Y35-'CN FD C'!Y35*EurCall!Y34)/'CN FD alpha'!Y35</f>
        <v>20.666474545549562</v>
      </c>
      <c r="Z35" s="22">
        <f>('CN FD S'!Z35-'CN FD C'!Z35*EurCall!Z34)/'CN FD alpha'!Z35</f>
        <v>20.642848826210713</v>
      </c>
      <c r="AA35" s="22">
        <f>('CN FD S'!AA35-'CN FD C'!AA35*EurCall!AA34)/'CN FD alpha'!AA35</f>
        <v>20.619212129404701</v>
      </c>
      <c r="AB35" s="22">
        <f>('CN FD S'!AB35-'CN FD C'!AB35*EurCall!AB34)/'CN FD alpha'!AB35</f>
        <v>20.595564042569546</v>
      </c>
      <c r="AC35" s="22">
        <f>('CN FD S'!AC35-'CN FD C'!AC35*EurCall!AC34)/'CN FD alpha'!AC35</f>
        <v>20.571904178285561</v>
      </c>
      <c r="AD35" s="22">
        <f>('CN FD S'!AD35-'CN FD C'!AD35*EurCall!AD34)/'CN FD alpha'!AD35</f>
        <v>20.54823217634209</v>
      </c>
      <c r="AE35" s="22">
        <f>('CN FD S'!AE35-'CN FD C'!AE35*EurCall!AE34)/'CN FD alpha'!AE35</f>
        <v>20.524547705421728</v>
      </c>
      <c r="AF35" s="22">
        <f>('CN FD S'!AF35-'CN FD C'!AF35*EurCall!AF34)/'CN FD alpha'!AF35</f>
        <v>20.500850464339148</v>
      </c>
      <c r="AG35" s="22">
        <f>('CN FD S'!AG35-'CN FD C'!AG35*EurCall!AG34)/'CN FD alpha'!AG35</f>
        <v>20.477140182779713</v>
      </c>
      <c r="AH35" s="22">
        <f>('CN FD S'!AH35-'CN FD C'!AH35*EurCall!AH34)/'CN FD alpha'!AH35</f>
        <v>20.453416621495069</v>
      </c>
      <c r="AI35" s="22">
        <f>('CN FD S'!AI35-'CN FD C'!AI35*EurCall!AI34)/'CN FD alpha'!AI35</f>
        <v>20.429679571929519</v>
      </c>
      <c r="AJ35" s="22">
        <f>('CN FD S'!AJ35-'CN FD C'!AJ35*EurCall!AJ34)/'CN FD alpha'!AJ35</f>
        <v>20.405928855271515</v>
      </c>
      <c r="AK35" s="22">
        <f>('CN FD S'!AK35-'CN FD C'!AK35*EurCall!AK34)/'CN FD alpha'!AK35</f>
        <v>20.382164320948789</v>
      </c>
      <c r="AL35" s="22">
        <f>('CN FD S'!AL35-'CN FD C'!AL35*EurCall!AL34)/'CN FD alpha'!AL35</f>
        <v>20.358385844612481</v>
      </c>
      <c r="AM35" s="22">
        <f>('CN FD S'!AM35-'CN FD C'!AM35*EurCall!AM34)/'CN FD alpha'!AM35</f>
        <v>20.33459332568362</v>
      </c>
      <c r="AN35" s="22">
        <f>('CN FD S'!AN35-'CN FD C'!AN35*EurCall!AN34)/'CN FD alpha'!AN35</f>
        <v>20.310786684561691</v>
      </c>
      <c r="AO35" s="22">
        <f>('CN FD S'!AO35-'CN FD C'!AO35*EurCall!AO34)/'CN FD alpha'!AO35</f>
        <v>20.286965859618082</v>
      </c>
      <c r="AP35" s="22">
        <f>('CN FD S'!AP35-'CN FD C'!AP35*EurCall!AP34)/'CN FD alpha'!AP35</f>
        <v>20.263130804112819</v>
      </c>
      <c r="AQ35" s="22">
        <f>('CN FD S'!AQ35-'CN FD C'!AQ35*EurCall!AQ34)/'CN FD alpha'!AQ35</f>
        <v>20.239281483179031</v>
      </c>
      <c r="AR35" s="22">
        <f>('CN FD S'!AR35-'CN FD C'!AR35*EurCall!AR34)/'CN FD alpha'!AR35</f>
        <v>20.215417871013024</v>
      </c>
      <c r="AS35" s="22">
        <f>('CN FD S'!AS35-'CN FD C'!AS35*EurCall!AS34)/'CN FD alpha'!AS35</f>
        <v>20.19153994838765</v>
      </c>
      <c r="AT35" s="22">
        <f>('CN FD S'!AT35-'CN FD C'!AT35*EurCall!AT34)/'CN FD alpha'!AT35</f>
        <v>20.167647700573493</v>
      </c>
      <c r="AU35" s="22">
        <f>('CN FD S'!AU35-'CN FD C'!AU35*EurCall!AU34)/'CN FD alpha'!AU35</f>
        <v>20.143741115709432</v>
      </c>
      <c r="AV35" s="22">
        <f>('CN FD S'!AV35-'CN FD C'!AV35*EurCall!AV34)/'CN FD alpha'!AV35</f>
        <v>20.119820183617154</v>
      </c>
      <c r="AW35" s="22">
        <f>('CN FD S'!AW35-'CN FD C'!AW35*EurCall!AW34)/'CN FD alpha'!AW35</f>
        <v>20.095884895011011</v>
      </c>
      <c r="AX35" s="22">
        <f>('CN FD S'!AX35-'CN FD C'!AX35*EurCall!AX34)/'CN FD alpha'!AX35</f>
        <v>20.071935241023716</v>
      </c>
      <c r="AY35" s="22">
        <f>('CN FD S'!AY35-'CN FD C'!AY35*EurCall!AY34)/'CN FD alpha'!AY35</f>
        <v>20.047971212955343</v>
      </c>
      <c r="AZ35" s="22">
        <f>('CN FD S'!AZ35-'CN FD C'!AZ35*EurCall!AZ34)/'CN FD alpha'!AZ35</f>
        <v>20.02399280215938</v>
      </c>
      <c r="BA35" s="6">
        <f t="shared" si="1"/>
        <v>20</v>
      </c>
    </row>
    <row r="36" spans="1:53" x14ac:dyDescent="0.2">
      <c r="A36" s="15">
        <f t="shared" si="2"/>
        <v>29</v>
      </c>
      <c r="B36" s="16">
        <f t="shared" si="0"/>
        <v>58</v>
      </c>
      <c r="C36" s="22">
        <f>('CN FD S'!C36-'CN FD C'!C36*EurCall!C35)/'CN FD alpha'!C36</f>
        <v>19.187057513494086</v>
      </c>
      <c r="D36" s="22">
        <f>('CN FD S'!D36-'CN FD C'!D36*EurCall!D35)/'CN FD alpha'!D36</f>
        <v>19.163360089108316</v>
      </c>
      <c r="E36" s="22">
        <f>('CN FD S'!E36-'CN FD C'!E36*EurCall!E35)/'CN FD alpha'!E36</f>
        <v>19.139669682123785</v>
      </c>
      <c r="F36" s="22">
        <f>('CN FD S'!F36-'CN FD C'!F36*EurCall!F35)/'CN FD alpha'!F36</f>
        <v>19.115986023494013</v>
      </c>
      <c r="G36" s="22">
        <f>('CN FD S'!G36-'CN FD C'!G36*EurCall!G35)/'CN FD alpha'!G36</f>
        <v>19.092308808945198</v>
      </c>
      <c r="H36" s="22">
        <f>('CN FD S'!H36-'CN FD C'!H36*EurCall!H35)/'CN FD alpha'!H36</f>
        <v>19.068637698215863</v>
      </c>
      <c r="I36" s="22">
        <f>('CN FD S'!I36-'CN FD C'!I36*EurCall!I35)/'CN FD alpha'!I36</f>
        <v>19.044972314446902</v>
      </c>
      <c r="J36" s="22">
        <f>('CN FD S'!J36-'CN FD C'!J36*EurCall!J35)/'CN FD alpha'!J36</f>
        <v>19.021312243747257</v>
      </c>
      <c r="K36" s="22">
        <f>('CN FD S'!K36-'CN FD C'!K36*EurCall!K35)/'CN FD alpha'!K36</f>
        <v>18.997657034962014</v>
      </c>
      <c r="L36" s="22">
        <f>('CN FD S'!L36-'CN FD C'!L36*EurCall!L35)/'CN FD alpha'!L36</f>
        <v>18.974006199671418</v>
      </c>
      <c r="M36" s="22">
        <f>('CN FD S'!M36-'CN FD C'!M36*EurCall!M35)/'CN FD alpha'!M36</f>
        <v>18.950359212450358</v>
      </c>
      <c r="N36" s="22">
        <f>('CN FD S'!N36-'CN FD C'!N36*EurCall!N35)/'CN FD alpha'!N36</f>
        <v>18.926715511419086</v>
      </c>
      <c r="O36" s="22">
        <f>('CN FD S'!O36-'CN FD C'!O36*EurCall!O35)/'CN FD alpha'!O36</f>
        <v>18.903074499116041</v>
      </c>
      <c r="P36" s="22">
        <f>('CN FD S'!P36-'CN FD C'!P36*EurCall!P35)/'CN FD alpha'!P36</f>
        <v>18.879435543723702</v>
      </c>
      <c r="Q36" s="22">
        <f>('CN FD S'!Q36-'CN FD C'!Q36*EurCall!Q35)/'CN FD alpha'!Q36</f>
        <v>18.855797980677234</v>
      </c>
      <c r="R36" s="22">
        <f>('CN FD S'!R36-'CN FD C'!R36*EurCall!R35)/'CN FD alpha'!R36</f>
        <v>18.832161114683867</v>
      </c>
      <c r="S36" s="22">
        <f>('CN FD S'!S36-'CN FD C'!S36*EurCall!S35)/'CN FD alpha'!S36</f>
        <v>18.808524222177748</v>
      </c>
      <c r="T36" s="22">
        <f>('CN FD S'!T36-'CN FD C'!T36*EurCall!T35)/'CN FD alpha'!T36</f>
        <v>18.784886554230606</v>
      </c>
      <c r="U36" s="22">
        <f>('CN FD S'!U36-'CN FD C'!U36*EurCall!U35)/'CN FD alpha'!U36</f>
        <v>18.761247339932574</v>
      </c>
      <c r="V36" s="22">
        <f>('CN FD S'!V36-'CN FD C'!V36*EurCall!V35)/'CN FD alpha'!V36</f>
        <v>18.737605790249646</v>
      </c>
      <c r="W36" s="22">
        <f>('CN FD S'!W36-'CN FD C'!W36*EurCall!W35)/'CN FD alpha'!W36</f>
        <v>18.713961102354634</v>
      </c>
      <c r="X36" s="22">
        <f>('CN FD S'!X36-'CN FD C'!X36*EurCall!X35)/'CN FD alpha'!X36</f>
        <v>18.690312464416571</v>
      </c>
      <c r="Y36" s="22">
        <f>('CN FD S'!Y36-'CN FD C'!Y36*EurCall!Y35)/'CN FD alpha'!Y36</f>
        <v>18.666659060819629</v>
      </c>
      <c r="Z36" s="22">
        <f>('CN FD S'!Z36-'CN FD C'!Z36*EurCall!Z35)/'CN FD alpha'!Z36</f>
        <v>18.643000077766395</v>
      </c>
      <c r="AA36" s="22">
        <f>('CN FD S'!AA36-'CN FD C'!AA36*EurCall!AA35)/'CN FD alpha'!AA36</f>
        <v>18.619334709202239</v>
      </c>
      <c r="AB36" s="22">
        <f>('CN FD S'!AB36-'CN FD C'!AB36*EurCall!AB35)/'CN FD alpha'!AB36</f>
        <v>18.595662162977611</v>
      </c>
      <c r="AC36" s="22">
        <f>('CN FD S'!AC36-'CN FD C'!AC36*EurCall!AC35)/'CN FD alpha'!AC36</f>
        <v>18.571981667144033</v>
      </c>
      <c r="AD36" s="22">
        <f>('CN FD S'!AD36-'CN FD C'!AD36*EurCall!AD35)/'CN FD alpha'!AD36</f>
        <v>18.548292476257959</v>
      </c>
      <c r="AE36" s="22">
        <f>('CN FD S'!AE36-'CN FD C'!AE36*EurCall!AE35)/'CN FD alpha'!AE36</f>
        <v>18.5245938775459</v>
      </c>
      <c r="AF36" s="22">
        <f>('CN FD S'!AF36-'CN FD C'!AF36*EurCall!AF35)/'CN FD alpha'!AF36</f>
        <v>18.500885196765218</v>
      </c>
      <c r="AG36" s="22">
        <f>('CN FD S'!AG36-'CN FD C'!AG36*EurCall!AG35)/'CN FD alpha'!AG36</f>
        <v>18.477165803579968</v>
      </c>
      <c r="AH36" s="22">
        <f>('CN FD S'!AH36-'CN FD C'!AH36*EurCall!AH35)/'CN FD alpha'!AH36</f>
        <v>18.453435116261911</v>
      </c>
      <c r="AI36" s="22">
        <f>('CN FD S'!AI36-'CN FD C'!AI36*EurCall!AI35)/'CN FD alpha'!AI36</f>
        <v>18.429692605525602</v>
      </c>
      <c r="AJ36" s="22">
        <f>('CN FD S'!AJ36-'CN FD C'!AJ36*EurCall!AJ35)/'CN FD alpha'!AJ36</f>
        <v>18.405937797316017</v>
      </c>
      <c r="AK36" s="22">
        <f>('CN FD S'!AK36-'CN FD C'!AK36*EurCall!AK35)/'CN FD alpha'!AK36</f>
        <v>18.382170274389484</v>
      </c>
      <c r="AL36" s="22">
        <f>('CN FD S'!AL36-'CN FD C'!AL36*EurCall!AL35)/'CN FD alpha'!AL36</f>
        <v>18.358389676565903</v>
      </c>
      <c r="AM36" s="22">
        <f>('CN FD S'!AM36-'CN FD C'!AM36*EurCall!AM35)/'CN FD alpha'!AM36</f>
        <v>18.334595699583183</v>
      </c>
      <c r="AN36" s="22">
        <f>('CN FD S'!AN36-'CN FD C'!AN36*EurCall!AN35)/'CN FD alpha'!AN36</f>
        <v>18.310788092553484</v>
      </c>
      <c r="AO36" s="22">
        <f>('CN FD S'!AO36-'CN FD C'!AO36*EurCall!AO35)/'CN FD alpha'!AO36</f>
        <v>18.286966654102368</v>
      </c>
      <c r="AP36" s="22">
        <f>('CN FD S'!AP36-'CN FD C'!AP36*EurCall!AP35)/'CN FD alpha'!AP36</f>
        <v>18.263131227361956</v>
      </c>
      <c r="AQ36" s="22">
        <f>('CN FD S'!AQ36-'CN FD C'!AQ36*EurCall!AQ35)/'CN FD alpha'!AQ36</f>
        <v>18.239281694079231</v>
      </c>
      <c r="AR36" s="22">
        <f>('CN FD S'!AR36-'CN FD C'!AR36*EurCall!AR35)/'CN FD alpha'!AR36</f>
        <v>18.21541796818039</v>
      </c>
      <c r="AS36" s="22">
        <f>('CN FD S'!AS36-'CN FD C'!AS36*EurCall!AS35)/'CN FD alpha'!AS36</f>
        <v>18.191539989187586</v>
      </c>
      <c r="AT36" s="22">
        <f>('CN FD S'!AT36-'CN FD C'!AT36*EurCall!AT35)/'CN FD alpha'!AT36</f>
        <v>18.167647715902667</v>
      </c>
      <c r="AU36" s="22">
        <f>('CN FD S'!AU36-'CN FD C'!AU36*EurCall!AU35)/'CN FD alpha'!AU36</f>
        <v>18.143741120741179</v>
      </c>
      <c r="AV36" s="22">
        <f>('CN FD S'!AV36-'CN FD C'!AV36*EurCall!AV35)/'CN FD alpha'!AV36</f>
        <v>18.1198201850145</v>
      </c>
      <c r="AW36" s="22">
        <f>('CN FD S'!AW36-'CN FD C'!AW36*EurCall!AW35)/'CN FD alpha'!AW36</f>
        <v>18.09588489532474</v>
      </c>
      <c r="AX36" s="22">
        <f>('CN FD S'!AX36-'CN FD C'!AX36*EurCall!AX35)/'CN FD alpha'!AX36</f>
        <v>18.071935241076837</v>
      </c>
      <c r="AY36" s="22">
        <f>('CN FD S'!AY36-'CN FD C'!AY36*EurCall!AY35)/'CN FD alpha'!AY36</f>
        <v>18.047971212961336</v>
      </c>
      <c r="AZ36" s="22">
        <f>('CN FD S'!AZ36-'CN FD C'!AZ36*EurCall!AZ35)/'CN FD alpha'!AZ36</f>
        <v>18.023992802159718</v>
      </c>
      <c r="BA36" s="6">
        <f t="shared" si="1"/>
        <v>18</v>
      </c>
    </row>
    <row r="37" spans="1:53" x14ac:dyDescent="0.2">
      <c r="A37" s="15">
        <f t="shared" si="2"/>
        <v>28</v>
      </c>
      <c r="B37" s="16">
        <f t="shared" si="0"/>
        <v>56</v>
      </c>
      <c r="C37" s="22">
        <f>('CN FD S'!C37-'CN FD C'!C37*EurCall!C36)/'CN FD alpha'!C37</f>
        <v>17.192552460411981</v>
      </c>
      <c r="D37" s="22">
        <f>('CN FD S'!D37-'CN FD C'!D37*EurCall!D36)/'CN FD alpha'!D37</f>
        <v>17.168508445770684</v>
      </c>
      <c r="E37" s="22">
        <f>('CN FD S'!E37-'CN FD C'!E37*EurCall!E36)/'CN FD alpha'!E37</f>
        <v>17.144481753589996</v>
      </c>
      <c r="F37" s="22">
        <f>('CN FD S'!F37-'CN FD C'!F37*EurCall!F36)/'CN FD alpha'!F37</f>
        <v>17.120472414522713</v>
      </c>
      <c r="G37" s="22">
        <f>('CN FD S'!G37-'CN FD C'!G37*EurCall!G36)/'CN FD alpha'!G37</f>
        <v>17.096480411829933</v>
      </c>
      <c r="H37" s="22">
        <f>('CN FD S'!H37-'CN FD C'!H37*EurCall!H36)/'CN FD alpha'!H37</f>
        <v>17.072505678395057</v>
      </c>
      <c r="I37" s="22">
        <f>('CN FD S'!I37-'CN FD C'!I37*EurCall!I36)/'CN FD alpha'!I37</f>
        <v>17.048548093740312</v>
      </c>
      <c r="J37" s="22">
        <f>('CN FD S'!J37-'CN FD C'!J37*EurCall!J36)/'CN FD alpha'!J37</f>
        <v>17.024607481076128</v>
      </c>
      <c r="K37" s="22">
        <f>('CN FD S'!K37-'CN FD C'!K37*EurCall!K36)/'CN FD alpha'!K37</f>
        <v>17.000683604418612</v>
      </c>
      <c r="L37" s="22">
        <f>('CN FD S'!L37-'CN FD C'!L37*EurCall!L36)/'CN FD alpha'!L37</f>
        <v>16.976776165816212</v>
      </c>
      <c r="M37" s="22">
        <f>('CN FD S'!M37-'CN FD C'!M37*EurCall!M36)/'CN FD alpha'!M37</f>
        <v>16.952884802732619</v>
      </c>
      <c r="N37" s="22">
        <f>('CN FD S'!N37-'CN FD C'!N37*EurCall!N36)/'CN FD alpha'!N37</f>
        <v>16.929009085639425</v>
      </c>
      <c r="O37" s="22">
        <f>('CN FD S'!O37-'CN FD C'!O37*EurCall!O36)/'CN FD alpha'!O37</f>
        <v>16.905148515878789</v>
      </c>
      <c r="P37" s="22">
        <f>('CN FD S'!P37-'CN FD C'!P37*EurCall!P36)/'CN FD alpha'!P37</f>
        <v>16.881302523863301</v>
      </c>
      <c r="Q37" s="22">
        <f>('CN FD S'!Q37-'CN FD C'!Q37*EurCall!Q36)/'CN FD alpha'!Q37</f>
        <v>16.857470467687133</v>
      </c>
      <c r="R37" s="22">
        <f>('CN FD S'!R37-'CN FD C'!R37*EurCall!R36)/'CN FD alpha'!R37</f>
        <v>16.833651632229209</v>
      </c>
      <c r="S37" s="22">
        <f>('CN FD S'!S37-'CN FD C'!S37*EurCall!S36)/'CN FD alpha'!S37</f>
        <v>16.809845228835336</v>
      </c>
      <c r="T37" s="22">
        <f>('CN FD S'!T37-'CN FD C'!T37*EurCall!T36)/'CN FD alpha'!T37</f>
        <v>16.78605039567142</v>
      </c>
      <c r="U37" s="22">
        <f>('CN FD S'!U37-'CN FD C'!U37*EurCall!U36)/'CN FD alpha'!U37</f>
        <v>16.762266198843879</v>
      </c>
      <c r="V37" s="22">
        <f>('CN FD S'!V37-'CN FD C'!V37*EurCall!V36)/'CN FD alpha'!V37</f>
        <v>16.738491634385053</v>
      </c>
      <c r="W37" s="22">
        <f>('CN FD S'!W37-'CN FD C'!W37*EurCall!W36)/'CN FD alpha'!W37</f>
        <v>16.714725631201055</v>
      </c>
      <c r="X37" s="22">
        <f>('CN FD S'!X37-'CN FD C'!X37*EurCall!X36)/'CN FD alpha'!X37</f>
        <v>16.690967055075113</v>
      </c>
      <c r="Y37" s="22">
        <f>('CN FD S'!Y37-'CN FD C'!Y37*EurCall!Y36)/'CN FD alpha'!Y37</f>
        <v>16.667214713811362</v>
      </c>
      <c r="Z37" s="22">
        <f>('CN FD S'!Z37-'CN FD C'!Z37*EurCall!Z36)/'CN FD alpha'!Z37</f>
        <v>16.643467363590322</v>
      </c>
      <c r="AA37" s="22">
        <f>('CN FD S'!AA37-'CN FD C'!AA37*EurCall!AA36)/'CN FD alpha'!AA37</f>
        <v>16.619723716587593</v>
      </c>
      <c r="AB37" s="22">
        <f>('CN FD S'!AB37-'CN FD C'!AB37*EurCall!AB36)/'CN FD alpha'!AB37</f>
        <v>16.595982449880225</v>
      </c>
      <c r="AC37" s="22">
        <f>('CN FD S'!AC37-'CN FD C'!AC37*EurCall!AC36)/'CN FD alpha'!AC37</f>
        <v>16.572242215630013</v>
      </c>
      <c r="AD37" s="22">
        <f>('CN FD S'!AD37-'CN FD C'!AD37*EurCall!AD36)/'CN FD alpha'!AD37</f>
        <v>16.548501652489019</v>
      </c>
      <c r="AE37" s="22">
        <f>('CN FD S'!AE37-'CN FD C'!AE37*EurCall!AE36)/'CN FD alpha'!AE37</f>
        <v>16.524759398119127</v>
      </c>
      <c r="AF37" s="22">
        <f>('CN FD S'!AF37-'CN FD C'!AF37*EurCall!AF36)/'CN FD alpha'!AF37</f>
        <v>16.501014102655279</v>
      </c>
      <c r="AG37" s="22">
        <f>('CN FD S'!AG37-'CN FD C'!AG37*EurCall!AG36)/'CN FD alpha'!AG37</f>
        <v>16.477264442871359</v>
      </c>
      <c r="AH37" s="22">
        <f>('CN FD S'!AH37-'CN FD C'!AH37*EurCall!AH36)/'CN FD alpha'!AH37</f>
        <v>16.453509136731256</v>
      </c>
      <c r="AI37" s="22">
        <f>('CN FD S'!AI37-'CN FD C'!AI37*EurCall!AI36)/'CN FD alpha'!AI37</f>
        <v>16.429746957928334</v>
      </c>
      <c r="AJ37" s="22">
        <f>('CN FD S'!AJ37-'CN FD C'!AJ37*EurCall!AJ36)/'CN FD alpha'!AJ37</f>
        <v>16.405976749939647</v>
      </c>
      <c r="AK37" s="22">
        <f>('CN FD S'!AK37-'CN FD C'!AK37*EurCall!AK36)/'CN FD alpha'!AK37</f>
        <v>16.382197439053801</v>
      </c>
      <c r="AL37" s="22">
        <f>('CN FD S'!AL37-'CN FD C'!AL37*EurCall!AL36)/'CN FD alpha'!AL37</f>
        <v>16.358408045782255</v>
      </c>
      <c r="AM37" s="22">
        <f>('CN FD S'!AM37-'CN FD C'!AM37*EurCall!AM36)/'CN FD alpha'!AM37</f>
        <v>16.334607694044102</v>
      </c>
      <c r="AN37" s="22">
        <f>('CN FD S'!AN37-'CN FD C'!AN37*EurCall!AN36)/'CN FD alpha'!AN37</f>
        <v>16.310795617536183</v>
      </c>
      <c r="AO37" s="22">
        <f>('CN FD S'!AO37-'CN FD C'!AO37*EurCall!AO36)/'CN FD alpha'!AO37</f>
        <v>16.286971162776322</v>
      </c>
      <c r="AP37" s="22">
        <f>('CN FD S'!AP37-'CN FD C'!AP37*EurCall!AP36)/'CN FD alpha'!AP37</f>
        <v>16.263133788448236</v>
      </c>
      <c r="AQ37" s="22">
        <f>('CN FD S'!AQ37-'CN FD C'!AQ37*EurCall!AQ36)/'CN FD alpha'!AQ37</f>
        <v>16.239283060888472</v>
      </c>
      <c r="AR37" s="22">
        <f>('CN FD S'!AR37-'CN FD C'!AR37*EurCall!AR36)/'CN FD alpha'!AR37</f>
        <v>16.215418645836298</v>
      </c>
      <c r="AS37" s="22">
        <f>('CN FD S'!AS37-'CN FD C'!AS37*EurCall!AS36)/'CN FD alpha'!AS37</f>
        <v>16.191540296901206</v>
      </c>
      <c r="AT37" s="22">
        <f>('CN FD S'!AT37-'CN FD C'!AT37*EurCall!AT36)/'CN FD alpha'!AT37</f>
        <v>16.167647841556615</v>
      </c>
      <c r="AU37" s="22">
        <f>('CN FD S'!AU37-'CN FD C'!AU37*EurCall!AU36)/'CN FD alpha'!AU37</f>
        <v>16.143741165788281</v>
      </c>
      <c r="AV37" s="22">
        <f>('CN FD S'!AV37-'CN FD C'!AV37*EurCall!AV36)/'CN FD alpha'!AV37</f>
        <v>16.119820198739294</v>
      </c>
      <c r="AW37" s="22">
        <f>('CN FD S'!AW37-'CN FD C'!AW37*EurCall!AW36)/'CN FD alpha'!AW37</f>
        <v>16.095884898718566</v>
      </c>
      <c r="AX37" s="22">
        <f>('CN FD S'!AX37-'CN FD C'!AX37*EurCall!AX36)/'CN FD alpha'!AX37</f>
        <v>16.071935241711554</v>
      </c>
      <c r="AY37" s="22">
        <f>('CN FD S'!AY37-'CN FD C'!AY37*EurCall!AY36)/'CN FD alpha'!AY37</f>
        <v>16.047971213040622</v>
      </c>
      <c r="AZ37" s="22">
        <f>('CN FD S'!AZ37-'CN FD C'!AZ37*EurCall!AZ36)/'CN FD alpha'!AZ37</f>
        <v>16.023992802164646</v>
      </c>
      <c r="BA37" s="6">
        <f t="shared" si="1"/>
        <v>16</v>
      </c>
    </row>
    <row r="38" spans="1:53" x14ac:dyDescent="0.2">
      <c r="A38" s="15">
        <f t="shared" si="2"/>
        <v>27</v>
      </c>
      <c r="B38" s="16">
        <f t="shared" si="0"/>
        <v>54</v>
      </c>
      <c r="C38" s="22">
        <f>('CN FD S'!C38-'CN FD C'!C38*EurCall!C37)/'CN FD alpha'!C38</f>
        <v>15.203845985868867</v>
      </c>
      <c r="D38" s="22">
        <f>('CN FD S'!D38-'CN FD C'!D38*EurCall!D37)/'CN FD alpha'!D38</f>
        <v>15.179202383775833</v>
      </c>
      <c r="E38" s="22">
        <f>('CN FD S'!E38-'CN FD C'!E38*EurCall!E37)/'CN FD alpha'!E38</f>
        <v>15.15458728464033</v>
      </c>
      <c r="F38" s="22">
        <f>('CN FD S'!F38-'CN FD C'!F38*EurCall!F37)/'CN FD alpha'!F38</f>
        <v>15.130001362175864</v>
      </c>
      <c r="G38" s="22">
        <f>('CN FD S'!G38-'CN FD C'!G38*EurCall!G37)/'CN FD alpha'!G38</f>
        <v>15.105445249054604</v>
      </c>
      <c r="H38" s="22">
        <f>('CN FD S'!H38-'CN FD C'!H38*EurCall!H37)/'CN FD alpha'!H38</f>
        <v>15.080919531507696</v>
      </c>
      <c r="I38" s="22">
        <f>('CN FD S'!I38-'CN FD C'!I38*EurCall!I37)/'CN FD alpha'!I38</f>
        <v>15.056424743576752</v>
      </c>
      <c r="J38" s="22">
        <f>('CN FD S'!J38-'CN FD C'!J38*EurCall!J37)/'CN FD alpha'!J38</f>
        <v>15.031961361019066</v>
      </c>
      <c r="K38" s="22">
        <f>('CN FD S'!K38-'CN FD C'!K38*EurCall!K37)/'CN FD alpha'!K38</f>
        <v>15.007529794875214</v>
      </c>
      <c r="L38" s="22">
        <f>('CN FD S'!L38-'CN FD C'!L38*EurCall!L37)/'CN FD alpha'!L38</f>
        <v>14.983130384714681</v>
      </c>
      <c r="M38" s="22">
        <f>('CN FD S'!M38-'CN FD C'!M38*EurCall!M37)/'CN FD alpha'!M38</f>
        <v>14.95876339158391</v>
      </c>
      <c r="N38" s="22">
        <f>('CN FD S'!N38-'CN FD C'!N38*EurCall!N37)/'CN FD alpha'!N38</f>
        <v>14.934428990691401</v>
      </c>
      <c r="O38" s="22">
        <f>('CN FD S'!O38-'CN FD C'!O38*EurCall!O37)/'CN FD alpha'!O38</f>
        <v>14.910127263876653</v>
      </c>
      <c r="P38" s="22">
        <f>('CN FD S'!P38-'CN FD C'!P38*EurCall!P37)/'CN FD alpha'!P38</f>
        <v>14.885858191923994</v>
      </c>
      <c r="Q38" s="22">
        <f>('CN FD S'!Q38-'CN FD C'!Q38*EurCall!Q37)/'CN FD alpha'!Q38</f>
        <v>14.861621646798696</v>
      </c>
      <c r="R38" s="22">
        <f>('CN FD S'!R38-'CN FD C'!R38*EurCall!R37)/'CN FD alpha'!R38</f>
        <v>14.837417383901506</v>
      </c>
      <c r="S38" s="22">
        <f>('CN FD S'!S38-'CN FD C'!S38*EurCall!S37)/'CN FD alpha'!S38</f>
        <v>14.813245034458991</v>
      </c>
      <c r="T38" s="22">
        <f>('CN FD S'!T38-'CN FD C'!T38*EurCall!T37)/'CN FD alpha'!T38</f>
        <v>14.789104098190537</v>
      </c>
      <c r="U38" s="22">
        <f>('CN FD S'!U38-'CN FD C'!U38*EurCall!U37)/'CN FD alpha'!U38</f>
        <v>14.764993936418877</v>
      </c>
      <c r="V38" s="22">
        <f>('CN FD S'!V38-'CN FD C'!V38*EurCall!V37)/'CN FD alpha'!V38</f>
        <v>14.740913765818837</v>
      </c>
      <c r="W38" s="22">
        <f>('CN FD S'!W38-'CN FD C'!W38*EurCall!W37)/'CN FD alpha'!W38</f>
        <v>14.716862653028384</v>
      </c>
      <c r="X38" s="22">
        <f>('CN FD S'!X38-'CN FD C'!X38*EurCall!X37)/'CN FD alpha'!X38</f>
        <v>14.692839510376313</v>
      </c>
      <c r="Y38" s="22">
        <f>('CN FD S'!Y38-'CN FD C'!Y38*EurCall!Y37)/'CN FD alpha'!Y38</f>
        <v>14.668843093010603</v>
      </c>
      <c r="Z38" s="22">
        <f>('CN FD S'!Z38-'CN FD C'!Z38*EurCall!Z37)/'CN FD alpha'!Z38</f>
        <v>14.644871997739269</v>
      </c>
      <c r="AA38" s="22">
        <f>('CN FD S'!AA38-'CN FD C'!AA38*EurCall!AA37)/'CN FD alpha'!AA38</f>
        <v>14.620924663919348</v>
      </c>
      <c r="AB38" s="22">
        <f>('CN FD S'!AB38-'CN FD C'!AB38*EurCall!AB37)/'CN FD alpha'!AB38</f>
        <v>14.596999376746552</v>
      </c>
      <c r="AC38" s="22">
        <f>('CN FD S'!AC38-'CN FD C'!AC38*EurCall!AC37)/'CN FD alpha'!AC38</f>
        <v>14.573094273304962</v>
      </c>
      <c r="AD38" s="22">
        <f>('CN FD S'!AD38-'CN FD C'!AD38*EurCall!AD37)/'CN FD alpha'!AD38</f>
        <v>14.549207351728635</v>
      </c>
      <c r="AE38" s="22">
        <f>('CN FD S'!AE38-'CN FD C'!AE38*EurCall!AE37)/'CN FD alpha'!AE38</f>
        <v>14.525336483800119</v>
      </c>
      <c r="AF38" s="22">
        <f>('CN FD S'!AF38-'CN FD C'!AF38*EurCall!AF37)/'CN FD alpha'!AF38</f>
        <v>14.501479431259312</v>
      </c>
      <c r="AG38" s="22">
        <f>('CN FD S'!AG38-'CN FD C'!AG38*EurCall!AG37)/'CN FD alpha'!AG38</f>
        <v>14.477633866013509</v>
      </c>
      <c r="AH38" s="22">
        <f>('CN FD S'!AH38-'CN FD C'!AH38*EurCall!AH37)/'CN FD alpha'!AH38</f>
        <v>14.453797394319807</v>
      </c>
      <c r="AI38" s="22">
        <f>('CN FD S'!AI38-'CN FD C'!AI38*EurCall!AI37)/'CN FD alpha'!AI38</f>
        <v>14.429967584848558</v>
      </c>
      <c r="AJ38" s="22">
        <f>('CN FD S'!AJ38-'CN FD C'!AJ38*EurCall!AJ37)/'CN FD alpha'!AJ38</f>
        <v>14.406142000327039</v>
      </c>
      <c r="AK38" s="22">
        <f>('CN FD S'!AK38-'CN FD C'!AK38*EurCall!AK37)/'CN FD alpha'!AK38</f>
        <v>14.382318232204556</v>
      </c>
      <c r="AL38" s="22">
        <f>('CN FD S'!AL38-'CN FD C'!AL38*EurCall!AL37)/'CN FD alpha'!AL38</f>
        <v>14.358493937477066</v>
      </c>
      <c r="AM38" s="22">
        <f>('CN FD S'!AM38-'CN FD C'!AM38*EurCall!AM37)/'CN FD alpha'!AM38</f>
        <v>14.33466687647118</v>
      </c>
      <c r="AN38" s="22">
        <f>('CN FD S'!AN38-'CN FD C'!AN38*EurCall!AN37)/'CN FD alpha'!AN38</f>
        <v>14.310834950034137</v>
      </c>
      <c r="AO38" s="22">
        <f>('CN FD S'!AO38-'CN FD C'!AO38*EurCall!AO37)/'CN FD alpha'!AO38</f>
        <v>14.286996234240574</v>
      </c>
      <c r="AP38" s="22">
        <f>('CN FD S'!AP38-'CN FD C'!AP38*EurCall!AP37)/'CN FD alpha'!AP38</f>
        <v>14.263149010456367</v>
      </c>
      <c r="AQ38" s="22">
        <f>('CN FD S'!AQ38-'CN FD C'!AQ38*EurCall!AQ37)/'CN FD alpha'!AQ38</f>
        <v>14.239291788458969</v>
      </c>
      <c r="AR38" s="22">
        <f>('CN FD S'!AR38-'CN FD C'!AR38*EurCall!AR37)/'CN FD alpha'!AR38</f>
        <v>14.215423320381873</v>
      </c>
      <c r="AS38" s="22">
        <f>('CN FD S'!AS38-'CN FD C'!AS38*EurCall!AS37)/'CN FD alpha'!AS38</f>
        <v>14.191542603614886</v>
      </c>
      <c r="AT38" s="22">
        <f>('CN FD S'!AT38-'CN FD C'!AT38*EurCall!AT37)/'CN FD alpha'!AT38</f>
        <v>14.167648871531515</v>
      </c>
      <c r="AU38" s="22">
        <f>('CN FD S'!AU38-'CN FD C'!AU38*EurCall!AU37)/'CN FD alpha'!AU38</f>
        <v>14.143741572072713</v>
      </c>
      <c r="AV38" s="22">
        <f>('CN FD S'!AV38-'CN FD C'!AV38*EurCall!AV37)/'CN FD alpha'!AV38</f>
        <v>14.119820335755504</v>
      </c>
      <c r="AW38" s="22">
        <f>('CN FD S'!AW38-'CN FD C'!AW38*EurCall!AW37)/'CN FD alpha'!AW38</f>
        <v>14.095884936418864</v>
      </c>
      <c r="AX38" s="22">
        <f>('CN FD S'!AX38-'CN FD C'!AX38*EurCall!AX37)/'CN FD alpha'!AX38</f>
        <v>14.071935249589421</v>
      </c>
      <c r="AY38" s="22">
        <f>('CN FD S'!AY38-'CN FD C'!AY38*EurCall!AY37)/'CN FD alpha'!AY38</f>
        <v>14.047971214142969</v>
      </c>
      <c r="AZ38" s="22">
        <f>('CN FD S'!AZ38-'CN FD C'!AZ38*EurCall!AZ37)/'CN FD alpha'!AZ38</f>
        <v>14.023992802241469</v>
      </c>
      <c r="BA38" s="6">
        <f t="shared" si="1"/>
        <v>14</v>
      </c>
    </row>
    <row r="39" spans="1:53" x14ac:dyDescent="0.2">
      <c r="A39" s="15">
        <f t="shared" si="2"/>
        <v>26</v>
      </c>
      <c r="B39" s="16">
        <f t="shared" si="0"/>
        <v>52</v>
      </c>
      <c r="C39" s="22">
        <f>('CN FD S'!C39-'CN FD C'!C39*EurCall!C38)/'CN FD alpha'!C39</f>
        <v>13.226489860227352</v>
      </c>
      <c r="D39" s="22">
        <f>('CN FD S'!D39-'CN FD C'!D39*EurCall!D38)/'CN FD alpha'!D39</f>
        <v>13.200864274374929</v>
      </c>
      <c r="E39" s="22">
        <f>('CN FD S'!E39-'CN FD C'!E39*EurCall!E38)/'CN FD alpha'!E39</f>
        <v>13.175274779369424</v>
      </c>
      <c r="F39" s="22">
        <f>('CN FD S'!F39-'CN FD C'!F39*EurCall!F38)/'CN FD alpha'!F39</f>
        <v>13.149723049650706</v>
      </c>
      <c r="G39" s="22">
        <f>('CN FD S'!G39-'CN FD C'!G39*EurCall!G38)/'CN FD alpha'!G39</f>
        <v>13.124210763482159</v>
      </c>
      <c r="H39" s="22">
        <f>('CN FD S'!H39-'CN FD C'!H39*EurCall!H38)/'CN FD alpha'!H39</f>
        <v>13.098739597363798</v>
      </c>
      <c r="I39" s="22">
        <f>('CN FD S'!I39-'CN FD C'!I39*EurCall!I38)/'CN FD alpha'!I39</f>
        <v>13.073311219701772</v>
      </c>
      <c r="J39" s="22">
        <f>('CN FD S'!J39-'CN FD C'!J39*EurCall!J38)/'CN FD alpha'!J39</f>
        <v>13.047927283667994</v>
      </c>
      <c r="K39" s="22">
        <f>('CN FD S'!K39-'CN FD C'!K39*EurCall!K38)/'CN FD alpha'!K39</f>
        <v>13.022589419181477</v>
      </c>
      <c r="L39" s="22">
        <f>('CN FD S'!L39-'CN FD C'!L39*EurCall!L38)/'CN FD alpha'!L39</f>
        <v>12.997299223941905</v>
      </c>
      <c r="M39" s="22">
        <f>('CN FD S'!M39-'CN FD C'!M39*EurCall!M38)/'CN FD alpha'!M39</f>
        <v>12.972058253446004</v>
      </c>
      <c r="N39" s="22">
        <f>('CN FD S'!N39-'CN FD C'!N39*EurCall!N38)/'CN FD alpha'!N39</f>
        <v>12.946868009919296</v>
      </c>
      <c r="O39" s="22">
        <f>('CN FD S'!O39-'CN FD C'!O39*EurCall!O38)/'CN FD alpha'!O39</f>
        <v>12.921729930099776</v>
      </c>
      <c r="P39" s="22">
        <f>('CN FD S'!P39-'CN FD C'!P39*EurCall!P38)/'CN FD alpha'!P39</f>
        <v>12.896645371817096</v>
      </c>
      <c r="Q39" s="22">
        <f>('CN FD S'!Q39-'CN FD C'!Q39*EurCall!Q38)/'CN FD alpha'!Q39</f>
        <v>12.871615599321263</v>
      </c>
      <c r="R39" s="22">
        <f>('CN FD S'!R39-'CN FD C'!R39*EurCall!R38)/'CN FD alpha'!R39</f>
        <v>12.846641767329759</v>
      </c>
      <c r="S39" s="22">
        <f>('CN FD S'!S39-'CN FD C'!S39*EurCall!S38)/'CN FD alpha'!S39</f>
        <v>12.821724903782318</v>
      </c>
      <c r="T39" s="22">
        <f>('CN FD S'!T39-'CN FD C'!T39*EurCall!T38)/'CN FD alpha'!T39</f>
        <v>12.796865891319422</v>
      </c>
      <c r="U39" s="22">
        <f>('CN FD S'!U39-'CN FD C'!U39*EurCall!U38)/'CN FD alpha'!U39</f>
        <v>12.772065447535159</v>
      </c>
      <c r="V39" s="22">
        <f>('CN FD S'!V39-'CN FD C'!V39*EurCall!V38)/'CN FD alpha'!V39</f>
        <v>12.747324104098844</v>
      </c>
      <c r="W39" s="22">
        <f>('CN FD S'!W39-'CN FD C'!W39*EurCall!W38)/'CN FD alpha'!W39</f>
        <v>12.722642184894337</v>
      </c>
      <c r="X39" s="22">
        <f>('CN FD S'!X39-'CN FD C'!X39*EurCall!X38)/'CN FD alpha'!X39</f>
        <v>12.698019783392443</v>
      </c>
      <c r="Y39" s="22">
        <f>('CN FD S'!Y39-'CN FD C'!Y39*EurCall!Y38)/'CN FD alpha'!Y39</f>
        <v>12.673456739551984</v>
      </c>
      <c r="Z39" s="22">
        <f>('CN FD S'!Z39-'CN FD C'!Z39*EurCall!Z38)/'CN FD alpha'!Z39</f>
        <v>12.64895261664013</v>
      </c>
      <c r="AA39" s="22">
        <f>('CN FD S'!AA39-'CN FD C'!AA39*EurCall!AA38)/'CN FD alpha'!AA39</f>
        <v>12.624506678473159</v>
      </c>
      <c r="AB39" s="22">
        <f>('CN FD S'!AB39-'CN FD C'!AB39*EurCall!AB38)/'CN FD alpha'!AB39</f>
        <v>12.600117867705279</v>
      </c>
      <c r="AC39" s="22">
        <f>('CN FD S'!AC39-'CN FD C'!AC39*EurCall!AC38)/'CN FD alpha'!AC39</f>
        <v>12.575784785934554</v>
      </c>
      <c r="AD39" s="22">
        <f>('CN FD S'!AD39-'CN FD C'!AD39*EurCall!AD38)/'CN FD alpha'!AD39</f>
        <v>12.551505676548732</v>
      </c>
      <c r="AE39" s="22">
        <f>('CN FD S'!AE39-'CN FD C'!AE39*EurCall!AE38)/'CN FD alpha'!AE39</f>
        <v>12.527278411395605</v>
      </c>
      <c r="AF39" s="22">
        <f>('CN FD S'!AF39-'CN FD C'!AF39*EurCall!AF38)/'CN FD alpha'!AF39</f>
        <v>12.503100482524459</v>
      </c>
      <c r="AG39" s="22">
        <f>('CN FD S'!AG39-'CN FD C'!AG39*EurCall!AG38)/'CN FD alpha'!AG39</f>
        <v>12.478969000396161</v>
      </c>
      <c r="AH39" s="22">
        <f>('CN FD S'!AH39-'CN FD C'!AH39*EurCall!AH38)/'CN FD alpha'!AH39</f>
        <v>12.454880700082779</v>
      </c>
      <c r="AI39" s="22">
        <f>('CN FD S'!AI39-'CN FD C'!AI39*EurCall!AI38)/'CN FD alpha'!AI39</f>
        <v>12.430831957051399</v>
      </c>
      <c r="AJ39" s="22">
        <f>('CN FD S'!AJ39-'CN FD C'!AJ39*EurCall!AJ38)/'CN FD alpha'!AJ39</f>
        <v>12.406818814121165</v>
      </c>
      <c r="AK39" s="22">
        <f>('CN FD S'!AK39-'CN FD C'!AK39*EurCall!AK38)/'CN FD alpha'!AK39</f>
        <v>12.382837021061123</v>
      </c>
      <c r="AL39" s="22">
        <f>('CN FD S'!AL39-'CN FD C'!AL39*EurCall!AL38)/'CN FD alpha'!AL39</f>
        <v>12.358882088014205</v>
      </c>
      <c r="AM39" s="22">
        <f>('CN FD S'!AM39-'CN FD C'!AM39*EurCall!AM38)/'CN FD alpha'!AM39</f>
        <v>12.334949353439468</v>
      </c>
      <c r="AN39" s="22">
        <f>('CN FD S'!AN39-'CN FD C'!AN39*EurCall!AN38)/'CN FD alpha'!AN39</f>
        <v>12.311034066507743</v>
      </c>
      <c r="AO39" s="22">
        <f>('CN FD S'!AO39-'CN FD C'!AO39*EurCall!AO38)/'CN FD alpha'!AO39</f>
        <v>12.287131482817536</v>
      </c>
      <c r="AP39" s="22">
        <f>('CN FD S'!AP39-'CN FD C'!AP39*EurCall!AP38)/'CN FD alpha'!AP39</f>
        <v>12.263236970889016</v>
      </c>
      <c r="AQ39" s="22">
        <f>('CN FD S'!AQ39-'CN FD C'!AQ39*EurCall!AQ38)/'CN FD alpha'!AQ39</f>
        <v>12.23934612515257</v>
      </c>
      <c r="AR39" s="22">
        <f>('CN FD S'!AR39-'CN FD C'!AR39*EurCall!AR38)/'CN FD alpha'!AR39</f>
        <v>12.215454879150526</v>
      </c>
      <c r="AS39" s="22">
        <f>('CN FD S'!AS39-'CN FD C'!AS39*EurCall!AS38)/'CN FD alpha'!AS39</f>
        <v>12.191559610599075</v>
      </c>
      <c r="AT39" s="22">
        <f>('CN FD S'!AT39-'CN FD C'!AT39*EurCall!AT38)/'CN FD alpha'!AT39</f>
        <v>12.167657228150791</v>
      </c>
      <c r="AU39" s="22">
        <f>('CN FD S'!AU39-'CN FD C'!AU39*EurCall!AU38)/'CN FD alpha'!AU39</f>
        <v>12.143745228700173</v>
      </c>
      <c r="AV39" s="22">
        <f>('CN FD S'!AV39-'CN FD C'!AV39*EurCall!AV38)/'CN FD alpha'!AV39</f>
        <v>12.119821714662377</v>
      </c>
      <c r="AW39" s="22">
        <f>('CN FD S'!AW39-'CN FD C'!AW39*EurCall!AW38)/'CN FD alpha'!AW39</f>
        <v>12.095885363797032</v>
      </c>
      <c r="AX39" s="22">
        <f>('CN FD S'!AX39-'CN FD C'!AX39*EurCall!AX38)/'CN FD alpha'!AX39</f>
        <v>12.071935350787651</v>
      </c>
      <c r="AY39" s="22">
        <f>('CN FD S'!AY39-'CN FD C'!AY39*EurCall!AY38)/'CN FD alpha'!AY39</f>
        <v>12.047971230251886</v>
      </c>
      <c r="AZ39" s="22">
        <f>('CN FD S'!AZ39-'CN FD C'!AZ39*EurCall!AZ38)/'CN FD alpha'!AZ39</f>
        <v>12.023992803520342</v>
      </c>
      <c r="BA39" s="6">
        <f t="shared" si="1"/>
        <v>12</v>
      </c>
    </row>
    <row r="40" spans="1:53" x14ac:dyDescent="0.2">
      <c r="A40" s="15">
        <f t="shared" si="2"/>
        <v>25</v>
      </c>
      <c r="B40" s="16">
        <f t="shared" si="0"/>
        <v>50</v>
      </c>
      <c r="C40" s="22">
        <f>('CN FD S'!C40-'CN FD C'!C40*EurCall!C39)/'CN FD alpha'!C40</f>
        <v>11.270580766194449</v>
      </c>
      <c r="D40" s="22">
        <f>('CN FD S'!D40-'CN FD C'!D40*EurCall!D39)/'CN FD alpha'!D40</f>
        <v>11.243455539322552</v>
      </c>
      <c r="E40" s="22">
        <f>('CN FD S'!E40-'CN FD C'!E40*EurCall!E39)/'CN FD alpha'!E40</f>
        <v>11.216361972390301</v>
      </c>
      <c r="F40" s="22">
        <f>('CN FD S'!F40-'CN FD C'!F40*EurCall!F39)/'CN FD alpha'!F40</f>
        <v>11.189302820444667</v>
      </c>
      <c r="G40" s="22">
        <f>('CN FD S'!G40-'CN FD C'!G40*EurCall!G39)/'CN FD alpha'!G40</f>
        <v>11.162280933795058</v>
      </c>
      <c r="H40" s="22">
        <f>('CN FD S'!H40-'CN FD C'!H40*EurCall!H39)/'CN FD alpha'!H40</f>
        <v>11.135299257771415</v>
      </c>
      <c r="I40" s="22">
        <f>('CN FD S'!I40-'CN FD C'!I40*EurCall!I39)/'CN FD alpha'!I40</f>
        <v>11.108360831802727</v>
      </c>
      <c r="J40" s="22">
        <f>('CN FD S'!J40-'CN FD C'!J40*EurCall!J39)/'CN FD alpha'!J40</f>
        <v>11.081468787691495</v>
      </c>
      <c r="K40" s="22">
        <f>('CN FD S'!K40-'CN FD C'!K40*EurCall!K39)/'CN FD alpha'!K40</f>
        <v>11.054626346942365</v>
      </c>
      <c r="L40" s="22">
        <f>('CN FD S'!L40-'CN FD C'!L40*EurCall!L39)/'CN FD alpha'!L40</f>
        <v>11.027836816984044</v>
      </c>
      <c r="M40" s="22">
        <f>('CN FD S'!M40-'CN FD C'!M40*EurCall!M39)/'CN FD alpha'!M40</f>
        <v>11.001103586102479</v>
      </c>
      <c r="N40" s="22">
        <f>('CN FD S'!N40-'CN FD C'!N40*EurCall!N39)/'CN FD alpha'!N40</f>
        <v>10.974430116880599</v>
      </c>
      <c r="O40" s="22">
        <f>('CN FD S'!O40-'CN FD C'!O40*EurCall!O39)/'CN FD alpha'!O40</f>
        <v>10.947819937915149</v>
      </c>
      <c r="P40" s="22">
        <f>('CN FD S'!P40-'CN FD C'!P40*EurCall!P39)/'CN FD alpha'!P40</f>
        <v>10.9212766335553</v>
      </c>
      <c r="Q40" s="22">
        <f>('CN FD S'!Q40-'CN FD C'!Q40*EurCall!Q39)/'CN FD alpha'!Q40</f>
        <v>10.894803831380438</v>
      </c>
      <c r="R40" s="22">
        <f>('CN FD S'!R40-'CN FD C'!R40*EurCall!R39)/'CN FD alpha'!R40</f>
        <v>10.868405187107079</v>
      </c>
      <c r="S40" s="22">
        <f>('CN FD S'!S40-'CN FD C'!S40*EurCall!S39)/'CN FD alpha'!S40</f>
        <v>10.842084366587631</v>
      </c>
      <c r="T40" s="22">
        <f>('CN FD S'!T40-'CN FD C'!T40*EurCall!T39)/'CN FD alpha'!T40</f>
        <v>10.815845024538556</v>
      </c>
      <c r="U40" s="22">
        <f>('CN FD S'!U40-'CN FD C'!U40*EurCall!U39)/'CN FD alpha'!U40</f>
        <v>10.789690779613515</v>
      </c>
      <c r="V40" s="22">
        <f>('CN FD S'!V40-'CN FD C'!V40*EurCall!V39)/'CN FD alpha'!V40</f>
        <v>10.763625185421438</v>
      </c>
      <c r="W40" s="22">
        <f>('CN FD S'!W40-'CN FD C'!W40*EurCall!W39)/'CN FD alpha'!W40</f>
        <v>10.737651697082583</v>
      </c>
      <c r="X40" s="22">
        <f>('CN FD S'!X40-'CN FD C'!X40*EurCall!X39)/'CN FD alpha'!X40</f>
        <v>10.711773632922403</v>
      </c>
      <c r="Y40" s="22">
        <f>('CN FD S'!Y40-'CN FD C'!Y40*EurCall!Y39)/'CN FD alpha'!Y40</f>
        <v>10.685994130927897</v>
      </c>
      <c r="Z40" s="22">
        <f>('CN FD S'!Z40-'CN FD C'!Z40*EurCall!Z39)/'CN FD alpha'!Z40</f>
        <v>10.660316099641463</v>
      </c>
      <c r="AA40" s="22">
        <f>('CN FD S'!AA40-'CN FD C'!AA40*EurCall!AA39)/'CN FD alpha'!AA40</f>
        <v>10.634742163250696</v>
      </c>
      <c r="AB40" s="22">
        <f>('CN FD S'!AB40-'CN FD C'!AB40*EurCall!AB39)/'CN FD alpha'!AB40</f>
        <v>10.609274600759413</v>
      </c>
      <c r="AC40" s="22">
        <f>('CN FD S'!AC40-'CN FD C'!AC40*EurCall!AC39)/'CN FD alpha'!AC40</f>
        <v>10.583915279307128</v>
      </c>
      <c r="AD40" s="22">
        <f>('CN FD S'!AD40-'CN FD C'!AD40*EurCall!AD39)/'CN FD alpha'!AD40</f>
        <v>10.558665581955097</v>
      </c>
      <c r="AE40" s="22">
        <f>('CN FD S'!AE40-'CN FD C'!AE40*EurCall!AE39)/'CN FD alpha'!AE40</f>
        <v>10.533526330592425</v>
      </c>
      <c r="AF40" s="22">
        <f>('CN FD S'!AF40-'CN FD C'!AF40*EurCall!AF39)/'CN FD alpha'!AF40</f>
        <v>10.508497705052166</v>
      </c>
      <c r="AG40" s="22">
        <f>('CN FD S'!AG40-'CN FD C'!AG40*EurCall!AG39)/'CN FD alpha'!AG40</f>
        <v>10.483579160081796</v>
      </c>
      <c r="AH40" s="22">
        <f>('CN FD S'!AH40-'CN FD C'!AH40*EurCall!AH39)/'CN FD alpha'!AH40</f>
        <v>10.45876934249973</v>
      </c>
      <c r="AI40" s="22">
        <f>('CN FD S'!AI40-'CN FD C'!AI40*EurCall!AI39)/'CN FD alpha'!AI40</f>
        <v>10.434066011700015</v>
      </c>
      <c r="AJ40" s="22">
        <f>('CN FD S'!AJ40-'CN FD C'!AJ40*EurCall!AJ39)/'CN FD alpha'!AJ40</f>
        <v>10.409465967641623</v>
      </c>
      <c r="AK40" s="22">
        <f>('CN FD S'!AK40-'CN FD C'!AK40*EurCall!AK39)/'CN FD alpha'!AK40</f>
        <v>10.384964991561386</v>
      </c>
      <c r="AL40" s="22">
        <f>('CN FD S'!AL40-'CN FD C'!AL40*EurCall!AL39)/'CN FD alpha'!AL40</f>
        <v>10.360557805838752</v>
      </c>
      <c r="AM40" s="22">
        <f>('CN FD S'!AM40-'CN FD C'!AM40*EurCall!AM39)/'CN FD alpha'!AM40</f>
        <v>10.336238060635507</v>
      </c>
      <c r="AN40" s="22">
        <f>('CN FD S'!AN40-'CN FD C'!AN40*EurCall!AN39)/'CN FD alpha'!AN40</f>
        <v>10.311998355996238</v>
      </c>
      <c r="AO40" s="22">
        <f>('CN FD S'!AO40-'CN FD C'!AO40*EurCall!AO39)/'CN FD alpha'!AO40</f>
        <v>10.287830308809724</v>
      </c>
      <c r="AP40" s="22">
        <f>('CN FD S'!AP40-'CN FD C'!AP40*EurCall!AP39)/'CN FD alpha'!AP40</f>
        <v>10.263724674077638</v>
      </c>
      <c r="AQ40" s="22">
        <f>('CN FD S'!AQ40-'CN FD C'!AQ40*EurCall!AQ39)/'CN FD alpha'!AQ40</f>
        <v>10.23967152886793</v>
      </c>
      <c r="AR40" s="22">
        <f>('CN FD S'!AR40-'CN FD C'!AR40*EurCall!AR39)/'CN FD alpha'!AR40</f>
        <v>10.215660524554266</v>
      </c>
      <c r="AS40" s="22">
        <f>('CN FD S'!AS40-'CN FD C'!AS40*EurCall!AS39)/'CN FD alpha'!AS40</f>
        <v>10.191681207733899</v>
      </c>
      <c r="AT40" s="22">
        <f>('CN FD S'!AT40-'CN FD C'!AT40*EurCall!AT39)/'CN FD alpha'!AT40</f>
        <v>10.167723401778209</v>
      </c>
      <c r="AU40" s="22">
        <f>('CN FD S'!AU40-'CN FD C'!AU40*EurCall!AU39)/'CN FD alpha'!AU40</f>
        <v>10.143777628617693</v>
      </c>
      <c r="AV40" s="22">
        <f>('CN FD S'!AV40-'CN FD C'!AV40*EurCall!AV39)/'CN FD alpha'!AV40</f>
        <v>10.119835533920799</v>
      </c>
      <c r="AW40" s="22">
        <f>('CN FD S'!AW40-'CN FD C'!AW40*EurCall!AW39)/'CN FD alpha'!AW40</f>
        <v>10.095890259425001</v>
      </c>
      <c r="AX40" s="22">
        <f>('CN FD S'!AX40-'CN FD C'!AX40*EurCall!AX39)/'CN FD alpha'!AX40</f>
        <v>10.071936687765158</v>
      </c>
      <c r="AY40" s="22">
        <f>('CN FD S'!AY40-'CN FD C'!AY40*EurCall!AY39)/'CN FD alpha'!AY40</f>
        <v>10.047971477223161</v>
      </c>
      <c r="AZ40" s="22">
        <f>('CN FD S'!AZ40-'CN FD C'!AZ40*EurCall!AZ39)/'CN FD alpha'!AZ40</f>
        <v>10.023992826327767</v>
      </c>
      <c r="BA40" s="6">
        <f t="shared" si="1"/>
        <v>10</v>
      </c>
    </row>
    <row r="41" spans="1:53" x14ac:dyDescent="0.2">
      <c r="A41" s="15">
        <f t="shared" si="2"/>
        <v>24</v>
      </c>
      <c r="B41" s="16">
        <f t="shared" si="0"/>
        <v>48</v>
      </c>
      <c r="C41" s="22">
        <f>('CN FD S'!C41-'CN FD C'!C41*EurCall!C40)/'CN FD alpha'!C41</f>
        <v>9.3535150086100902</v>
      </c>
      <c r="D41" s="22">
        <f>('CN FD S'!D41-'CN FD C'!D41*EurCall!D40)/'CN FD alpha'!D41</f>
        <v>9.3243022600839964</v>
      </c>
      <c r="E41" s="22">
        <f>('CN FD S'!E41-'CN FD C'!E41*EurCall!E40)/'CN FD alpha'!E41</f>
        <v>9.295093294627609</v>
      </c>
      <c r="F41" s="22">
        <f>('CN FD S'!F41-'CN FD C'!F41*EurCall!F40)/'CN FD alpha'!F41</f>
        <v>9.2658912894620631</v>
      </c>
      <c r="G41" s="22">
        <f>('CN FD S'!G41-'CN FD C'!G41*EurCall!G40)/'CN FD alpha'!G41</f>
        <v>9.236699620083348</v>
      </c>
      <c r="H41" s="22">
        <f>('CN FD S'!H41-'CN FD C'!H41*EurCall!H40)/'CN FD alpha'!H41</f>
        <v>9.2075218713358105</v>
      </c>
      <c r="I41" s="22">
        <f>('CN FD S'!I41-'CN FD C'!I41*EurCall!I40)/'CN FD alpha'!I41</f>
        <v>9.1783618488638723</v>
      </c>
      <c r="J41" s="22">
        <f>('CN FD S'!J41-'CN FD C'!J41*EurCall!J40)/'CN FD alpha'!J41</f>
        <v>9.149223590891209</v>
      </c>
      <c r="K41" s="22">
        <f>('CN FD S'!K41-'CN FD C'!K41*EurCall!K40)/'CN FD alpha'!K41</f>
        <v>9.1201113802572724</v>
      </c>
      <c r="L41" s="22">
        <f>('CN FD S'!L41-'CN FD C'!L41*EurCall!L40)/'CN FD alpha'!L41</f>
        <v>9.0910297566172478</v>
      </c>
      <c r="M41" s="22">
        <f>('CN FD S'!M41-'CN FD C'!M41*EurCall!M40)/'CN FD alpha'!M41</f>
        <v>9.0619835286824202</v>
      </c>
      <c r="N41" s="22">
        <f>('CN FD S'!N41-'CN FD C'!N41*EurCall!N40)/'CN FD alpha'!N41</f>
        <v>9.0329777863424265</v>
      </c>
      <c r="O41" s="22">
        <f>('CN FD S'!O41-'CN FD C'!O41*EurCall!O40)/'CN FD alpha'!O41</f>
        <v>9.00401791246769</v>
      </c>
      <c r="P41" s="22">
        <f>('CN FD S'!P41-'CN FD C'!P41*EurCall!P40)/'CN FD alpha'!P41</f>
        <v>8.9751095941383419</v>
      </c>
      <c r="Q41" s="22">
        <f>('CN FD S'!Q41-'CN FD C'!Q41*EurCall!Q40)/'CN FD alpha'!Q41</f>
        <v>8.9462588329832027</v>
      </c>
      <c r="R41" s="22">
        <f>('CN FD S'!R41-'CN FD C'!R41*EurCall!R40)/'CN FD alpha'!R41</f>
        <v>8.9174719542374969</v>
      </c>
      <c r="S41" s="22">
        <f>('CN FD S'!S41-'CN FD C'!S41*EurCall!S40)/'CN FD alpha'!S41</f>
        <v>8.8887556140385797</v>
      </c>
      <c r="T41" s="22">
        <f>('CN FD S'!T41-'CN FD C'!T41*EurCall!T40)/'CN FD alpha'!T41</f>
        <v>8.8601168043732805</v>
      </c>
      <c r="U41" s="22">
        <f>('CN FD S'!U41-'CN FD C'!U41*EurCall!U40)/'CN FD alpha'!U41</f>
        <v>8.8315628549658864</v>
      </c>
      <c r="V41" s="22">
        <f>('CN FD S'!V41-'CN FD C'!V41*EurCall!V40)/'CN FD alpha'!V41</f>
        <v>8.803101431250365</v>
      </c>
      <c r="W41" s="22">
        <f>('CN FD S'!W41-'CN FD C'!W41*EurCall!W40)/'CN FD alpha'!W41</f>
        <v>8.7747405274017041</v>
      </c>
      <c r="X41" s="22">
        <f>('CN FD S'!X41-'CN FD C'!X41*EurCall!X40)/'CN FD alpha'!X41</f>
        <v>8.7464884532077551</v>
      </c>
      <c r="Y41" s="22">
        <f>('CN FD S'!Y41-'CN FD C'!Y41*EurCall!Y40)/'CN FD alpha'!Y41</f>
        <v>8.7183538133434197</v>
      </c>
      <c r="Z41" s="22">
        <f>('CN FD S'!Z41-'CN FD C'!Z41*EurCall!Z40)/'CN FD alpha'!Z41</f>
        <v>8.6903454773638042</v>
      </c>
      <c r="AA41" s="22">
        <f>('CN FD S'!AA41-'CN FD C'!AA41*EurCall!AA40)/'CN FD alpha'!AA41</f>
        <v>8.6624725384642929</v>
      </c>
      <c r="AB41" s="22">
        <f>('CN FD S'!AB41-'CN FD C'!AB41*EurCall!AB40)/'CN FD alpha'!AB41</f>
        <v>8.6347442587685226</v>
      </c>
      <c r="AC41" s="22">
        <f>('CN FD S'!AC41-'CN FD C'!AC41*EurCall!AC40)/'CN FD alpha'!AC41</f>
        <v>8.6071699986099048</v>
      </c>
      <c r="AD41" s="22">
        <f>('CN FD S'!AD41-'CN FD C'!AD41*EurCall!AD40)/'CN FD alpha'!AD41</f>
        <v>8.5797591269844347</v>
      </c>
      <c r="AE41" s="22">
        <f>('CN FD S'!AE41-'CN FD C'!AE41*EurCall!AE40)/'CN FD alpha'!AE41</f>
        <v>8.5525209100974937</v>
      </c>
      <c r="AF41" s="22">
        <f>('CN FD S'!AF41-'CN FD C'!AF41*EurCall!AF40)/'CN FD alpha'!AF41</f>
        <v>8.5254643747420413</v>
      </c>
      <c r="AG41" s="22">
        <f>('CN FD S'!AG41-'CN FD C'!AG41*EurCall!AG40)/'CN FD alpha'!AG41</f>
        <v>8.4985981431841804</v>
      </c>
      <c r="AH41" s="22">
        <f>('CN FD S'!AH41-'CN FD C'!AH41*EurCall!AH40)/'CN FD alpha'!AH41</f>
        <v>8.4719302363699054</v>
      </c>
      <c r="AI41" s="22">
        <f>('CN FD S'!AI41-'CN FD C'!AI41*EurCall!AI40)/'CN FD alpha'!AI41</f>
        <v>8.4454678427076484</v>
      </c>
      <c r="AJ41" s="22">
        <f>('CN FD S'!AJ41-'CN FD C'!AJ41*EurCall!AJ40)/'CN FD alpha'!AJ41</f>
        <v>8.4192170505641286</v>
      </c>
      <c r="AK41" s="22">
        <f>('CN FD S'!AK41-'CN FD C'!AK41*EurCall!AK40)/'CN FD alpha'!AK41</f>
        <v>8.3931825441175416</v>
      </c>
      <c r="AL41" s="22">
        <f>('CN FD S'!AL41-'CN FD C'!AL41*EurCall!AL40)/'CN FD alpha'!AL41</f>
        <v>8.3673672645740247</v>
      </c>
      <c r="AM41" s="22">
        <f>('CN FD S'!AM41-'CN FD C'!AM41*EurCall!AM40)/'CN FD alpha'!AM41</f>
        <v>8.3417720422543038</v>
      </c>
      <c r="AN41" s="22">
        <f>('CN FD S'!AN41-'CN FD C'!AN41*EurCall!AN40)/'CN FD alpha'!AN41</f>
        <v>8.3163952100303504</v>
      </c>
      <c r="AO41" s="22">
        <f>('CN FD S'!AO41-'CN FD C'!AO41*EurCall!AO40)/'CN FD alpha'!AO41</f>
        <v>8.2912322153977929</v>
      </c>
      <c r="AP41" s="22">
        <f>('CN FD S'!AP41-'CN FD C'!AP41*EurCall!AP40)/'CN FD alpha'!AP41</f>
        <v>8.2662752574500846</v>
      </c>
      <c r="AQ41" s="22">
        <f>('CN FD S'!AQ41-'CN FD C'!AQ41*EurCall!AQ40)/'CN FD alpha'!AQ41</f>
        <v>8.2415129863972378</v>
      </c>
      <c r="AR41" s="22">
        <f>('CN FD S'!AR41-'CN FD C'!AR41*EurCall!AR40)/'CN FD alpha'!AR41</f>
        <v>8.2169303169625092</v>
      </c>
      <c r="AS41" s="22">
        <f>('CN FD S'!AS41-'CN FD C'!AS41*EurCall!AS40)/'CN FD alpha'!AS41</f>
        <v>8.1925084222743294</v>
      </c>
      <c r="AT41" s="22">
        <f>('CN FD S'!AT41-'CN FD C'!AT41*EurCall!AT40)/'CN FD alpha'!AT41</f>
        <v>8.1682249898172241</v>
      </c>
      <c r="AU41" s="22">
        <f>('CN FD S'!AU41-'CN FD C'!AU41*EurCall!AU40)/'CN FD alpha'!AU41</f>
        <v>8.144054831506077</v>
      </c>
      <c r="AV41" s="22">
        <f>('CN FD S'!AV41-'CN FD C'!AV41*EurCall!AV40)/'CN FD alpha'!AV41</f>
        <v>8.1199709381143332</v>
      </c>
      <c r="AW41" s="22">
        <f>('CN FD S'!AW41-'CN FD C'!AW41*EurCall!AW40)/'CN FD alpha'!AW41</f>
        <v>8.0959460398276022</v>
      </c>
      <c r="AX41" s="22">
        <f>('CN FD S'!AX41-'CN FD C'!AX41*EurCall!AX40)/'CN FD alpha'!AX41</f>
        <v>8.0719546546666372</v>
      </c>
      <c r="AY41" s="22">
        <f>('CN FD S'!AY41-'CN FD C'!AY41*EurCall!AY40)/'CN FD alpha'!AY41</f>
        <v>8.0479754325021062</v>
      </c>
      <c r="AZ41" s="22">
        <f>('CN FD S'!AZ41-'CN FD C'!AZ41*EurCall!AZ40)/'CN FD alpha'!AZ41</f>
        <v>8.0239932635474727</v>
      </c>
      <c r="BA41" s="6">
        <f t="shared" si="1"/>
        <v>8</v>
      </c>
    </row>
    <row r="42" spans="1:53" x14ac:dyDescent="0.2">
      <c r="A42" s="15">
        <f t="shared" si="2"/>
        <v>23</v>
      </c>
      <c r="B42" s="16">
        <f t="shared" si="0"/>
        <v>46</v>
      </c>
      <c r="C42" s="22">
        <f>('CN FD S'!C42-'CN FD C'!C42*EurCall!C41)/'CN FD alpha'!C42</f>
        <v>7.5033032506216131</v>
      </c>
      <c r="D42" s="22">
        <f>('CN FD S'!D42-'CN FD C'!D42*EurCall!D41)/'CN FD alpha'!D42</f>
        <v>7.4715415857231768</v>
      </c>
      <c r="E42" s="22">
        <f>('CN FD S'!E42-'CN FD C'!E42*EurCall!E41)/'CN FD alpha'!E42</f>
        <v>7.4397236051796067</v>
      </c>
      <c r="F42" s="22">
        <f>('CN FD S'!F42-'CN FD C'!F42*EurCall!F41)/'CN FD alpha'!F42</f>
        <v>7.4078511967908165</v>
      </c>
      <c r="G42" s="22">
        <f>('CN FD S'!G42-'CN FD C'!G42*EurCall!G41)/'CN FD alpha'!G42</f>
        <v>7.3759264637968789</v>
      </c>
      <c r="H42" s="22">
        <f>('CN FD S'!H42-'CN FD C'!H42*EurCall!H41)/'CN FD alpha'!H42</f>
        <v>7.343951745139794</v>
      </c>
      <c r="I42" s="22">
        <f>('CN FD S'!I42-'CN FD C'!I42*EurCall!I41)/'CN FD alpha'!I42</f>
        <v>7.311929637694722</v>
      </c>
      <c r="J42" s="22">
        <f>('CN FD S'!J42-'CN FD C'!J42*EurCall!J41)/'CN FD alpha'!J42</f>
        <v>7.2798630206631953</v>
      </c>
      <c r="K42" s="22">
        <f>('CN FD S'!K42-'CN FD C'!K42*EurCall!K41)/'CN FD alpha'!K42</f>
        <v>7.2477550823366661</v>
      </c>
      <c r="L42" s="22">
        <f>('CN FD S'!L42-'CN FD C'!L42*EurCall!L41)/'CN FD alpha'!L42</f>
        <v>7.2156093494547386</v>
      </c>
      <c r="M42" s="22">
        <f>('CN FD S'!M42-'CN FD C'!M42*EurCall!M41)/'CN FD alpha'!M42</f>
        <v>7.183429719397898</v>
      </c>
      <c r="N42" s="22">
        <f>('CN FD S'!N42-'CN FD C'!N42*EurCall!N41)/'CN FD alpha'!N42</f>
        <v>7.1512204954687384</v>
      </c>
      <c r="O42" s="22">
        <f>('CN FD S'!O42-'CN FD C'!O42*EurCall!O41)/'CN FD alpha'!O42</f>
        <v>7.1189864255276172</v>
      </c>
      <c r="P42" s="22">
        <f>('CN FD S'!P42-'CN FD C'!P42*EurCall!P41)/'CN FD alpha'!P42</f>
        <v>7.0867327442566932</v>
      </c>
      <c r="Q42" s="22">
        <f>('CN FD S'!Q42-'CN FD C'!Q42*EurCall!Q41)/'CN FD alpha'!Q42</f>
        <v>7.0544652193286437</v>
      </c>
      <c r="R42" s="22">
        <f>('CN FD S'!R42-'CN FD C'!R42*EurCall!R41)/'CN FD alpha'!R42</f>
        <v>7.0221902017502478</v>
      </c>
      <c r="S42" s="22">
        <f>('CN FD S'!S42-'CN FD C'!S42*EurCall!S41)/'CN FD alpha'!S42</f>
        <v>6.9899146806328396</v>
      </c>
      <c r="T42" s="22">
        <f>('CN FD S'!T42-'CN FD C'!T42*EurCall!T41)/'CN FD alpha'!T42</f>
        <v>6.9576463426069006</v>
      </c>
      <c r="U42" s="22">
        <f>('CN FD S'!U42-'CN FD C'!U42*EurCall!U41)/'CN FD alpha'!U42</f>
        <v>6.9253936360404769</v>
      </c>
      <c r="V42" s="22">
        <f>('CN FD S'!V42-'CN FD C'!V42*EurCall!V41)/'CN FD alpha'!V42</f>
        <v>6.8931658401328111</v>
      </c>
      <c r="W42" s="22">
        <f>('CN FD S'!W42-'CN FD C'!W42*EurCall!W41)/'CN FD alpha'!W42</f>
        <v>6.8609731388251118</v>
      </c>
      <c r="X42" s="22">
        <f>('CN FD S'!X42-'CN FD C'!X42*EurCall!X41)/'CN FD alpha'!X42</f>
        <v>6.8288266992866484</v>
      </c>
      <c r="Y42" s="22">
        <f>('CN FD S'!Y42-'CN FD C'!Y42*EurCall!Y41)/'CN FD alpha'!Y42</f>
        <v>6.796738754479227</v>
      </c>
      <c r="Z42" s="22">
        <f>('CN FD S'!Z42-'CN FD C'!Z42*EurCall!Z41)/'CN FD alpha'!Z42</f>
        <v>6.7647226889551089</v>
      </c>
      <c r="AA42" s="22">
        <f>('CN FD S'!AA42-'CN FD C'!AA42*EurCall!AA41)/'CN FD alpha'!AA42</f>
        <v>6.7327931265755856</v>
      </c>
      <c r="AB42" s="22">
        <f>('CN FD S'!AB42-'CN FD C'!AB42*EurCall!AB41)/'CN FD alpha'!AB42</f>
        <v>6.7009660182158974</v>
      </c>
      <c r="AC42" s="22">
        <f>('CN FD S'!AC42-'CN FD C'!AC42*EurCall!AC41)/'CN FD alpha'!AC42</f>
        <v>6.6692587267054657</v>
      </c>
      <c r="AD42" s="22">
        <f>('CN FD S'!AD42-'CN FD C'!AD42*EurCall!AD41)/'CN FD alpha'!AD42</f>
        <v>6.637690105190214</v>
      </c>
      <c r="AE42" s="22">
        <f>('CN FD S'!AE42-'CN FD C'!AE42*EurCall!AE41)/'CN FD alpha'!AE42</f>
        <v>6.6062805637356048</v>
      </c>
      <c r="AF42" s="22">
        <f>('CN FD S'!AF42-'CN FD C'!AF42*EurCall!AF41)/'CN FD alpha'!AF42</f>
        <v>6.5750521172453071</v>
      </c>
      <c r="AG42" s="22">
        <f>('CN FD S'!AG42-'CN FD C'!AG42*EurCall!AG41)/'CN FD alpha'!AG42</f>
        <v>6.5440284055720932</v>
      </c>
      <c r="AH42" s="22">
        <f>('CN FD S'!AH42-'CN FD C'!AH42*EurCall!AH41)/'CN FD alpha'!AH42</f>
        <v>6.5132346739609135</v>
      </c>
      <c r="AI42" s="22">
        <f>('CN FD S'!AI42-'CN FD C'!AI42*EurCall!AI41)/'CN FD alpha'!AI42</f>
        <v>6.4826976986073532</v>
      </c>
      <c r="AJ42" s="22">
        <f>('CN FD S'!AJ42-'CN FD C'!AJ42*EurCall!AJ41)/'CN FD alpha'!AJ42</f>
        <v>6.4524456380722759</v>
      </c>
      <c r="AK42" s="22">
        <f>('CN FD S'!AK42-'CN FD C'!AK42*EurCall!AK41)/'CN FD alpha'!AK42</f>
        <v>6.4225077865405833</v>
      </c>
      <c r="AL42" s="22">
        <f>('CN FD S'!AL42-'CN FD C'!AL42*EurCall!AL41)/'CN FD alpha'!AL42</f>
        <v>6.3929141995057543</v>
      </c>
      <c r="AM42" s="22">
        <f>('CN FD S'!AM42-'CN FD C'!AM42*EurCall!AM41)/'CN FD alpha'!AM42</f>
        <v>6.3636951566084345</v>
      </c>
      <c r="AN42" s="22">
        <f>('CN FD S'!AN42-'CN FD C'!AN42*EurCall!AN41)/'CN FD alpha'!AN42</f>
        <v>6.3348804205205962</v>
      </c>
      <c r="AO42" s="22">
        <f>('CN FD S'!AO42-'CN FD C'!AO42*EurCall!AO41)/'CN FD alpha'!AO42</f>
        <v>6.306498245838327</v>
      </c>
      <c r="AP42" s="22">
        <f>('CN FD S'!AP42-'CN FD C'!AP42*EurCall!AP41)/'CN FD alpha'!AP42</f>
        <v>6.2785740895122411</v>
      </c>
      <c r="AQ42" s="22">
        <f>('CN FD S'!AQ42-'CN FD C'!AQ42*EurCall!AQ41)/'CN FD alpha'!AQ42</f>
        <v>6.2511289770977942</v>
      </c>
      <c r="AR42" s="22">
        <f>('CN FD S'!AR42-'CN FD C'!AR42*EurCall!AR41)/'CN FD alpha'!AR42</f>
        <v>6.2241774914825623</v>
      </c>
      <c r="AS42" s="22">
        <f>('CN FD S'!AS42-'CN FD C'!AS42*EurCall!AS41)/'CN FD alpha'!AS42</f>
        <v>6.1977253798878031</v>
      </c>
      <c r="AT42" s="22">
        <f>('CN FD S'!AT42-'CN FD C'!AT42*EurCall!AT41)/'CN FD alpha'!AT42</f>
        <v>6.1717668321777239</v>
      </c>
      <c r="AU42" s="22">
        <f>('CN FD S'!AU42-'CN FD C'!AU42*EurCall!AU41)/'CN FD alpha'!AU42</f>
        <v>6.1462815865955456</v>
      </c>
      <c r="AV42" s="22">
        <f>('CN FD S'!AV42-'CN FD C'!AV42*EurCall!AV41)/'CN FD alpha'!AV42</f>
        <v>6.121232195544188</v>
      </c>
      <c r="AW42" s="22">
        <f>('CN FD S'!AW42-'CN FD C'!AW42*EurCall!AW41)/'CN FD alpha'!AW42</f>
        <v>6.0965620764235933</v>
      </c>
      <c r="AX42" s="22">
        <f>('CN FD S'!AX42-'CN FD C'!AX42*EurCall!AX41)/'CN FD alpha'!AX42</f>
        <v>6.0721954459284477</v>
      </c>
      <c r="AY42" s="22">
        <f>('CN FD S'!AY42-'CN FD C'!AY42*EurCall!AY41)/'CN FD alpha'!AY42</f>
        <v>6.0480409899092047</v>
      </c>
      <c r="AZ42" s="22">
        <f>('CN FD S'!AZ42-'CN FD C'!AZ42*EurCall!AZ41)/'CN FD alpha'!AZ42</f>
        <v>6.0240023058508418</v>
      </c>
      <c r="BA42" s="6">
        <f t="shared" si="1"/>
        <v>6</v>
      </c>
    </row>
    <row r="43" spans="1:53" x14ac:dyDescent="0.2">
      <c r="A43" s="15">
        <f t="shared" si="2"/>
        <v>22</v>
      </c>
      <c r="B43" s="16">
        <f t="shared" si="0"/>
        <v>44</v>
      </c>
      <c r="C43" s="22">
        <f>('CN FD S'!C43-'CN FD C'!C43*EurCall!C42)/'CN FD alpha'!C43</f>
        <v>5.7613030248712134</v>
      </c>
      <c r="D43" s="22">
        <f>('CN FD S'!D43-'CN FD C'!D43*EurCall!D42)/'CN FD alpha'!D43</f>
        <v>5.7270225351633117</v>
      </c>
      <c r="E43" s="22">
        <f>('CN FD S'!E43-'CN FD C'!E43*EurCall!E42)/'CN FD alpha'!E43</f>
        <v>5.6925988559460192</v>
      </c>
      <c r="F43" s="22">
        <f>('CN FD S'!F43-'CN FD C'!F43*EurCall!F42)/'CN FD alpha'!F43</f>
        <v>5.6580303364584035</v>
      </c>
      <c r="G43" s="22">
        <f>('CN FD S'!G43-'CN FD C'!G43*EurCall!G42)/'CN FD alpha'!G43</f>
        <v>5.6233153668662901</v>
      </c>
      <c r="H43" s="22">
        <f>('CN FD S'!H43-'CN FD C'!H43*EurCall!H42)/'CN FD alpha'!H43</f>
        <v>5.5884523901366672</v>
      </c>
      <c r="I43" s="22">
        <f>('CN FD S'!I43-'CN FD C'!I43*EurCall!I42)/'CN FD alpha'!I43</f>
        <v>5.55343991584032</v>
      </c>
      <c r="J43" s="22">
        <f>('CN FD S'!J43-'CN FD C'!J43*EurCall!J42)/'CN FD alpha'!J43</f>
        <v>5.5182765361941177</v>
      </c>
      <c r="K43" s="22">
        <f>('CN FD S'!K43-'CN FD C'!K43*EurCall!K42)/'CN FD alpha'!K43</f>
        <v>5.4829609447077621</v>
      </c>
      <c r="L43" s="22">
        <f>('CN FD S'!L43-'CN FD C'!L43*EurCall!L42)/'CN FD alpha'!L43</f>
        <v>5.4474919578628471</v>
      </c>
      <c r="M43" s="22">
        <f>('CN FD S'!M43-'CN FD C'!M43*EurCall!M42)/'CN FD alpha'!M43</f>
        <v>5.411868540326652</v>
      </c>
      <c r="N43" s="22">
        <f>('CN FD S'!N43-'CN FD C'!N43*EurCall!N42)/'CN FD alpha'!N43</f>
        <v>5.3760898342913217</v>
      </c>
      <c r="O43" s="22">
        <f>('CN FD S'!O43-'CN FD C'!O43*EurCall!O42)/'CN FD alpha'!O43</f>
        <v>5.3401551936334997</v>
      </c>
      <c r="P43" s="22">
        <f>('CN FD S'!P43-'CN FD C'!P43*EurCall!P42)/'CN FD alpha'!P43</f>
        <v>5.3040642237131186</v>
      </c>
      <c r="Q43" s="22">
        <f>('CN FD S'!Q43-'CN FD C'!Q43*EurCall!Q42)/'CN FD alpha'!Q43</f>
        <v>5.2678168277763673</v>
      </c>
      <c r="R43" s="22">
        <f>('CN FD S'!R43-'CN FD C'!R43*EurCall!R42)/'CN FD alpha'!R43</f>
        <v>5.2314132611008697</v>
      </c>
      <c r="S43" s="22">
        <f>('CN FD S'!S43-'CN FD C'!S43*EurCall!S42)/'CN FD alpha'!S43</f>
        <v>5.1948541942256456</v>
      </c>
      <c r="T43" s="22">
        <f>('CN FD S'!T43-'CN FD C'!T43*EurCall!T42)/'CN FD alpha'!T43</f>
        <v>5.1581407868495415</v>
      </c>
      <c r="U43" s="22">
        <f>('CN FD S'!U43-'CN FD C'!U43*EurCall!U42)/'CN FD alpha'!U43</f>
        <v>5.1212747742656797</v>
      </c>
      <c r="V43" s="22">
        <f>('CN FD S'!V43-'CN FD C'!V43*EurCall!V42)/'CN FD alpha'!V43</f>
        <v>5.0842585685324044</v>
      </c>
      <c r="W43" s="22">
        <f>('CN FD S'!W43-'CN FD C'!W43*EurCall!W42)/'CN FD alpha'!W43</f>
        <v>5.0470953769699456</v>
      </c>
      <c r="X43" s="22">
        <f>('CN FD S'!X43-'CN FD C'!X43*EurCall!X42)/'CN FD alpha'!X43</f>
        <v>5.0097893410235352</v>
      </c>
      <c r="Y43" s="22">
        <f>('CN FD S'!Y43-'CN FD C'!Y43*EurCall!Y42)/'CN FD alpha'!Y43</f>
        <v>4.9723456990537596</v>
      </c>
      <c r="Z43" s="22">
        <f>('CN FD S'!Z43-'CN FD C'!Z43*EurCall!Z42)/'CN FD alpha'!Z43</f>
        <v>4.934770977208113</v>
      </c>
      <c r="AA43" s="22">
        <f>('CN FD S'!AA43-'CN FD C'!AA43*EurCall!AA42)/'CN FD alpha'!AA43</f>
        <v>4.8970732131946315</v>
      </c>
      <c r="AB43" s="22">
        <f>('CN FD S'!AB43-'CN FD C'!AB43*EurCall!AB42)/'CN FD alpha'!AB43</f>
        <v>4.8592622185141119</v>
      </c>
      <c r="AC43" s="22">
        <f>('CN FD S'!AC43-'CN FD C'!AC43*EurCall!AC42)/'CN FD alpha'!AC43</f>
        <v>4.821349885496292</v>
      </c>
      <c r="AD43" s="22">
        <f>('CN FD S'!AD43-'CN FD C'!AD43*EurCall!AD42)/'CN FD alpha'!AD43</f>
        <v>4.7833505462962886</v>
      </c>
      <c r="AE43" s="22">
        <f>('CN FD S'!AE43-'CN FD C'!AE43*EurCall!AE42)/'CN FD alpha'!AE43</f>
        <v>4.7452813917840322</v>
      </c>
      <c r="AF43" s="22">
        <f>('CN FD S'!AF43-'CN FD C'!AF43*EurCall!AF42)/'CN FD alpha'!AF43</f>
        <v>4.7071629589068351</v>
      </c>
      <c r="AG43" s="22">
        <f>('CN FD S'!AG43-'CN FD C'!AG43*EurCall!AG42)/'CN FD alpha'!AG43</f>
        <v>4.6690196954712624</v>
      </c>
      <c r="AH43" s="22">
        <f>('CN FD S'!AH43-'CN FD C'!AH43*EurCall!AH42)/'CN FD alpha'!AH43</f>
        <v>4.6308806111366119</v>
      </c>
      <c r="AI43" s="22">
        <f>('CN FD S'!AI43-'CN FD C'!AI43*EurCall!AI42)/'CN FD alpha'!AI43</f>
        <v>4.5927800223726551</v>
      </c>
      <c r="AJ43" s="22">
        <f>('CN FD S'!AJ43-'CN FD C'!AJ43*EurCall!AJ42)/'CN FD alpha'!AJ43</f>
        <v>4.5547583966550835</v>
      </c>
      <c r="AK43" s="22">
        <f>('CN FD S'!AK43-'CN FD C'!AK43*EurCall!AK42)/'CN FD alpha'!AK43</f>
        <v>4.5168632964248854</v>
      </c>
      <c r="AL43" s="22">
        <f>('CN FD S'!AL43-'CN FD C'!AL43*EurCall!AL42)/'CN FD alpha'!AL43</f>
        <v>4.4791504150932981</v>
      </c>
      <c r="AM43" s="22">
        <f>('CN FD S'!AM43-'CN FD C'!AM43*EurCall!AM42)/'CN FD alpha'!AM43</f>
        <v>4.4416846838199113</v>
      </c>
      <c r="AN43" s="22">
        <f>('CN FD S'!AN43-'CN FD C'!AN43*EurCall!AN42)/'CN FD alpha'!AN43</f>
        <v>4.4045414062708712</v>
      </c>
      <c r="AO43" s="22">
        <f>('CN FD S'!AO43-'CN FD C'!AO43*EurCall!AO42)/'CN FD alpha'!AO43</f>
        <v>4.3678073451967681</v>
      </c>
      <c r="AP43" s="22">
        <f>('CN FD S'!AP43-'CN FD C'!AP43*EurCall!AP42)/'CN FD alpha'!AP43</f>
        <v>4.3315816338083755</v>
      </c>
      <c r="AQ43" s="22">
        <f>('CN FD S'!AQ43-'CN FD C'!AQ43*EurCall!AQ42)/'CN FD alpha'!AQ43</f>
        <v>4.2959763083751366</v>
      </c>
      <c r="AR43" s="22">
        <f>('CN FD S'!AR43-'CN FD C'!AR43*EurCall!AR42)/'CN FD alpha'!AR43</f>
        <v>4.2611161443505612</v>
      </c>
      <c r="AS43" s="22">
        <f>('CN FD S'!AS43-'CN FD C'!AS43*EurCall!AS42)/'CN FD alpha'!AS43</f>
        <v>4.2271373094645774</v>
      </c>
      <c r="AT43" s="22">
        <f>('CN FD S'!AT43-'CN FD C'!AT43*EurCall!AT42)/'CN FD alpha'!AT43</f>
        <v>4.1941840988038308</v>
      </c>
      <c r="AU43" s="22">
        <f>('CN FD S'!AU43-'CN FD C'!AU43*EurCall!AU42)/'CN FD alpha'!AU43</f>
        <v>4.1624026531163283</v>
      </c>
      <c r="AV43" s="22">
        <f>('CN FD S'!AV43-'CN FD C'!AV43*EurCall!AV42)/'CN FD alpha'!AV43</f>
        <v>4.1319300307718665</v>
      </c>
      <c r="AW43" s="22">
        <f>('CN FD S'!AW43-'CN FD C'!AW43*EurCall!AW42)/'CN FD alpha'!AW43</f>
        <v>4.1028762315000868</v>
      </c>
      <c r="AX43" s="22">
        <f>('CN FD S'!AX43-'CN FD C'!AX43*EurCall!AX42)/'CN FD alpha'!AX43</f>
        <v>4.07529564882236</v>
      </c>
      <c r="AY43" s="22">
        <f>('CN FD S'!AY43-'CN FD C'!AY43*EurCall!AY42)/'CN FD alpha'!AY43</f>
        <v>4.0491428031424306</v>
      </c>
      <c r="AZ43" s="22">
        <f>('CN FD S'!AZ43-'CN FD C'!AZ43*EurCall!AZ42)/'CN FD alpha'!AZ43</f>
        <v>4.0242048554239735</v>
      </c>
      <c r="BA43" s="6">
        <f t="shared" si="1"/>
        <v>4</v>
      </c>
    </row>
    <row r="44" spans="1:53" x14ac:dyDescent="0.2">
      <c r="A44" s="15">
        <f t="shared" si="2"/>
        <v>21</v>
      </c>
      <c r="B44" s="16">
        <f t="shared" si="0"/>
        <v>42</v>
      </c>
      <c r="C44" s="22">
        <f>('CN FD S'!C44-'CN FD C'!C44*EurCall!C43)/'CN FD alpha'!C44</f>
        <v>4.1819601262596988</v>
      </c>
      <c r="D44" s="22">
        <f>('CN FD S'!D44-'CN FD C'!D44*EurCall!D43)/'CN FD alpha'!D44</f>
        <v>4.1461423914394242</v>
      </c>
      <c r="E44" s="22">
        <f>('CN FD S'!E44-'CN FD C'!E44*EurCall!E43)/'CN FD alpha'!E44</f>
        <v>4.1100994250646821</v>
      </c>
      <c r="F44" s="22">
        <f>('CN FD S'!F44-'CN FD C'!F44*EurCall!F43)/'CN FD alpha'!F44</f>
        <v>4.0738251161374155</v>
      </c>
      <c r="G44" s="22">
        <f>('CN FD S'!G44-'CN FD C'!G44*EurCall!G43)/'CN FD alpha'!G44</f>
        <v>4.0373130730545599</v>
      </c>
      <c r="H44" s="22">
        <f>('CN FD S'!H44-'CN FD C'!H44*EurCall!H43)/'CN FD alpha'!H44</f>
        <v>4.0005566061601696</v>
      </c>
      <c r="I44" s="22">
        <f>('CN FD S'!I44-'CN FD C'!I44*EurCall!I43)/'CN FD alpha'!I44</f>
        <v>3.9635487090098631</v>
      </c>
      <c r="J44" s="22">
        <f>('CN FD S'!J44-'CN FD C'!J44*EurCall!J43)/'CN FD alpha'!J44</f>
        <v>3.9262820382549255</v>
      </c>
      <c r="K44" s="22">
        <f>('CN FD S'!K44-'CN FD C'!K44*EurCall!K43)/'CN FD alpha'!K44</f>
        <v>3.8887488920518547</v>
      </c>
      <c r="L44" s="22">
        <f>('CN FD S'!L44-'CN FD C'!L44*EurCall!L43)/'CN FD alpha'!L44</f>
        <v>3.8509411869039498</v>
      </c>
      <c r="M44" s="22">
        <f>('CN FD S'!M44-'CN FD C'!M44*EurCall!M43)/'CN FD alpha'!M44</f>
        <v>3.8128504328458268</v>
      </c>
      <c r="N44" s="22">
        <f>('CN FD S'!N44-'CN FD C'!N44*EurCall!N43)/'CN FD alpha'!N44</f>
        <v>3.7744677068910124</v>
      </c>
      <c r="O44" s="22">
        <f>('CN FD S'!O44-'CN FD C'!O44*EurCall!O43)/'CN FD alpha'!O44</f>
        <v>3.7357836246791019</v>
      </c>
      <c r="P44" s="22">
        <f>('CN FD S'!P44-'CN FD C'!P44*EurCall!P43)/'CN FD alpha'!P44</f>
        <v>3.6967883102851817</v>
      </c>
      <c r="Q44" s="22">
        <f>('CN FD S'!Q44-'CN FD C'!Q44*EurCall!Q43)/'CN FD alpha'!Q44</f>
        <v>3.6574713641942131</v>
      </c>
      <c r="R44" s="22">
        <f>('CN FD S'!R44-'CN FD C'!R44*EurCall!R43)/'CN FD alpha'!R44</f>
        <v>3.6178218295020197</v>
      </c>
      <c r="S44" s="22">
        <f>('CN FD S'!S44-'CN FD C'!S44*EurCall!S43)/'CN FD alpha'!S44</f>
        <v>3.5778281564896499</v>
      </c>
      <c r="T44" s="22">
        <f>('CN FD S'!T44-'CN FD C'!T44*EurCall!T43)/'CN FD alpha'!T44</f>
        <v>3.5374781658387886</v>
      </c>
      <c r="U44" s="22">
        <f>('CN FD S'!U44-'CN FD C'!U44*EurCall!U43)/'CN FD alpha'!U44</f>
        <v>3.4967590109257531</v>
      </c>
      <c r="V44" s="22">
        <f>('CN FD S'!V44-'CN FD C'!V44*EurCall!V43)/'CN FD alpha'!V44</f>
        <v>3.4556571398682983</v>
      </c>
      <c r="W44" s="22">
        <f>('CN FD S'!W44-'CN FD C'!W44*EurCall!W43)/'CN FD alpha'!W44</f>
        <v>3.4141582583271068</v>
      </c>
      <c r="X44" s="22">
        <f>('CN FD S'!X44-'CN FD C'!X44*EurCall!X43)/'CN FD alpha'!X44</f>
        <v>3.372247294515474</v>
      </c>
      <c r="Y44" s="22">
        <f>('CN FD S'!Y44-'CN FD C'!Y44*EurCall!Y43)/'CN FD alpha'!Y44</f>
        <v>3.3299083684908624</v>
      </c>
      <c r="Z44" s="22">
        <f>('CN FD S'!Z44-'CN FD C'!Z44*EurCall!Z43)/'CN FD alpha'!Z44</f>
        <v>3.2871247686515015</v>
      </c>
      <c r="AA44" s="22">
        <f>('CN FD S'!AA44-'CN FD C'!AA44*EurCall!AA43)/'CN FD alpha'!AA44</f>
        <v>3.2438789395225887</v>
      </c>
      <c r="AB44" s="22">
        <f>('CN FD S'!AB44-'CN FD C'!AB44*EurCall!AB43)/'CN FD alpha'!AB44</f>
        <v>3.2001524865022413</v>
      </c>
      <c r="AC44" s="22">
        <f>('CN FD S'!AC44-'CN FD C'!AC44*EurCall!AC43)/'CN FD alpha'!AC44</f>
        <v>3.1559262054001316</v>
      </c>
      <c r="AD44" s="22">
        <f>('CN FD S'!AD44-'CN FD C'!AD44*EurCall!AD43)/'CN FD alpha'!AD44</f>
        <v>3.1111801475501428</v>
      </c>
      <c r="AE44" s="22">
        <f>('CN FD S'!AE44-'CN FD C'!AE44*EurCall!AE43)/'CN FD alpha'!AE44</f>
        <v>3.0658937352966977</v>
      </c>
      <c r="AF44" s="22">
        <f>('CN FD S'!AF44-'CN FD C'!AF44*EurCall!AF43)/'CN FD alpha'!AF44</f>
        <v>3.0200459481305399</v>
      </c>
      <c r="AG44" s="22">
        <f>('CN FD S'!AG44-'CN FD C'!AG44*EurCall!AG43)/'CN FD alpha'!AG44</f>
        <v>2.973615607213743</v>
      </c>
      <c r="AH44" s="22">
        <f>('CN FD S'!AH44-'CN FD C'!AH44*EurCall!AH43)/'CN FD alpha'!AH44</f>
        <v>2.9265817962101734</v>
      </c>
      <c r="AI44" s="22">
        <f>('CN FD S'!AI44-'CN FD C'!AI44*EurCall!AI43)/'CN FD alpha'!AI44</f>
        <v>2.8789244702183656</v>
      </c>
      <c r="AJ44" s="22">
        <f>('CN FD S'!AJ44-'CN FD C'!AJ44*EurCall!AJ43)/'CN FD alpha'!AJ44</f>
        <v>2.8306253235472538</v>
      </c>
      <c r="AK44" s="22">
        <f>('CN FD S'!AK44-'CN FD C'!AK44*EurCall!AK43)/'CN FD alpha'!AK44</f>
        <v>2.7816690129445316</v>
      </c>
      <c r="AL44" s="22">
        <f>('CN FD S'!AL44-'CN FD C'!AL44*EurCall!AL43)/'CN FD alpha'!AL44</f>
        <v>2.7320448682396821</v>
      </c>
      <c r="AM44" s="22">
        <f>('CN FD S'!AM44-'CN FD C'!AM44*EurCall!AM43)/'CN FD alpha'!AM44</f>
        <v>2.6817492707127855</v>
      </c>
      <c r="AN44" s="22">
        <f>('CN FD S'!AN44-'CN FD C'!AN44*EurCall!AN43)/'CN FD alpha'!AN44</f>
        <v>2.6307889456793254</v>
      </c>
      <c r="AO44" s="22">
        <f>('CN FD S'!AO44-'CN FD C'!AO44*EurCall!AO43)/'CN FD alpha'!AO44</f>
        <v>2.5791855064460494</v>
      </c>
      <c r="AP44" s="22">
        <f>('CN FD S'!AP44-'CN FD C'!AP44*EurCall!AP43)/'CN FD alpha'!AP44</f>
        <v>2.5269817111186637</v>
      </c>
      <c r="AQ44" s="22">
        <f>('CN FD S'!AQ44-'CN FD C'!AQ44*EurCall!AQ43)/'CN FD alpha'!AQ44</f>
        <v>2.4742500643917538</v>
      </c>
      <c r="AR44" s="22">
        <f>('CN FD S'!AR44-'CN FD C'!AR44*EurCall!AR43)/'CN FD alpha'!AR44</f>
        <v>2.4211046309217039</v>
      </c>
      <c r="AS44" s="22">
        <f>('CN FD S'!AS44-'CN FD C'!AS44*EurCall!AS43)/'CN FD alpha'!AS44</f>
        <v>2.3677172493795493</v>
      </c>
      <c r="AT44" s="22">
        <f>('CN FD S'!AT44-'CN FD C'!AT44*EurCall!AT43)/'CN FD alpha'!AT44</f>
        <v>2.3143397803282406</v>
      </c>
      <c r="AU44" s="22">
        <f>('CN FD S'!AU44-'CN FD C'!AU44*EurCall!AU43)/'CN FD alpha'!AU44</f>
        <v>2.2613346331611703</v>
      </c>
      <c r="AV44" s="22">
        <f>('CN FD S'!AV44-'CN FD C'!AV44*EurCall!AV43)/'CN FD alpha'!AV44</f>
        <v>2.2092166620357538</v>
      </c>
      <c r="AW44" s="22">
        <f>('CN FD S'!AW44-'CN FD C'!AW44*EurCall!AW43)/'CN FD alpha'!AW44</f>
        <v>2.1587106878013205</v>
      </c>
      <c r="AX44" s="22">
        <f>('CN FD S'!AX44-'CN FD C'!AX44*EurCall!AX43)/'CN FD alpha'!AX44</f>
        <v>2.1108305173303004</v>
      </c>
      <c r="AY44" s="22">
        <f>('CN FD S'!AY44-'CN FD C'!AY44*EurCall!AY43)/'CN FD alpha'!AY44</f>
        <v>2.0669875676564771</v>
      </c>
      <c r="AZ44" s="22">
        <f>('CN FD S'!AZ44-'CN FD C'!AZ44*EurCall!AZ43)/'CN FD alpha'!AZ44</f>
        <v>2.0291403031741519</v>
      </c>
      <c r="BA44" s="6">
        <f t="shared" si="1"/>
        <v>2</v>
      </c>
    </row>
    <row r="45" spans="1:53" x14ac:dyDescent="0.2">
      <c r="A45" s="15">
        <f t="shared" si="2"/>
        <v>20</v>
      </c>
      <c r="B45" s="16">
        <f t="shared" si="0"/>
        <v>40</v>
      </c>
      <c r="C45" s="22">
        <f>('CN FD S'!C45-'CN FD C'!C45*EurCall!C44)/'CN FD alpha'!C45</f>
        <v>2.8262566454975131</v>
      </c>
      <c r="D45" s="22">
        <f>('CN FD S'!D45-'CN FD C'!D45*EurCall!D44)/'CN FD alpha'!D45</f>
        <v>2.7911163685443636</v>
      </c>
      <c r="E45" s="22">
        <f>('CN FD S'!E45-'CN FD C'!E45*EurCall!E44)/'CN FD alpha'!E45</f>
        <v>2.7557274997203192</v>
      </c>
      <c r="F45" s="22">
        <f>('CN FD S'!F45-'CN FD C'!F45*EurCall!F44)/'CN FD alpha'!F45</f>
        <v>2.7200820602929361</v>
      </c>
      <c r="G45" s="22">
        <f>('CN FD S'!G45-'CN FD C'!G45*EurCall!G44)/'CN FD alpha'!G45</f>
        <v>2.6841716233274044</v>
      </c>
      <c r="H45" s="22">
        <f>('CN FD S'!H45-'CN FD C'!H45*EurCall!H44)/'CN FD alpha'!H45</f>
        <v>2.6479872774419109</v>
      </c>
      <c r="I45" s="22">
        <f>('CN FD S'!I45-'CN FD C'!I45*EurCall!I44)/'CN FD alpha'!I45</f>
        <v>2.6115195866714305</v>
      </c>
      <c r="J45" s="22">
        <f>('CN FD S'!J45-'CN FD C'!J45*EurCall!J44)/'CN FD alpha'!J45</f>
        <v>2.5747585459108349</v>
      </c>
      <c r="K45" s="22">
        <f>('CN FD S'!K45-'CN FD C'!K45*EurCall!K44)/'CN FD alpha'!K45</f>
        <v>2.5376935313200928</v>
      </c>
      <c r="L45" s="22">
        <f>('CN FD S'!L45-'CN FD C'!L45*EurCall!L44)/'CN FD alpha'!L45</f>
        <v>2.5003132449688352</v>
      </c>
      <c r="M45" s="22">
        <f>('CN FD S'!M45-'CN FD C'!M45*EurCall!M44)/'CN FD alpha'!M45</f>
        <v>2.4626056528705731</v>
      </c>
      <c r="N45" s="22">
        <f>('CN FD S'!N45-'CN FD C'!N45*EurCall!N44)/'CN FD alpha'!N45</f>
        <v>2.4245579154035357</v>
      </c>
      <c r="O45" s="22">
        <f>('CN FD S'!O45-'CN FD C'!O45*EurCall!O44)/'CN FD alpha'!O45</f>
        <v>2.3861563089290154</v>
      </c>
      <c r="P45" s="22">
        <f>('CN FD S'!P45-'CN FD C'!P45*EurCall!P44)/'CN FD alpha'!P45</f>
        <v>2.3473861371913967</v>
      </c>
      <c r="Q45" s="22">
        <f>('CN FD S'!Q45-'CN FD C'!Q45*EurCall!Q44)/'CN FD alpha'!Q45</f>
        <v>2.3082316308065502</v>
      </c>
      <c r="R45" s="22">
        <f>('CN FD S'!R45-'CN FD C'!R45*EurCall!R44)/'CN FD alpha'!R45</f>
        <v>2.2686758328041843</v>
      </c>
      <c r="S45" s="22">
        <f>('CN FD S'!S45-'CN FD C'!S45*EurCall!S44)/'CN FD alpha'!S45</f>
        <v>2.2287004677685451</v>
      </c>
      <c r="T45" s="22">
        <f>('CN FD S'!T45-'CN FD C'!T45*EurCall!T44)/'CN FD alpha'!T45</f>
        <v>2.1882857915995828</v>
      </c>
      <c r="U45" s="22">
        <f>('CN FD S'!U45-'CN FD C'!U45*EurCall!U44)/'CN FD alpha'!U45</f>
        <v>2.1474104182661562</v>
      </c>
      <c r="V45" s="22">
        <f>('CN FD S'!V45-'CN FD C'!V45*EurCall!V44)/'CN FD alpha'!V45</f>
        <v>2.1060511191091482</v>
      </c>
      <c r="W45" s="22">
        <f>('CN FD S'!W45-'CN FD C'!W45*EurCall!W44)/'CN FD alpha'!W45</f>
        <v>2.064182589230271</v>
      </c>
      <c r="X45" s="22">
        <f>('CN FD S'!X45-'CN FD C'!X45*EurCall!X44)/'CN FD alpha'!X45</f>
        <v>2.0217771742131787</v>
      </c>
      <c r="Y45" s="22">
        <f>('CN FD S'!Y45-'CN FD C'!Y45*EurCall!Y44)/'CN FD alpha'!Y45</f>
        <v>1.9788045487909736</v>
      </c>
      <c r="Z45" s="22">
        <f>('CN FD S'!Z45-'CN FD C'!Z45*EurCall!Z44)/'CN FD alpha'!Z45</f>
        <v>1.9352313369986869</v>
      </c>
      <c r="AA45" s="22">
        <f>('CN FD S'!AA45-'CN FD C'!AA45*EurCall!AA44)/'CN FD alpha'!AA45</f>
        <v>1.8910206607006934</v>
      </c>
      <c r="AB45" s="22">
        <f>('CN FD S'!AB45-'CN FD C'!AB45*EurCall!AB44)/'CN FD alpha'!AB45</f>
        <v>1.8461315999905215</v>
      </c>
      <c r="AC45" s="22">
        <f>('CN FD S'!AC45-'CN FD C'!AC45*EurCall!AC44)/'CN FD alpha'!AC45</f>
        <v>1.8005185445998901</v>
      </c>
      <c r="AD45" s="22">
        <f>('CN FD S'!AD45-'CN FD C'!AD45*EurCall!AD44)/'CN FD alpha'!AD45</f>
        <v>1.7541304098296231</v>
      </c>
      <c r="AE45" s="22">
        <f>('CN FD S'!AE45-'CN FD C'!AE45*EurCall!AE44)/'CN FD alpha'!AE45</f>
        <v>1.7069096832374224</v>
      </c>
      <c r="AF45" s="22">
        <f>('CN FD S'!AF45-'CN FD C'!AF45*EurCall!AF44)/'CN FD alpha'!AF45</f>
        <v>1.6587912588706124</v>
      </c>
      <c r="AG45" s="22">
        <f>('CN FD S'!AG45-'CN FD C'!AG45*EurCall!AG44)/'CN FD alpha'!AG45</f>
        <v>1.6097010035323331</v>
      </c>
      <c r="AH45" s="22">
        <f>('CN FD S'!AH45-'CN FD C'!AH45*EurCall!AH44)/'CN FD alpha'!AH45</f>
        <v>1.5595539835095131</v>
      </c>
      <c r="AI45" s="22">
        <f>('CN FD S'!AI45-'CN FD C'!AI45*EurCall!AI44)/'CN FD alpha'!AI45</f>
        <v>1.5082522591625258</v>
      </c>
      <c r="AJ45" s="22">
        <f>('CN FD S'!AJ45-'CN FD C'!AJ45*EurCall!AJ44)/'CN FD alpha'!AJ45</f>
        <v>1.4556821271697664</v>
      </c>
      <c r="AK45" s="22">
        <f>('CN FD S'!AK45-'CN FD C'!AK45*EurCall!AK44)/'CN FD alpha'!AK45</f>
        <v>1.4017106538855724</v>
      </c>
      <c r="AL45" s="22">
        <f>('CN FD S'!AL45-'CN FD C'!AL45*EurCall!AL44)/'CN FD alpha'!AL45</f>
        <v>1.3461812953309829</v>
      </c>
      <c r="AM45" s="22">
        <f>('CN FD S'!AM45-'CN FD C'!AM45*EurCall!AM44)/'CN FD alpha'!AM45</f>
        <v>1.2889083359398437</v>
      </c>
      <c r="AN45" s="22">
        <f>('CN FD S'!AN45-'CN FD C'!AN45*EurCall!AN44)/'CN FD alpha'!AN45</f>
        <v>1.2296697941547017</v>
      </c>
      <c r="AO45" s="22">
        <f>('CN FD S'!AO45-'CN FD C'!AO45*EurCall!AO44)/'CN FD alpha'!AO45</f>
        <v>1.1681983313526323</v>
      </c>
      <c r="AP45" s="22">
        <f>('CN FD S'!AP45-'CN FD C'!AP45*EurCall!AP44)/'CN FD alpha'!AP45</f>
        <v>1.1041695520141375</v>
      </c>
      <c r="AQ45" s="22">
        <f>('CN FD S'!AQ45-'CN FD C'!AQ45*EurCall!AQ44)/'CN FD alpha'!AQ45</f>
        <v>1.0371868848945354</v>
      </c>
      <c r="AR45" s="22">
        <f>('CN FD S'!AR45-'CN FD C'!AR45*EurCall!AR44)/'CN FD alpha'!AR45</f>
        <v>0.96676197014822696</v>
      </c>
      <c r="AS45" s="22">
        <f>('CN FD S'!AS45-'CN FD C'!AS45*EurCall!AS44)/'CN FD alpha'!AS45</f>
        <v>0.89228912279560813</v>
      </c>
      <c r="AT45" s="22">
        <f>('CN FD S'!AT45-'CN FD C'!AT45*EurCall!AT44)/'CN FD alpha'!AT45</f>
        <v>0.81301196730855274</v>
      </c>
      <c r="AU45" s="22">
        <f>('CN FD S'!AU45-'CN FD C'!AU45*EurCall!AU44)/'CN FD alpha'!AU45</f>
        <v>0.72797969893455794</v>
      </c>
      <c r="AV45" s="22">
        <f>('CN FD S'!AV45-'CN FD C'!AV45*EurCall!AV44)/'CN FD alpha'!AV45</f>
        <v>0.6359895669171246</v>
      </c>
      <c r="AW45" s="22">
        <f>('CN FD S'!AW45-'CN FD C'!AW45*EurCall!AW44)/'CN FD alpha'!AW45</f>
        <v>0.53551101434451553</v>
      </c>
      <c r="AX45" s="22">
        <f>('CN FD S'!AX45-'CN FD C'!AX45*EurCall!AX44)/'CN FD alpha'!AX45</f>
        <v>0.42458534169779821</v>
      </c>
      <c r="AY45" s="22">
        <f>('CN FD S'!AY45-'CN FD C'!AY45*EurCall!AY44)/'CN FD alpha'!AY45</f>
        <v>0.30069263973849453</v>
      </c>
      <c r="AZ45" s="22">
        <f>('CN FD S'!AZ45-'CN FD C'!AZ45*EurCall!AZ44)/'CN FD alpha'!AZ45</f>
        <v>0.16057486169184967</v>
      </c>
      <c r="BA45" s="6">
        <f t="shared" si="1"/>
        <v>0</v>
      </c>
    </row>
    <row r="46" spans="1:53" x14ac:dyDescent="0.2">
      <c r="A46" s="15">
        <f t="shared" si="2"/>
        <v>19</v>
      </c>
      <c r="B46" s="16">
        <f t="shared" si="0"/>
        <v>38</v>
      </c>
      <c r="C46" s="22">
        <f>('CN FD S'!C46-'CN FD C'!C46*EurCall!C45)/'CN FD alpha'!C46</f>
        <v>1.7468401112892118</v>
      </c>
      <c r="D46" s="22">
        <f>('CN FD S'!D46-'CN FD C'!D46*EurCall!D45)/'CN FD alpha'!D46</f>
        <v>1.7155091243769993</v>
      </c>
      <c r="E46" s="22">
        <f>('CN FD S'!E46-'CN FD C'!E46*EurCall!E45)/'CN FD alpha'!E46</f>
        <v>1.6840052901100862</v>
      </c>
      <c r="F46" s="22">
        <f>('CN FD S'!F46-'CN FD C'!F46*EurCall!F45)/'CN FD alpha'!F46</f>
        <v>1.6523242186671394</v>
      </c>
      <c r="G46" s="22">
        <f>('CN FD S'!G46-'CN FD C'!G46*EurCall!G45)/'CN FD alpha'!G46</f>
        <v>1.6204613387650288</v>
      </c>
      <c r="H46" s="22">
        <f>('CN FD S'!H46-'CN FD C'!H46*EurCall!H45)/'CN FD alpha'!H46</f>
        <v>1.5884118885602849</v>
      </c>
      <c r="I46" s="22">
        <f>('CN FD S'!I46-'CN FD C'!I46*EurCall!I45)/'CN FD alpha'!I46</f>
        <v>1.5561709062091829</v>
      </c>
      <c r="J46" s="22">
        <f>('CN FD S'!J46-'CN FD C'!J46*EurCall!J45)/'CN FD alpha'!J46</f>
        <v>1.5237332201304497</v>
      </c>
      <c r="K46" s="22">
        <f>('CN FD S'!K46-'CN FD C'!K46*EurCall!K45)/'CN FD alpha'!K46</f>
        <v>1.4910934390369539</v>
      </c>
      <c r="L46" s="22">
        <f>('CN FD S'!L46-'CN FD C'!L46*EurCall!L45)/'CN FD alpha'!L46</f>
        <v>1.4582459418322096</v>
      </c>
      <c r="M46" s="22">
        <f>('CN FD S'!M46-'CN FD C'!M46*EurCall!M45)/'CN FD alpha'!M46</f>
        <v>1.4251848675063392</v>
      </c>
      <c r="N46" s="22">
        <f>('CN FD S'!N46-'CN FD C'!N46*EurCall!N45)/'CN FD alpha'!N46</f>
        <v>1.39190410521702</v>
      </c>
      <c r="O46" s="22">
        <f>('CN FD S'!O46-'CN FD C'!O46*EurCall!O45)/'CN FD alpha'!O46</f>
        <v>1.3583972848075456</v>
      </c>
      <c r="P46" s="22">
        <f>('CN FD S'!P46-'CN FD C'!P46*EurCall!P45)/'CN FD alpha'!P46</f>
        <v>1.3246577681012106</v>
      </c>
      <c r="Q46" s="22">
        <f>('CN FD S'!Q46-'CN FD C'!Q46*EurCall!Q45)/'CN FD alpha'!Q46</f>
        <v>1.2906786414249367</v>
      </c>
      <c r="R46" s="22">
        <f>('CN FD S'!R46-'CN FD C'!R46*EurCall!R45)/'CN FD alpha'!R46</f>
        <v>1.2564527099634462</v>
      </c>
      <c r="S46" s="22">
        <f>('CN FD S'!S46-'CN FD C'!S46*EurCall!S45)/'CN FD alpha'!S46</f>
        <v>1.2219724947389314</v>
      </c>
      <c r="T46" s="22">
        <f>('CN FD S'!T46-'CN FD C'!T46*EurCall!T45)/'CN FD alpha'!T46</f>
        <v>1.1872302332637754</v>
      </c>
      <c r="U46" s="22">
        <f>('CN FD S'!U46-'CN FD C'!U46*EurCall!U45)/'CN FD alpha'!U46</f>
        <v>1.1522178852435205</v>
      </c>
      <c r="V46" s="22">
        <f>('CN FD S'!V46-'CN FD C'!V46*EurCall!V45)/'CN FD alpha'!V46</f>
        <v>1.1169271451375735</v>
      </c>
      <c r="W46" s="22">
        <f>('CN FD S'!W46-'CN FD C'!W46*EurCall!W45)/'CN FD alpha'!W46</f>
        <v>1.0813494639470325</v>
      </c>
      <c r="X46" s="22">
        <f>('CN FD S'!X46-'CN FD C'!X46*EurCall!X45)/'CN FD alpha'!X46</f>
        <v>1.0454760833332453</v>
      </c>
      <c r="Y46" s="22">
        <f>('CN FD S'!Y46-'CN FD C'!Y46*EurCall!Y45)/'CN FD alpha'!Y46</f>
        <v>1.0092980861307081</v>
      </c>
      <c r="Z46" s="22">
        <f>('CN FD S'!Z46-'CN FD C'!Z46*EurCall!Z45)/'CN FD alpha'!Z46</f>
        <v>0.97280646857401931</v>
      </c>
      <c r="AA46" s="22">
        <f>('CN FD S'!AA46-'CN FD C'!AA46*EurCall!AA45)/'CN FD alpha'!AA46</f>
        <v>0.93599224120348512</v>
      </c>
      <c r="AB46" s="22">
        <f>('CN FD S'!AB46-'CN FD C'!AB46*EurCall!AB45)/'CN FD alpha'!AB46</f>
        <v>0.89884656756972692</v>
      </c>
      <c r="AC46" s="22">
        <f>('CN FD S'!AC46-'CN FD C'!AC46*EurCall!AC45)/'CN FD alpha'!AC46</f>
        <v>0.86136095268539759</v>
      </c>
      <c r="AD46" s="22">
        <f>('CN FD S'!AD46-'CN FD C'!AD46*EurCall!AD45)/'CN FD alpha'!AD46</f>
        <v>0.8235274968847478</v>
      </c>
      <c r="AE46" s="22">
        <f>('CN FD S'!AE46-'CN FD C'!AE46*EurCall!AE45)/'CN FD alpha'!AE46</f>
        <v>0.78533923563067021</v>
      </c>
      <c r="AF46" s="22">
        <f>('CN FD S'!AF46-'CN FD C'!AF46*EurCall!AF45)/'CN FD alpha'!AF46</f>
        <v>0.74679059222645849</v>
      </c>
      <c r="AG46" s="22">
        <f>('CN FD S'!AG46-'CN FD C'!AG46*EurCall!AG45)/'CN FD alpha'!AG46</f>
        <v>0.70787797883925618</v>
      </c>
      <c r="AH46" s="22">
        <f>('CN FD S'!AH46-'CN FD C'!AH46*EurCall!AH45)/'CN FD alpha'!AH46</f>
        <v>0.66860059237836433</v>
      </c>
      <c r="AI46" s="22">
        <f>('CN FD S'!AI46-'CN FD C'!AI46*EurCall!AI45)/'CN FD alpha'!AI46</f>
        <v>0.62896146646284701</v>
      </c>
      <c r="AJ46" s="22">
        <f>('CN FD S'!AJ46-'CN FD C'!AJ46*EurCall!AJ45)/'CN FD alpha'!AJ46</f>
        <v>0.58896886011339844</v>
      </c>
      <c r="AK46" s="22">
        <f>('CN FD S'!AK46-'CN FD C'!AK46*EurCall!AK45)/'CN FD alpha'!AK46</f>
        <v>0.54863808944852621</v>
      </c>
      <c r="AL46" s="22">
        <f>('CN FD S'!AL46-'CN FD C'!AL46*EurCall!AL45)/'CN FD alpha'!AL46</f>
        <v>0.50799394259897868</v>
      </c>
      <c r="AM46" s="22">
        <f>('CN FD S'!AM46-'CN FD C'!AM46*EurCall!AM45)/'CN FD alpha'!AM46</f>
        <v>0.467073863001847</v>
      </c>
      <c r="AN46" s="22">
        <f>('CN FD S'!AN46-'CN FD C'!AN46*EurCall!AN45)/'CN FD alpha'!AN46</f>
        <v>0.42593214583256955</v>
      </c>
      <c r="AO46" s="22">
        <f>('CN FD S'!AO46-'CN FD C'!AO46*EurCall!AO45)/'CN FD alpha'!AO46</f>
        <v>0.3846454714354598</v>
      </c>
      <c r="AP46" s="22">
        <f>('CN FD S'!AP46-'CN FD C'!AP46*EurCall!AP45)/'CN FD alpha'!AP46</f>
        <v>0.34332020471490859</v>
      </c>
      <c r="AQ46" s="22">
        <f>('CN FD S'!AQ46-'CN FD C'!AQ46*EurCall!AQ45)/'CN FD alpha'!AQ46</f>
        <v>0.30210202924240392</v>
      </c>
      <c r="AR46" s="22">
        <f>('CN FD S'!AR46-'CN FD C'!AR46*EurCall!AR45)/'CN FD alpha'!AR46</f>
        <v>0.26118867096742032</v>
      </c>
      <c r="AS46" s="22">
        <f>('CN FD S'!AS46-'CN FD C'!AS46*EurCall!AS45)/'CN FD alpha'!AS46</f>
        <v>0.22084671452055255</v>
      </c>
      <c r="AT46" s="22">
        <f>('CN FD S'!AT46-'CN FD C'!AT46*EurCall!AT45)/'CN FD alpha'!AT46</f>
        <v>0.18143384615470545</v>
      </c>
      <c r="AU46" s="22">
        <f>('CN FD S'!AU46-'CN FD C'!AU46*EurCall!AU45)/'CN FD alpha'!AU46</f>
        <v>0.14342829960940048</v>
      </c>
      <c r="AV46" s="22">
        <f>('CN FD S'!AV46-'CN FD C'!AV46*EurCall!AV45)/'CN FD alpha'!AV46</f>
        <v>0.10746787260291785</v>
      </c>
      <c r="AW46" s="22">
        <f>('CN FD S'!AW46-'CN FD C'!AW46*EurCall!AW45)/'CN FD alpha'!AW46</f>
        <v>7.4401673476125238E-2</v>
      </c>
      <c r="AX46" s="22">
        <f>('CN FD S'!AX46-'CN FD C'!AX46*EurCall!AX45)/'CN FD alpha'!AX46</f>
        <v>4.5358818855101284E-2</v>
      </c>
      <c r="AY46" s="22">
        <f>('CN FD S'!AY46-'CN FD C'!AY46*EurCall!AY45)/'CN FD alpha'!AY46</f>
        <v>2.1839727474806059E-2</v>
      </c>
      <c r="AZ46" s="22">
        <f>('CN FD S'!AZ46-'CN FD C'!AZ46*EurCall!AZ45)/'CN FD alpha'!AZ46</f>
        <v>5.8375688977464714E-3</v>
      </c>
      <c r="BA46" s="6">
        <f t="shared" si="1"/>
        <v>0</v>
      </c>
    </row>
    <row r="47" spans="1:53" x14ac:dyDescent="0.2">
      <c r="A47" s="15">
        <f t="shared" si="2"/>
        <v>18</v>
      </c>
      <c r="B47" s="16">
        <f t="shared" ref="B47:B65" si="3">Smin+dS*A47</f>
        <v>36</v>
      </c>
      <c r="C47" s="22">
        <f>('CN FD S'!C47-'CN FD C'!C47*EurCall!C46)/'CN FD alpha'!C47</f>
        <v>0.96800093259555609</v>
      </c>
      <c r="D47" s="22">
        <f>('CN FD S'!D47-'CN FD C'!D47*EurCall!D46)/'CN FD alpha'!D47</f>
        <v>0.94341643886555071</v>
      </c>
      <c r="E47" s="22">
        <f>('CN FD S'!E47-'CN FD C'!E47*EurCall!E46)/'CN FD alpha'!E47</f>
        <v>0.91881094905376315</v>
      </c>
      <c r="F47" s="22">
        <f>('CN FD S'!F47-'CN FD C'!F47*EurCall!F46)/'CN FD alpha'!F47</f>
        <v>0.89418689957118214</v>
      </c>
      <c r="G47" s="22">
        <f>('CN FD S'!G47-'CN FD C'!G47*EurCall!G46)/'CN FD alpha'!G47</f>
        <v>0.86954699032147054</v>
      </c>
      <c r="H47" s="22">
        <f>('CN FD S'!H47-'CN FD C'!H47*EurCall!H46)/'CN FD alpha'!H47</f>
        <v>0.84489421271203602</v>
      </c>
      <c r="I47" s="22">
        <f>('CN FD S'!I47-'CN FD C'!I47*EurCall!I46)/'CN FD alpha'!I47</f>
        <v>0.82023188096237198</v>
      </c>
      <c r="J47" s="22">
        <f>('CN FD S'!J47-'CN FD C'!J47*EurCall!J46)/'CN FD alpha'!J47</f>
        <v>0.79556366713618554</v>
      </c>
      <c r="K47" s="22">
        <f>('CN FD S'!K47-'CN FD C'!K47*EurCall!K46)/'CN FD alpha'!K47</f>
        <v>0.77089364038223962</v>
      </c>
      <c r="L47" s="22">
        <f>('CN FD S'!L47-'CN FD C'!L47*EurCall!L46)/'CN FD alpha'!L47</f>
        <v>0.74622631093520086</v>
      </c>
      <c r="M47" s="22">
        <f>('CN FD S'!M47-'CN FD C'!M47*EurCall!M46)/'CN FD alpha'!M47</f>
        <v>0.72156667950299569</v>
      </c>
      <c r="N47" s="22">
        <f>('CN FD S'!N47-'CN FD C'!N47*EurCall!N46)/'CN FD alpha'!N47</f>
        <v>0.69692029275222434</v>
      </c>
      <c r="O47" s="22">
        <f>('CN FD S'!O47-'CN FD C'!O47*EurCall!O46)/'CN FD alpha'!O47</f>
        <v>0.67229330569898593</v>
      </c>
      <c r="P47" s="22">
        <f>('CN FD S'!P47-'CN FD C'!P47*EurCall!P46)/'CN FD alpha'!P47</f>
        <v>0.64769255191994735</v>
      </c>
      <c r="Q47" s="22">
        <f>('CN FD S'!Q47-'CN FD C'!Q47*EurCall!Q46)/'CN FD alpha'!Q47</f>
        <v>0.62312562261838556</v>
      </c>
      <c r="R47" s="22">
        <f>('CN FD S'!R47-'CN FD C'!R47*EurCall!R46)/'CN FD alpha'!R47</f>
        <v>0.59860095571274574</v>
      </c>
      <c r="S47" s="22">
        <f>('CN FD S'!S47-'CN FD C'!S47*EurCall!S46)/'CN FD alpha'!S47</f>
        <v>0.57412793626106107</v>
      </c>
      <c r="T47" s="22">
        <f>('CN FD S'!T47-'CN FD C'!T47*EurCall!T46)/'CN FD alpha'!T47</f>
        <v>0.54971700969273829</v>
      </c>
      <c r="U47" s="22">
        <f>('CN FD S'!U47-'CN FD C'!U47*EurCall!U46)/'CN FD alpha'!U47</f>
        <v>0.52537980948811325</v>
      </c>
      <c r="V47" s="22">
        <f>('CN FD S'!V47-'CN FD C'!V47*EurCall!V46)/'CN FD alpha'!V47</f>
        <v>0.50112930112265663</v>
      </c>
      <c r="W47" s="22">
        <f>('CN FD S'!W47-'CN FD C'!W47*EurCall!W46)/'CN FD alpha'!W47</f>
        <v>0.47697994427147178</v>
      </c>
      <c r="X47" s="22">
        <f>('CN FD S'!X47-'CN FD C'!X47*EurCall!X46)/'CN FD alpha'!X47</f>
        <v>0.45294787544235859</v>
      </c>
      <c r="Y47" s="22">
        <f>('CN FD S'!Y47-'CN FD C'!Y47*EurCall!Y46)/'CN FD alpha'!Y47</f>
        <v>0.4290511133595008</v>
      </c>
      <c r="Z47" s="22">
        <f>('CN FD S'!Z47-'CN FD C'!Z47*EurCall!Z46)/'CN FD alpha'!Z47</f>
        <v>0.40530978953596819</v>
      </c>
      <c r="AA47" s="22">
        <f>('CN FD S'!AA47-'CN FD C'!AA47*EurCall!AA46)/'CN FD alpha'!AA47</f>
        <v>0.38174640652455383</v>
      </c>
      <c r="AB47" s="22">
        <f>('CN FD S'!AB47-'CN FD C'!AB47*EurCall!AB46)/'CN FD alpha'!AB47</f>
        <v>0.35838612628426753</v>
      </c>
      <c r="AC47" s="22">
        <f>('CN FD S'!AC47-'CN FD C'!AC47*EurCall!AC46)/'CN FD alpha'!AC47</f>
        <v>0.33525709088954631</v>
      </c>
      <c r="AD47" s="22">
        <f>('CN FD S'!AD47-'CN FD C'!AD47*EurCall!AD46)/'CN FD alpha'!AD47</f>
        <v>0.31239077736475956</v>
      </c>
      <c r="AE47" s="22">
        <f>('CN FD S'!AE47-'CN FD C'!AE47*EurCall!AE46)/'CN FD alpha'!AE47</f>
        <v>0.28982238764227564</v>
      </c>
      <c r="AF47" s="22">
        <f>('CN FD S'!AF47-'CN FD C'!AF47*EurCall!AF46)/'CN FD alpha'!AF47</f>
        <v>0.26759127337262639</v>
      </c>
      <c r="AG47" s="22">
        <f>('CN FD S'!AG47-'CN FD C'!AG47*EurCall!AG46)/'CN FD alpha'!AG47</f>
        <v>0.24574139336036518</v>
      </c>
      <c r="AH47" s="22">
        <f>('CN FD S'!AH47-'CN FD C'!AH47*EurCall!AH46)/'CN FD alpha'!AH47</f>
        <v>0.22432179848593031</v>
      </c>
      <c r="AI47" s="22">
        <f>('CN FD S'!AI47-'CN FD C'!AI47*EurCall!AI46)/'CN FD alpha'!AI47</f>
        <v>0.20338713472998882</v>
      </c>
      <c r="AJ47" s="22">
        <f>('CN FD S'!AJ47-'CN FD C'!AJ47*EurCall!AJ46)/'CN FD alpha'!AJ47</f>
        <v>0.18299814883643165</v>
      </c>
      <c r="AK47" s="22">
        <f>('CN FD S'!AK47-'CN FD C'!AK47*EurCall!AK46)/'CN FD alpha'!AK47</f>
        <v>0.16322217254721821</v>
      </c>
      <c r="AL47" s="22">
        <f>('CN FD S'!AL47-'CN FD C'!AL47*EurCall!AL46)/'CN FD alpha'!AL47</f>
        <v>0.14413354928757019</v>
      </c>
      <c r="AM47" s="22">
        <f>('CN FD S'!AM47-'CN FD C'!AM47*EurCall!AM46)/'CN FD alpha'!AM47</f>
        <v>0.12581395041747412</v>
      </c>
      <c r="AN47" s="22">
        <f>('CN FD S'!AN47-'CN FD C'!AN47*EurCall!AN46)/'CN FD alpha'!AN47</f>
        <v>0.10835250499877026</v>
      </c>
      <c r="AO47" s="22">
        <f>('CN FD S'!AO47-'CN FD C'!AO47*EurCall!AO46)/'CN FD alpha'!AO47</f>
        <v>9.1845635167585996E-2</v>
      </c>
      <c r="AP47" s="22">
        <f>('CN FD S'!AP47-'CN FD C'!AP47*EurCall!AP46)/'CN FD alpha'!AP47</f>
        <v>7.6396445563758464E-2</v>
      </c>
      <c r="AQ47" s="22">
        <f>('CN FD S'!AQ47-'CN FD C'!AQ47*EurCall!AQ46)/'CN FD alpha'!AQ47</f>
        <v>6.2113455693894287E-2</v>
      </c>
      <c r="AR47" s="22">
        <f>('CN FD S'!AR47-'CN FD C'!AR47*EurCall!AR46)/'CN FD alpha'!AR47</f>
        <v>4.9108382991226607E-2</v>
      </c>
      <c r="AS47" s="22">
        <f>('CN FD S'!AS47-'CN FD C'!AS47*EurCall!AS46)/'CN FD alpha'!AS47</f>
        <v>3.7492574139100961E-2</v>
      </c>
      <c r="AT47" s="22">
        <f>('CN FD S'!AT47-'CN FD C'!AT47*EurCall!AT46)/'CN FD alpha'!AT47</f>
        <v>2.7371532785597303E-2</v>
      </c>
      <c r="AU47" s="22">
        <f>('CN FD S'!AU47-'CN FD C'!AU47*EurCall!AU46)/'CN FD alpha'!AU47</f>
        <v>1.8836789410897836E-2</v>
      </c>
      <c r="AV47" s="22">
        <f>('CN FD S'!AV47-'CN FD C'!AV47*EurCall!AV46)/'CN FD alpha'!AV47</f>
        <v>1.1954085384671093E-2</v>
      </c>
      <c r="AW47" s="22">
        <f>('CN FD S'!AW47-'CN FD C'!AW47*EurCall!AW46)/'CN FD alpha'!AW47</f>
        <v>6.7464733335949574E-3</v>
      </c>
      <c r="AX47" s="22">
        <f>('CN FD S'!AX47-'CN FD C'!AX47*EurCall!AX46)/'CN FD alpha'!AX47</f>
        <v>3.1704363563221003E-3</v>
      </c>
      <c r="AY47" s="22">
        <f>('CN FD S'!AY47-'CN FD C'!AY47*EurCall!AY46)/'CN FD alpha'!AY47</f>
        <v>1.0824542382613244E-3</v>
      </c>
      <c r="AZ47" s="22">
        <f>('CN FD S'!AZ47-'CN FD C'!AZ47*EurCall!AZ46)/'CN FD alpha'!AZ47</f>
        <v>1.925347349035732E-4</v>
      </c>
      <c r="BA47" s="6">
        <f t="shared" si="1"/>
        <v>0</v>
      </c>
    </row>
    <row r="48" spans="1:53" x14ac:dyDescent="0.2">
      <c r="A48" s="15">
        <f t="shared" si="2"/>
        <v>17</v>
      </c>
      <c r="B48" s="16">
        <f t="shared" si="3"/>
        <v>34</v>
      </c>
      <c r="C48" s="22">
        <f>('CN FD S'!C48-'CN FD C'!C48*EurCall!C47)/'CN FD alpha'!C48</f>
        <v>0.47102632122055471</v>
      </c>
      <c r="D48" s="22">
        <f>('CN FD S'!D48-'CN FD C'!D48*EurCall!D47)/'CN FD alpha'!D48</f>
        <v>0.45453955218818648</v>
      </c>
      <c r="E48" s="22">
        <f>('CN FD S'!E48-'CN FD C'!E48*EurCall!E47)/'CN FD alpha'!E48</f>
        <v>0.43817212514643811</v>
      </c>
      <c r="F48" s="22">
        <f>('CN FD S'!F48-'CN FD C'!F48*EurCall!F47)/'CN FD alpha'!F48</f>
        <v>0.42193035532441975</v>
      </c>
      <c r="G48" s="22">
        <f>('CN FD S'!G48-'CN FD C'!G48*EurCall!G47)/'CN FD alpha'!G48</f>
        <v>0.40582090446865293</v>
      </c>
      <c r="H48" s="22">
        <f>('CN FD S'!H48-'CN FD C'!H48*EurCall!H47)/'CN FD alpha'!H48</f>
        <v>0.38985080084438883</v>
      </c>
      <c r="I48" s="22">
        <f>('CN FD S'!I48-'CN FD C'!I48*EurCall!I47)/'CN FD alpha'!I48</f>
        <v>0.37402746014751553</v>
      </c>
      <c r="J48" s="22">
        <f>('CN FD S'!J48-'CN FD C'!J48*EurCall!J47)/'CN FD alpha'!J48</f>
        <v>0.35835870728957331</v>
      </c>
      <c r="K48" s="22">
        <f>('CN FD S'!K48-'CN FD C'!K48*EurCall!K47)/'CN FD alpha'!K48</f>
        <v>0.34285279899391158</v>
      </c>
      <c r="L48" s="22">
        <f>('CN FD S'!L48-'CN FD C'!L48*EurCall!L47)/'CN FD alpha'!L48</f>
        <v>0.32751844711034961</v>
      </c>
      <c r="M48" s="22">
        <f>('CN FD S'!M48-'CN FD C'!M48*EurCall!M47)/'CN FD alpha'!M48</f>
        <v>0.31236484251755287</v>
      </c>
      <c r="N48" s="22">
        <f>('CN FD S'!N48-'CN FD C'!N48*EurCall!N47)/'CN FD alpha'!N48</f>
        <v>0.29740167943518497</v>
      </c>
      <c r="O48" s="22">
        <f>('CN FD S'!O48-'CN FD C'!O48*EurCall!O47)/'CN FD alpha'!O48</f>
        <v>0.2826391799099347</v>
      </c>
      <c r="P48" s="22">
        <f>('CN FD S'!P48-'CN FD C'!P48*EurCall!P47)/'CN FD alpha'!P48</f>
        <v>0.26808811816864275</v>
      </c>
      <c r="Q48" s="22">
        <f>('CN FD S'!Q48-'CN FD C'!Q48*EurCall!Q47)/'CN FD alpha'!Q48</f>
        <v>0.25375984444548361</v>
      </c>
      <c r="R48" s="22">
        <f>('CN FD S'!R48-'CN FD C'!R48*EurCall!R47)/'CN FD alpha'!R48</f>
        <v>0.23966630778563464</v>
      </c>
      <c r="S48" s="22">
        <f>('CN FD S'!S48-'CN FD C'!S48*EurCall!S47)/'CN FD alpha'!S48</f>
        <v>0.22582007720177594</v>
      </c>
      <c r="T48" s="22">
        <f>('CN FD S'!T48-'CN FD C'!T48*EurCall!T47)/'CN FD alpha'!T48</f>
        <v>0.21223436040832774</v>
      </c>
      <c r="U48" s="22">
        <f>('CN FD S'!U48-'CN FD C'!U48*EurCall!U47)/'CN FD alpha'!U48</f>
        <v>0.19892301917727617</v>
      </c>
      <c r="V48" s="22">
        <f>('CN FD S'!V48-'CN FD C'!V48*EurCall!V47)/'CN FD alpha'!V48</f>
        <v>0.18590058014398042</v>
      </c>
      <c r="W48" s="22">
        <f>('CN FD S'!W48-'CN FD C'!W48*EurCall!W47)/'CN FD alpha'!W48</f>
        <v>0.17318223963625312</v>
      </c>
      <c r="X48" s="22">
        <f>('CN FD S'!X48-'CN FD C'!X48*EurCall!X47)/'CN FD alpha'!X48</f>
        <v>0.16078386079963033</v>
      </c>
      <c r="Y48" s="22">
        <f>('CN FD S'!Y48-'CN FD C'!Y48*EurCall!Y47)/'CN FD alpha'!Y48</f>
        <v>0.14872196094023746</v>
      </c>
      <c r="Z48" s="22">
        <f>('CN FD S'!Z48-'CN FD C'!Z48*EurCall!Z47)/'CN FD alpha'!Z48</f>
        <v>0.13701368659820382</v>
      </c>
      <c r="AA48" s="22">
        <f>('CN FD S'!AA48-'CN FD C'!AA48*EurCall!AA47)/'CN FD alpha'!AA48</f>
        <v>0.12567677339384511</v>
      </c>
      <c r="AB48" s="22">
        <f>('CN FD S'!AB48-'CN FD C'!AB48*EurCall!AB47)/'CN FD alpha'!AB48</f>
        <v>0.11472948715163525</v>
      </c>
      <c r="AC48" s="22">
        <f>('CN FD S'!AC48-'CN FD C'!AC48*EurCall!AC47)/'CN FD alpha'!AC48</f>
        <v>0.10419054220128227</v>
      </c>
      <c r="AD48" s="22">
        <f>('CN FD S'!AD48-'CN FD C'!AD48*EurCall!AD47)/'CN FD alpha'!AD48</f>
        <v>9.4078992082554894E-2</v>
      </c>
      <c r="AE48" s="22">
        <f>('CN FD S'!AE48-'CN FD C'!AE48*EurCall!AE47)/'CN FD alpha'!AE48</f>
        <v>8.4414087148109856E-2</v>
      </c>
      <c r="AF48" s="22">
        <f>('CN FD S'!AF48-'CN FD C'!AF48*EurCall!AF47)/'CN FD alpha'!AF48</f>
        <v>7.5215092782333251E-2</v>
      </c>
      <c r="AG48" s="22">
        <f>('CN FD S'!AG48-'CN FD C'!AG48*EurCall!AG47)/'CN FD alpha'!AG48</f>
        <v>6.6501061162862876E-2</v>
      </c>
      <c r="AH48" s="22">
        <f>('CN FD S'!AH48-'CN FD C'!AH48*EurCall!AH47)/'CN FD alpha'!AH48</f>
        <v>5.8290548732431814E-2</v>
      </c>
      <c r="AI48" s="22">
        <f>('CN FD S'!AI48-'CN FD C'!AI48*EurCall!AI47)/'CN FD alpha'!AI48</f>
        <v>5.0601270896231759E-2</v>
      </c>
      <c r="AJ48" s="22">
        <f>('CN FD S'!AJ48-'CN FD C'!AJ48*EurCall!AJ47)/'CN FD alpha'!AJ48</f>
        <v>4.3449685026493316E-2</v>
      </c>
      <c r="AK48" s="22">
        <f>('CN FD S'!AK48-'CN FD C'!AK48*EurCall!AK47)/'CN FD alpha'!AK48</f>
        <v>3.6850492807360372E-2</v>
      </c>
      <c r="AL48" s="22">
        <f>('CN FD S'!AL48-'CN FD C'!AL48*EurCall!AL47)/'CN FD alpha'!AL48</f>
        <v>3.0816053530193833E-2</v>
      </c>
      <c r="AM48" s="22">
        <f>('CN FD S'!AM48-'CN FD C'!AM48*EurCall!AM47)/'CN FD alpha'!AM48</f>
        <v>2.5355701496927213E-2</v>
      </c>
      <c r="AN48" s="22">
        <f>('CN FD S'!AN48-'CN FD C'!AN48*EurCall!AN47)/'CN FD alpha'!AN48</f>
        <v>2.047496369544104E-2</v>
      </c>
      <c r="AO48" s="22">
        <f>('CN FD S'!AO48-'CN FD C'!AO48*EurCall!AO47)/'CN FD alpha'!AO48</f>
        <v>1.6174679062344152E-2</v>
      </c>
      <c r="AP48" s="22">
        <f>('CN FD S'!AP48-'CN FD C'!AP48*EurCall!AP47)/'CN FD alpha'!AP48</f>
        <v>1.2450028902642648E-2</v>
      </c>
      <c r="AQ48" s="22">
        <f>('CN FD S'!AQ48-'CN FD C'!AQ48*EurCall!AQ47)/'CN FD alpha'!AQ48</f>
        <v>9.2895007214553963E-3</v>
      </c>
      <c r="AR48" s="22">
        <f>('CN FD S'!AR48-'CN FD C'!AR48*EurCall!AR47)/'CN FD alpha'!AR48</f>
        <v>6.67382667599274E-3</v>
      </c>
      <c r="AS48" s="22">
        <f>('CN FD S'!AS48-'CN FD C'!AS48*EurCall!AS47)/'CN FD alpha'!AS48</f>
        <v>4.5749656028665842E-3</v>
      </c>
      <c r="AT48" s="22">
        <f>('CN FD S'!AT48-'CN FD C'!AT48*EurCall!AT47)/'CN FD alpha'!AT48</f>
        <v>2.9552375823174186E-3</v>
      </c>
      <c r="AU48" s="22">
        <f>('CN FD S'!AU48-'CN FD C'!AU48*EurCall!AU47)/'CN FD alpha'!AU48</f>
        <v>1.7667770093048635E-3</v>
      </c>
      <c r="AV48" s="22">
        <f>('CN FD S'!AV48-'CN FD C'!AV48*EurCall!AV47)/'CN FD alpha'!AV48</f>
        <v>9.5155062591084215E-4</v>
      </c>
      <c r="AW48" s="22">
        <f>('CN FD S'!AW48-'CN FD C'!AW48*EurCall!AW47)/'CN FD alpha'!AW48</f>
        <v>4.4229975324222809E-4</v>
      </c>
      <c r="AX48" s="22">
        <f>('CN FD S'!AX48-'CN FD C'!AX48*EurCall!AX47)/'CN FD alpha'!AX48</f>
        <v>1.6492305013844904E-4</v>
      </c>
      <c r="AY48" s="22">
        <f>('CN FD S'!AY48-'CN FD C'!AY48*EurCall!AY47)/'CN FD alpha'!AY48</f>
        <v>4.3033838360181657E-5</v>
      </c>
      <c r="AZ48" s="22">
        <f>('CN FD S'!AZ48-'CN FD C'!AZ48*EurCall!AZ47)/'CN FD alpha'!AZ48</f>
        <v>5.7265264274284153E-6</v>
      </c>
      <c r="BA48" s="6">
        <f t="shared" ref="BA48:BA64" si="4">MAX(B48-K,0)</f>
        <v>0</v>
      </c>
    </row>
    <row r="49" spans="1:53" x14ac:dyDescent="0.2">
      <c r="A49" s="15">
        <f t="shared" si="2"/>
        <v>16</v>
      </c>
      <c r="B49" s="16">
        <f t="shared" si="3"/>
        <v>32</v>
      </c>
      <c r="C49" s="22">
        <f>('CN FD S'!C49-'CN FD C'!C49*EurCall!C48)/'CN FD alpha'!C49</f>
        <v>0.19717083831944995</v>
      </c>
      <c r="D49" s="22">
        <f>('CN FD S'!D49-'CN FD C'!D49*EurCall!D48)/'CN FD alpha'!D49</f>
        <v>0.18795515579684346</v>
      </c>
      <c r="E49" s="22">
        <f>('CN FD S'!E49-'CN FD C'!E49*EurCall!E48)/'CN FD alpha'!E49</f>
        <v>0.17891103565771338</v>
      </c>
      <c r="F49" s="22">
        <f>('CN FD S'!F49-'CN FD C'!F49*EurCall!F48)/'CN FD alpha'!F49</f>
        <v>0.17004310468842107</v>
      </c>
      <c r="G49" s="22">
        <f>('CN FD S'!G49-'CN FD C'!G49*EurCall!G48)/'CN FD alpha'!G49</f>
        <v>0.16135606846605099</v>
      </c>
      <c r="H49" s="22">
        <f>('CN FD S'!H49-'CN FD C'!H49*EurCall!H48)/'CN FD alpha'!H49</f>
        <v>0.15285470449592439</v>
      </c>
      <c r="I49" s="22">
        <f>('CN FD S'!I49-'CN FD C'!I49*EurCall!I48)/'CN FD alpha'!I49</f>
        <v>0.14454385392695515</v>
      </c>
      <c r="J49" s="22">
        <f>('CN FD S'!J49-'CN FD C'!J49*EurCall!J48)/'CN FD alpha'!J49</f>
        <v>0.13642841166460098</v>
      </c>
      <c r="K49" s="22">
        <f>('CN FD S'!K49-'CN FD C'!K49*EurCall!K48)/'CN FD alpha'!K49</f>
        <v>0.12851331468369917</v>
      </c>
      <c r="L49" s="22">
        <f>('CN FD S'!L49-'CN FD C'!L49*EurCall!L48)/'CN FD alpha'!L49</f>
        <v>0.12080352832525838</v>
      </c>
      <c r="M49" s="22">
        <f>('CN FD S'!M49-'CN FD C'!M49*EurCall!M48)/'CN FD alpha'!M49</f>
        <v>0.1133040303425424</v>
      </c>
      <c r="N49" s="22">
        <f>('CN FD S'!N49-'CN FD C'!N49*EurCall!N48)/'CN FD alpha'!N49</f>
        <v>0.10601979244285904</v>
      </c>
      <c r="O49" s="22">
        <f>('CN FD S'!O49-'CN FD C'!O49*EurCall!O48)/'CN FD alpha'!O49</f>
        <v>9.8955759052820683E-2</v>
      </c>
      <c r="P49" s="22">
        <f>('CN FD S'!P49-'CN FD C'!P49*EurCall!P48)/'CN FD alpha'!P49</f>
        <v>9.2116823017077659E-2</v>
      </c>
      <c r="Q49" s="22">
        <f>('CN FD S'!Q49-'CN FD C'!Q49*EurCall!Q48)/'CN FD alpha'!Q49</f>
        <v>8.5507797924453594E-2</v>
      </c>
      <c r="R49" s="22">
        <f>('CN FD S'!R49-'CN FD C'!R49*EurCall!R48)/'CN FD alpha'!R49</f>
        <v>7.913338674206824E-2</v>
      </c>
      <c r="S49" s="22">
        <f>('CN FD S'!S49-'CN FD C'!S49*EurCall!S48)/'CN FD alpha'!S49</f>
        <v>7.299814642874794E-2</v>
      </c>
      <c r="T49" s="22">
        <f>('CN FD S'!T49-'CN FD C'!T49*EurCall!T48)/'CN FD alpha'!T49</f>
        <v>6.7106448195472609E-2</v>
      </c>
      <c r="U49" s="22">
        <f>('CN FD S'!U49-'CN FD C'!U49*EurCall!U48)/'CN FD alpha'!U49</f>
        <v>6.1462433084882716E-2</v>
      </c>
      <c r="V49" s="22">
        <f>('CN FD S'!V49-'CN FD C'!V49*EurCall!V48)/'CN FD alpha'!V49</f>
        <v>5.6069962556562186E-2</v>
      </c>
      <c r="W49" s="22">
        <f>('CN FD S'!W49-'CN FD C'!W49*EurCall!W48)/'CN FD alpha'!W49</f>
        <v>5.0932563793097331E-2</v>
      </c>
      <c r="X49" s="22">
        <f>('CN FD S'!X49-'CN FD C'!X49*EurCall!X48)/'CN FD alpha'!X49</f>
        <v>4.6053369487648176E-2</v>
      </c>
      <c r="Y49" s="22">
        <f>('CN FD S'!Y49-'CN FD C'!Y49*EurCall!Y48)/'CN FD alpha'!Y49</f>
        <v>4.1435051941600833E-2</v>
      </c>
      <c r="Z49" s="22">
        <f>('CN FD S'!Z49-'CN FD C'!Z49*EurCall!Z48)/'CN FD alpha'!Z49</f>
        <v>3.7079751396333509E-2</v>
      </c>
      <c r="AA49" s="22">
        <f>('CN FD S'!AA49-'CN FD C'!AA49*EurCall!AA48)/'CN FD alpha'!AA49</f>
        <v>3.298899865274936E-2</v>
      </c>
      <c r="AB49" s="22">
        <f>('CN FD S'!AB49-'CN FD C'!AB49*EurCall!AB48)/'CN FD alpha'!AB49</f>
        <v>2.9163632203601391E-2</v>
      </c>
      <c r="AC49" s="22">
        <f>('CN FD S'!AC49-'CN FD C'!AC49*EurCall!AC48)/'CN FD alpha'!AC49</f>
        <v>2.5603710325470118E-2</v>
      </c>
      <c r="AD49" s="22">
        <f>('CN FD S'!AD49-'CN FD C'!AD49*EurCall!AD48)/'CN FD alpha'!AD49</f>
        <v>2.230841885936416E-2</v>
      </c>
      <c r="AE49" s="22">
        <f>('CN FD S'!AE49-'CN FD C'!AE49*EurCall!AE48)/'CN FD alpha'!AE49</f>
        <v>1.9275975762093441E-2</v>
      </c>
      <c r="AF49" s="22">
        <f>('CN FD S'!AF49-'CN FD C'!AF49*EurCall!AF48)/'CN FD alpha'!AF49</f>
        <v>1.650353394632011E-2</v>
      </c>
      <c r="AG49" s="22">
        <f>('CN FD S'!AG49-'CN FD C'!AG49*EurCall!AG48)/'CN FD alpha'!AG49</f>
        <v>1.398708445723537E-2</v>
      </c>
      <c r="AH49" s="22">
        <f>('CN FD S'!AH49-'CN FD C'!AH49*EurCall!AH48)/'CN FD alpha'!AH49</f>
        <v>1.1721362669204545E-2</v>
      </c>
      <c r="AI49" s="22">
        <f>('CN FD S'!AI49-'CN FD C'!AI49*EurCall!AI48)/'CN FD alpha'!AI49</f>
        <v>9.6997609355297405E-3</v>
      </c>
      <c r="AJ49" s="22">
        <f>('CN FD S'!AJ49-'CN FD C'!AJ49*EurCall!AJ48)/'CN FD alpha'!AJ49</f>
        <v>7.9142519936862242E-3</v>
      </c>
      <c r="AK49" s="22">
        <f>('CN FD S'!AK49-'CN FD C'!AK49*EurCall!AK48)/'CN FD alpha'!AK49</f>
        <v>6.3553284148169164E-3</v>
      </c>
      <c r="AL49" s="22">
        <f>('CN FD S'!AL49-'CN FD C'!AL49*EurCall!AL48)/'CN FD alpha'!AL49</f>
        <v>5.0119644760498253E-3</v>
      </c>
      <c r="AM49" s="22">
        <f>('CN FD S'!AM49-'CN FD C'!AM49*EurCall!AM48)/'CN FD alpha'!AM49</f>
        <v>3.8716079952484934E-3</v>
      </c>
      <c r="AN49" s="22">
        <f>('CN FD S'!AN49-'CN FD C'!AN49*EurCall!AN48)/'CN FD alpha'!AN49</f>
        <v>2.9202108404963855E-3</v>
      </c>
      <c r="AO49" s="22">
        <f>('CN FD S'!AO49-'CN FD C'!AO49*EurCall!AO48)/'CN FD alpha'!AO49</f>
        <v>2.1423079106347681E-3</v>
      </c>
      <c r="AP49" s="22">
        <f>('CN FD S'!AP49-'CN FD C'!AP49*EurCall!AP48)/'CN FD alpha'!AP49</f>
        <v>1.5211552190220318E-3</v>
      </c>
      <c r="AQ49" s="22">
        <f>('CN FD S'!AQ49-'CN FD C'!AQ49*EurCall!AQ48)/'CN FD alpha'!AQ49</f>
        <v>1.038938055898991E-3</v>
      </c>
      <c r="AR49" s="22">
        <f>('CN FD S'!AR49-'CN FD C'!AR49*EurCall!AR48)/'CN FD alpha'!AR49</f>
        <v>6.7705969011016415E-4</v>
      </c>
      <c r="AS49" s="22">
        <f>('CN FD S'!AS49-'CN FD C'!AS49*EurCall!AS48)/'CN FD alpha'!AS49</f>
        <v>4.1651916298585372E-4</v>
      </c>
      <c r="AT49" s="22">
        <f>('CN FD S'!AT49-'CN FD C'!AT49*EurCall!AT48)/'CN FD alpha'!AT49</f>
        <v>2.3838265206519861E-4</v>
      </c>
      <c r="AU49" s="22">
        <f>('CN FD S'!AU49-'CN FD C'!AU49*EurCall!AU48)/'CN FD alpha'!AU49</f>
        <v>1.2434553412216893E-4</v>
      </c>
      <c r="AV49" s="22">
        <f>('CN FD S'!AV49-'CN FD C'!AV49*EurCall!AV48)/'CN FD alpha'!AV49</f>
        <v>5.7370089384878224E-5</v>
      </c>
      <c r="AW49" s="22">
        <f>('CN FD S'!AW49-'CN FD C'!AW49*EurCall!AW48)/'CN FD alpha'!AW49</f>
        <v>2.2364559872809739E-5</v>
      </c>
      <c r="AX49" s="22">
        <f>('CN FD S'!AX49-'CN FD C'!AX49*EurCall!AX48)/'CN FD alpha'!AX49</f>
        <v>6.8399271216829245E-6</v>
      </c>
      <c r="AY49" s="22">
        <f>('CN FD S'!AY49-'CN FD C'!AY49*EurCall!AY48)/'CN FD alpha'!AY49</f>
        <v>1.4370292498188357E-6</v>
      </c>
      <c r="AZ49" s="22">
        <f>('CN FD S'!AZ49-'CN FD C'!AZ49*EurCall!AZ48)/'CN FD alpha'!AZ49</f>
        <v>1.5256926545075936E-7</v>
      </c>
      <c r="BA49" s="6">
        <f t="shared" si="4"/>
        <v>0</v>
      </c>
    </row>
    <row r="50" spans="1:53" x14ac:dyDescent="0.2">
      <c r="A50" s="15">
        <f t="shared" si="2"/>
        <v>15</v>
      </c>
      <c r="B50" s="16">
        <f t="shared" si="3"/>
        <v>30</v>
      </c>
      <c r="C50" s="22">
        <f>('CN FD S'!C50-'CN FD C'!C50*EurCall!C49)/'CN FD alpha'!C50</f>
        <v>6.964309509252585E-2</v>
      </c>
      <c r="D50" s="22">
        <f>('CN FD S'!D50-'CN FD C'!D50*EurCall!D49)/'CN FD alpha'!D50</f>
        <v>6.5435644741563381E-2</v>
      </c>
      <c r="E50" s="22">
        <f>('CN FD S'!E50-'CN FD C'!E50*EurCall!E49)/'CN FD alpha'!E50</f>
        <v>6.136616705457007E-2</v>
      </c>
      <c r="F50" s="22">
        <f>('CN FD S'!F50-'CN FD C'!F50*EurCall!F49)/'CN FD alpha'!F50</f>
        <v>5.7435546046041709E-2</v>
      </c>
      <c r="G50" s="22">
        <f>('CN FD S'!G50-'CN FD C'!G50*EurCall!G49)/'CN FD alpha'!G50</f>
        <v>5.3644555920309339E-2</v>
      </c>
      <c r="H50" s="22">
        <f>('CN FD S'!H50-'CN FD C'!H50*EurCall!H49)/'CN FD alpha'!H50</f>
        <v>4.9993850497931272E-2</v>
      </c>
      <c r="I50" s="22">
        <f>('CN FD S'!I50-'CN FD C'!I50*EurCall!I49)/'CN FD alpha'!I50</f>
        <v>4.6483952087165478E-2</v>
      </c>
      <c r="J50" s="22">
        <f>('CN FD S'!J50-'CN FD C'!J50*EurCall!J49)/'CN FD alpha'!J50</f>
        <v>4.3115239812870985E-2</v>
      </c>
      <c r="K50" s="22">
        <f>('CN FD S'!K50-'CN FD C'!K50*EurCall!K49)/'CN FD alpha'!K50</f>
        <v>3.98879374242724E-2</v>
      </c>
      <c r="L50" s="22">
        <f>('CN FD S'!L50-'CN FD C'!L50*EurCall!L49)/'CN FD alpha'!L50</f>
        <v>3.6802100613778407E-2</v>
      </c>
      <c r="M50" s="22">
        <f>('CN FD S'!M50-'CN FD C'!M50*EurCall!M49)/'CN FD alpha'!M50</f>
        <v>3.3857603891673402E-2</v>
      </c>
      <c r="N50" s="22">
        <f>('CN FD S'!N50-'CN FD C'!N50*EurCall!N49)/'CN FD alpha'!N50</f>
        <v>3.1054127076209134E-2</v>
      </c>
      <c r="O50" s="22">
        <f>('CN FD S'!O50-'CN FD C'!O50*EurCall!O49)/'CN FD alpha'!O50</f>
        <v>2.8391141475622991E-2</v>
      </c>
      <c r="P50" s="22">
        <f>('CN FD S'!P50-'CN FD C'!P50*EurCall!P49)/'CN FD alpha'!P50</f>
        <v>2.5867895858110643E-2</v>
      </c>
      <c r="Q50" s="22">
        <f>('CN FD S'!Q50-'CN FD C'!Q50*EurCall!Q49)/'CN FD alpha'!Q50</f>
        <v>2.3483402327983613E-2</v>
      </c>
      <c r="R50" s="22">
        <f>('CN FD S'!R50-'CN FD C'!R50*EurCall!R49)/'CN FD alpha'!R50</f>
        <v>2.1236422251323741E-2</v>
      </c>
      <c r="S50" s="22">
        <f>('CN FD S'!S50-'CN FD C'!S50*EurCall!S49)/'CN FD alpha'!S50</f>
        <v>1.9125452402548735E-2</v>
      </c>
      <c r="T50" s="22">
        <f>('CN FD S'!T50-'CN FD C'!T50*EurCall!T49)/'CN FD alpha'!T50</f>
        <v>1.7148711534511578E-2</v>
      </c>
      <c r="U50" s="22">
        <f>('CN FD S'!U50-'CN FD C'!U50*EurCall!U49)/'CN FD alpha'!U50</f>
        <v>1.5304127609078544E-2</v>
      </c>
      <c r="V50" s="22">
        <f>('CN FD S'!V50-'CN FD C'!V50*EurCall!V49)/'CN FD alpha'!V50</f>
        <v>1.3589325962462888E-2</v>
      </c>
      <c r="W50" s="22">
        <f>('CN FD S'!W50-'CN FD C'!W50*EurCall!W49)/'CN FD alpha'!W50</f>
        <v>1.2001618719682992E-2</v>
      </c>
      <c r="X50" s="22">
        <f>('CN FD S'!X50-'CN FD C'!X50*EurCall!X49)/'CN FD alpha'!X50</f>
        <v>1.053799581492107E-2</v>
      </c>
      <c r="Y50" s="22">
        <f>('CN FD S'!Y50-'CN FD C'!Y50*EurCall!Y49)/'CN FD alpha'!Y50</f>
        <v>9.1951180185864713E-3</v>
      </c>
      <c r="Z50" s="22">
        <f>('CN FD S'!Z50-'CN FD C'!Z50*EurCall!Z49)/'CN FD alpha'!Z50</f>
        <v>7.969312416525081E-3</v>
      </c>
      <c r="AA50" s="22">
        <f>('CN FD S'!AA50-'CN FD C'!AA50*EurCall!AA49)/'CN FD alpha'!AA50</f>
        <v>6.8565708306538922E-3</v>
      </c>
      <c r="AB50" s="22">
        <f>('CN FD S'!AB50-'CN FD C'!AB50*EurCall!AB49)/'CN FD alpha'!AB50</f>
        <v>5.852551711440104E-3</v>
      </c>
      <c r="AC50" s="22">
        <f>('CN FD S'!AC50-'CN FD C'!AC50*EurCall!AC49)/'CN FD alpha'!AC50</f>
        <v>4.9525860685926985E-3</v>
      </c>
      <c r="AD50" s="22">
        <f>('CN FD S'!AD50-'CN FD C'!AD50*EurCall!AD49)/'CN FD alpha'!AD50</f>
        <v>4.1516880338849267E-3</v>
      </c>
      <c r="AE50" s="22">
        <f>('CN FD S'!AE50-'CN FD C'!AE50*EurCall!AE49)/'CN FD alpha'!AE50</f>
        <v>3.4445706651311885E-3</v>
      </c>
      <c r="AF50" s="22">
        <f>('CN FD S'!AF50-'CN FD C'!AF50*EurCall!AF49)/'CN FD alpha'!AF50</f>
        <v>2.8256675979818611E-3</v>
      </c>
      <c r="AG50" s="22">
        <f>('CN FD S'!AG50-'CN FD C'!AG50*EurCall!AG49)/'CN FD alpha'!AG50</f>
        <v>2.2891611262577161E-3</v>
      </c>
      <c r="AH50" s="22">
        <f>('CN FD S'!AH50-'CN FD C'!AH50*EurCall!AH49)/'CN FD alpha'!AH50</f>
        <v>1.8290172347004403E-3</v>
      </c>
      <c r="AI50" s="22">
        <f>('CN FD S'!AI50-'CN FD C'!AI50*EurCall!AI49)/'CN FD alpha'!AI50</f>
        <v>1.4390280116805768E-3</v>
      </c>
      <c r="AJ50" s="22">
        <f>('CN FD S'!AJ50-'CN FD C'!AJ50*EurCall!AJ49)/'CN FD alpha'!AJ50</f>
        <v>1.1128617237434043E-3</v>
      </c>
      <c r="AK50" s="22">
        <f>('CN FD S'!AK50-'CN FD C'!AK50*EurCall!AK49)/'CN FD alpha'!AK50</f>
        <v>8.4412062795127753E-4</v>
      </c>
      <c r="AL50" s="22">
        <f>('CN FD S'!AL50-'CN FD C'!AL50*EurCall!AL49)/'CN FD alpha'!AL50</f>
        <v>6.2640632011812518E-4</v>
      </c>
      <c r="AM50" s="22">
        <f>('CN FD S'!AM50-'CN FD C'!AM50*EurCall!AM49)/'CN FD alpha'!AM50</f>
        <v>4.5339205547698325E-4</v>
      </c>
      <c r="AN50" s="22">
        <f>('CN FD S'!AN50-'CN FD C'!AN50*EurCall!AN49)/'CN FD alpha'!AN50</f>
        <v>3.189010223962266E-4</v>
      </c>
      <c r="AO50" s="22">
        <f>('CN FD S'!AO50-'CN FD C'!AO50*EurCall!AO49)/'CN FD alpha'!AO50</f>
        <v>2.1698899169371528E-4</v>
      </c>
      <c r="AP50" s="22">
        <f>('CN FD S'!AP50-'CN FD C'!AP50*EurCall!AP49)/'CN FD alpha'!AP50</f>
        <v>1.4202910185935486E-4</v>
      </c>
      <c r="AQ50" s="22">
        <f>('CN FD S'!AQ50-'CN FD C'!AQ50*EurCall!AQ49)/'CN FD alpha'!AQ50</f>
        <v>8.8795782051340712E-5</v>
      </c>
      <c r="AR50" s="22">
        <f>('CN FD S'!AR50-'CN FD C'!AR50*EurCall!AR49)/'CN FD alpha'!AR50</f>
        <v>5.2543984317217376E-5</v>
      </c>
      <c r="AS50" s="22">
        <f>('CN FD S'!AS50-'CN FD C'!AS50*EurCall!AS49)/'CN FD alpha'!AS50</f>
        <v>2.9079043729945874E-5</v>
      </c>
      <c r="AT50" s="22">
        <f>('CN FD S'!AT50-'CN FD C'!AT50*EurCall!AT49)/'CN FD alpha'!AT50</f>
        <v>1.4811698107649238E-5</v>
      </c>
      <c r="AU50" s="22">
        <f>('CN FD S'!AU50-'CN FD C'!AU50*EurCall!AU49)/'CN FD alpha'!AU50</f>
        <v>6.79222285162741E-6</v>
      </c>
      <c r="AV50" s="22">
        <f>('CN FD S'!AV50-'CN FD C'!AV50*EurCall!AV49)/'CN FD alpha'!AV50</f>
        <v>2.717499642504027E-6</v>
      </c>
      <c r="AW50" s="22">
        <f>('CN FD S'!AW50-'CN FD C'!AW50*EurCall!AW49)/'CN FD alpha'!AW50</f>
        <v>9.0548882962759549E-7</v>
      </c>
      <c r="AX50" s="22">
        <f>('CN FD S'!AX50-'CN FD C'!AX50*EurCall!AX49)/'CN FD alpha'!AX50</f>
        <v>2.335343033133052E-7</v>
      </c>
      <c r="AY50" s="22">
        <f>('CN FD S'!AY50-'CN FD C'!AY50*EurCall!AY49)/'CN FD alpha'!AY50</f>
        <v>4.0959103357769557E-8</v>
      </c>
      <c r="AZ50" s="22">
        <f>('CN FD S'!AZ50-'CN FD C'!AZ50*EurCall!AZ49)/'CN FD alpha'!AZ50</f>
        <v>3.6139074774915139E-9</v>
      </c>
      <c r="BA50" s="6">
        <f t="shared" si="4"/>
        <v>0</v>
      </c>
    </row>
    <row r="51" spans="1:53" x14ac:dyDescent="0.2">
      <c r="A51" s="15">
        <f t="shared" si="2"/>
        <v>14</v>
      </c>
      <c r="B51" s="16">
        <f t="shared" si="3"/>
        <v>28</v>
      </c>
      <c r="C51" s="22">
        <f>('CN FD S'!C51-'CN FD C'!C51*EurCall!C50)/'CN FD alpha'!C51</f>
        <v>2.039285222231392E-2</v>
      </c>
      <c r="D51" s="22">
        <f>('CN FD S'!D51-'CN FD C'!D51*EurCall!D50)/'CN FD alpha'!D51</f>
        <v>1.8849069311930269E-2</v>
      </c>
      <c r="E51" s="22">
        <f>('CN FD S'!E51-'CN FD C'!E51*EurCall!E50)/'CN FD alpha'!E51</f>
        <v>1.7381129347717843E-2</v>
      </c>
      <c r="F51" s="22">
        <f>('CN FD S'!F51-'CN FD C'!F51*EurCall!F50)/'CN FD alpha'!F51</f>
        <v>1.5987939216195565E-2</v>
      </c>
      <c r="G51" s="22">
        <f>('CN FD S'!G51-'CN FD C'!G51*EurCall!G50)/'CN FD alpha'!G51</f>
        <v>1.4668318029971669E-2</v>
      </c>
      <c r="H51" s="22">
        <f>('CN FD S'!H51-'CN FD C'!H51*EurCall!H50)/'CN FD alpha'!H51</f>
        <v>1.3420995664619739E-2</v>
      </c>
      <c r="I51" s="22">
        <f>('CN FD S'!I51-'CN FD C'!I51*EurCall!I50)/'CN FD alpha'!I51</f>
        <v>1.2244611589919033E-2</v>
      </c>
      <c r="J51" s="22">
        <f>('CN FD S'!J51-'CN FD C'!J51*EurCall!J50)/'CN FD alpha'!J51</f>
        <v>1.1137714038482283E-2</v>
      </c>
      <c r="K51" s="22">
        <f>('CN FD S'!K51-'CN FD C'!K51*EurCall!K50)/'CN FD alpha'!K51</f>
        <v>1.0098759557603964E-2</v>
      </c>
      <c r="L51" s="22">
        <f>('CN FD S'!L51-'CN FD C'!L51*EurCall!L50)/'CN FD alpha'!L51</f>
        <v>9.1261129928153686E-3</v>
      </c>
      <c r="M51" s="22">
        <f>('CN FD S'!M51-'CN FD C'!M51*EurCall!M50)/'CN FD alpha'!M51</f>
        <v>8.21804795404436E-3</v>
      </c>
      <c r="N51" s="22">
        <f>('CN FD S'!N51-'CN FD C'!N51*EurCall!N50)/'CN FD alpha'!N51</f>
        <v>7.3727478173463822E-3</v>
      </c>
      <c r="O51" s="22">
        <f>('CN FD S'!O51-'CN FD C'!O51*EurCall!O50)/'CN FD alpha'!O51</f>
        <v>6.5883073167802885E-3</v>
      </c>
      <c r="P51" s="22">
        <f>('CN FD S'!P51-'CN FD C'!P51*EurCall!P50)/'CN FD alpha'!P51</f>
        <v>5.8627347820095297E-3</v>
      </c>
      <c r="Q51" s="22">
        <f>('CN FD S'!Q51-'CN FD C'!Q51*EurCall!Q50)/'CN FD alpha'!Q51</f>
        <v>5.193955077457243E-3</v>
      </c>
      <c r="R51" s="22">
        <f>('CN FD S'!R51-'CN FD C'!R51*EurCall!R50)/'CN FD alpha'!R51</f>
        <v>4.5798132981517874E-3</v>
      </c>
      <c r="S51" s="22">
        <f>('CN FD S'!S51-'CN FD C'!S51*EurCall!S50)/'CN FD alpha'!S51</f>
        <v>4.0180792755632614E-3</v>
      </c>
      <c r="T51" s="22">
        <f>('CN FD S'!T51-'CN FD C'!T51*EurCall!T50)/'CN FD alpha'!T51</f>
        <v>3.5064529435247867E-3</v>
      </c>
      <c r="U51" s="22">
        <f>('CN FD S'!U51-'CN FD C'!U51*EurCall!U50)/'CN FD alpha'!U51</f>
        <v>3.0425706095057914E-3</v>
      </c>
      <c r="V51" s="22">
        <f>('CN FD S'!V51-'CN FD C'!V51*EurCall!V50)/'CN FD alpha'!V51</f>
        <v>2.6240121697889791E-3</v>
      </c>
      <c r="W51" s="22">
        <f>('CN FD S'!W51-'CN FD C'!W51*EurCall!W50)/'CN FD alpha'!W51</f>
        <v>2.248309298212453E-3</v>
      </c>
      <c r="X51" s="22">
        <f>('CN FD S'!X51-'CN FD C'!X51*EurCall!X50)/'CN FD alpha'!X51</f>
        <v>1.912954626777108E-3</v>
      </c>
      <c r="Y51" s="22">
        <f>('CN FD S'!Y51-'CN FD C'!Y51*EurCall!Y50)/'CN FD alpha'!Y51</f>
        <v>1.6154119222883253E-3</v>
      </c>
      <c r="Z51" s="22">
        <f>('CN FD S'!Z51-'CN FD C'!Z51*EurCall!Z50)/'CN FD alpha'!Z51</f>
        <v>1.3531272460113142E-3</v>
      </c>
      <c r="AA51" s="22">
        <f>('CN FD S'!AA51-'CN FD C'!AA51*EurCall!AA50)/'CN FD alpha'!AA51</f>
        <v>1.1235410628082792E-3</v>
      </c>
      <c r="AB51" s="22">
        <f>('CN FD S'!AB51-'CN FD C'!AB51*EurCall!AB50)/'CN FD alpha'!AB51</f>
        <v>9.2410124217760694E-4</v>
      </c>
      <c r="AC51" s="22">
        <f>('CN FD S'!AC51-'CN FD C'!AC51*EurCall!AC50)/'CN FD alpha'!AC51</f>
        <v>7.5227686589016151E-4</v>
      </c>
      <c r="AD51" s="22">
        <f>('CN FD S'!AD51-'CN FD C'!AD51*EurCall!AD50)/'CN FD alpha'!AD51</f>
        <v>6.055727254856702E-4</v>
      </c>
      <c r="AE51" s="22">
        <f>('CN FD S'!AE51-'CN FD C'!AE51*EurCall!AE50)/'CN FD alpha'!AE51</f>
        <v>4.8154435787692724E-4</v>
      </c>
      <c r="AF51" s="22">
        <f>('CN FD S'!AF51-'CN FD C'!AF51*EurCall!AF50)/'CN FD alpha'!AF51</f>
        <v>3.7781342904222287E-4</v>
      </c>
      <c r="AG51" s="22">
        <f>('CN FD S'!AG51-'CN FD C'!AG51*EurCall!AG50)/'CN FD alpha'!AG51</f>
        <v>2.9208323486885771E-4</v>
      </c>
      <c r="AH51" s="22">
        <f>('CN FD S'!AH51-'CN FD C'!AH51*EurCall!AH50)/'CN FD alpha'!AH51</f>
        <v>2.2215404559002206E-4</v>
      </c>
      <c r="AI51" s="22">
        <f>('CN FD S'!AI51-'CN FD C'!AI51*EurCall!AI50)/'CN FD alpha'!AI51</f>
        <v>1.6593797731121596E-4</v>
      </c>
      <c r="AJ51" s="22">
        <f>('CN FD S'!AJ51-'CN FD C'!AJ51*EurCall!AJ50)/'CN FD alpha'!AJ51</f>
        <v>1.2147303275218521E-4</v>
      </c>
      <c r="AK51" s="22">
        <f>('CN FD S'!AK51-'CN FD C'!AK51*EurCall!AK50)/'CN FD alpha'!AK51</f>
        <v>8.6935916059825957E-5</v>
      </c>
      <c r="AL51" s="22">
        <f>('CN FD S'!AL51-'CN FD C'!AL51*EurCall!AL50)/'CN FD alpha'!AL51</f>
        <v>6.06531966189158E-5</v>
      </c>
      <c r="AM51" s="22">
        <f>('CN FD S'!AM51-'CN FD C'!AM51*EurCall!AM50)/'CN FD alpha'!AM51</f>
        <v>4.1110378243651431E-5</v>
      </c>
      <c r="AN51" s="22">
        <f>('CN FD S'!AN51-'CN FD C'!AN51*EurCall!AN50)/'CN FD alpha'!AN51</f>
        <v>2.695842786634255E-5</v>
      </c>
      <c r="AO51" s="22">
        <f>('CN FD S'!AO51-'CN FD C'!AO51*EurCall!AO50)/'CN FD alpha'!AO51</f>
        <v>1.7017337580060768E-5</v>
      </c>
      <c r="AP51" s="22">
        <f>('CN FD S'!AP51-'CN FD C'!AP51*EurCall!AP50)/'CN FD alpha'!AP51</f>
        <v>1.0276342089504942E-5</v>
      </c>
      <c r="AQ51" s="22">
        <f>('CN FD S'!AQ51-'CN FD C'!AQ51*EurCall!AQ50)/'CN FD alpha'!AQ51</f>
        <v>5.8904971634982618E-6</v>
      </c>
      <c r="AR51" s="22">
        <f>('CN FD S'!AR51-'CN FD C'!AR51*EurCall!AR50)/'CN FD alpha'!AR51</f>
        <v>3.1734503373616436E-6</v>
      </c>
      <c r="AS51" s="22">
        <f>('CN FD S'!AS51-'CN FD C'!AS51*EurCall!AS50)/'CN FD alpha'!AS51</f>
        <v>1.5864086098750763E-6</v>
      </c>
      <c r="AT51" s="22">
        <f>('CN FD S'!AT51-'CN FD C'!AT51*EurCall!AT50)/'CN FD alpha'!AT51</f>
        <v>7.2353237907055093E-7</v>
      </c>
      <c r="AU51" s="22">
        <f>('CN FD S'!AU51-'CN FD C'!AU51*EurCall!AU50)/'CN FD alpha'!AU51</f>
        <v>2.9425860066831058E-7</v>
      </c>
      <c r="AV51" s="22">
        <f>('CN FD S'!AV51-'CN FD C'!AV51*EurCall!AV50)/'CN FD alpha'!AV51</f>
        <v>1.0336887133761628E-7</v>
      </c>
      <c r="AW51" s="22">
        <f>('CN FD S'!AW51-'CN FD C'!AW51*EurCall!AW50)/'CN FD alpha'!AW51</f>
        <v>2.9945772426178118E-8</v>
      </c>
      <c r="AX51" s="22">
        <f>('CN FD S'!AX51-'CN FD C'!AX51*EurCall!AX50)/'CN FD alpha'!AX51</f>
        <v>6.6577398118245251E-9</v>
      </c>
      <c r="AY51" s="22">
        <f>('CN FD S'!AY51-'CN FD C'!AY51*EurCall!AY50)/'CN FD alpha'!AY51</f>
        <v>1.0005852778911645E-9</v>
      </c>
      <c r="AZ51" s="22">
        <f>('CN FD S'!AZ51-'CN FD C'!AZ51*EurCall!AZ50)/'CN FD alpha'!AZ51</f>
        <v>7.5465003238770624E-11</v>
      </c>
      <c r="BA51" s="6">
        <f t="shared" si="4"/>
        <v>0</v>
      </c>
    </row>
    <row r="52" spans="1:53" x14ac:dyDescent="0.2">
      <c r="A52" s="15">
        <f t="shared" si="2"/>
        <v>13</v>
      </c>
      <c r="B52" s="16">
        <f t="shared" si="3"/>
        <v>26</v>
      </c>
      <c r="C52" s="22">
        <f>('CN FD S'!C52-'CN FD C'!C52*EurCall!C51)/'CN FD alpha'!C52</f>
        <v>4.8711939612049683E-3</v>
      </c>
      <c r="D52" s="22">
        <f>('CN FD S'!D52-'CN FD C'!D52*EurCall!D51)/'CN FD alpha'!D52</f>
        <v>4.4219578437412355E-3</v>
      </c>
      <c r="E52" s="22">
        <f>('CN FD S'!E52-'CN FD C'!E52*EurCall!E51)/'CN FD alpha'!E52</f>
        <v>4.0028133158262176E-3</v>
      </c>
      <c r="F52" s="22">
        <f>('CN FD S'!F52-'CN FD C'!F52*EurCall!F51)/'CN FD alpha'!F52</f>
        <v>3.6126818563783354E-3</v>
      </c>
      <c r="G52" s="22">
        <f>('CN FD S'!G52-'CN FD C'!G52*EurCall!G51)/'CN FD alpha'!G52</f>
        <v>3.2504687023464564E-3</v>
      </c>
      <c r="H52" s="22">
        <f>('CN FD S'!H52-'CN FD C'!H52*EurCall!H51)/'CN FD alpha'!H52</f>
        <v>2.9150648412232497E-3</v>
      </c>
      <c r="I52" s="22">
        <f>('CN FD S'!I52-'CN FD C'!I52*EurCall!I51)/'CN FD alpha'!I52</f>
        <v>2.6053491678274137E-3</v>
      </c>
      <c r="J52" s="22">
        <f>('CN FD S'!J52-'CN FD C'!J52*EurCall!J51)/'CN FD alpha'!J52</f>
        <v>2.3201908051903434E-3</v>
      </c>
      <c r="K52" s="22">
        <f>('CN FD S'!K52-'CN FD C'!K52*EurCall!K51)/'CN FD alpha'!K52</f>
        <v>2.0584515878219029E-3</v>
      </c>
      <c r="L52" s="22">
        <f>('CN FD S'!L52-'CN FD C'!L52*EurCall!L51)/'CN FD alpha'!L52</f>
        <v>1.8189887038612407E-3</v>
      </c>
      <c r="M52" s="22">
        <f>('CN FD S'!M52-'CN FD C'!M52*EurCall!M51)/'CN FD alpha'!M52</f>
        <v>1.6006574906338108E-3</v>
      </c>
      <c r="N52" s="22">
        <f>('CN FD S'!N52-'CN FD C'!N52*EurCall!N51)/'CN FD alpha'!N52</f>
        <v>1.4023143759297426E-3</v>
      </c>
      <c r="O52" s="22">
        <f>('CN FD S'!O52-'CN FD C'!O52*EurCall!O51)/'CN FD alpha'!O52</f>
        <v>1.2228199548897025E-3</v>
      </c>
      <c r="P52" s="22">
        <f>('CN FD S'!P52-'CN FD C'!P52*EurCall!P51)/'CN FD alpha'!P52</f>
        <v>1.0610421897353239E-3</v>
      </c>
      <c r="Q52" s="22">
        <f>('CN FD S'!Q52-'CN FD C'!Q52*EurCall!Q51)/'CN FD alpha'!Q52</f>
        <v>9.1585971672068322E-4</v>
      </c>
      <c r="R52" s="22">
        <f>('CN FD S'!R52-'CN FD C'!R52*EurCall!R51)/'CN FD alpha'!R52</f>
        <v>7.8616524162462105E-4</v>
      </c>
      <c r="S52" s="22">
        <f>('CN FD S'!S52-'CN FD C'!S52*EurCall!S51)/'CN FD alpha'!S52</f>
        <v>6.7086900187463265E-4</v>
      </c>
      <c r="T52" s="22">
        <f>('CN FD S'!T52-'CN FD C'!T52*EurCall!T51)/'CN FD alpha'!T52</f>
        <v>5.689022700249664E-4</v>
      </c>
      <c r="U52" s="22">
        <f>('CN FD S'!U52-'CN FD C'!U52*EurCall!U51)/'CN FD alpha'!U52</f>
        <v>4.7922086984917976E-4</v>
      </c>
      <c r="V52" s="22">
        <f>('CN FD S'!V52-'CN FD C'!V52*EurCall!V51)/'CN FD alpha'!V52</f>
        <v>4.008086728083443E-4</v>
      </c>
      <c r="W52" s="22">
        <f>('CN FD S'!W52-'CN FD C'!W52*EurCall!W51)/'CN FD alpha'!W52</f>
        <v>3.3268103919262043E-4</v>
      </c>
      <c r="X52" s="22">
        <f>('CN FD S'!X52-'CN FD C'!X52*EurCall!X51)/'CN FD alpha'!X52</f>
        <v>2.7388816489449982E-4</v>
      </c>
      <c r="Y52" s="22">
        <f>('CN FD S'!Y52-'CN FD C'!Y52*EurCall!Y51)/'CN FD alpha'!Y52</f>
        <v>2.2351829166283982E-4</v>
      </c>
      <c r="Z52" s="22">
        <f>('CN FD S'!Z52-'CN FD C'!Z52*EurCall!Z51)/'CN FD alpha'!Z52</f>
        <v>1.8070073593295181E-4</v>
      </c>
      <c r="AA52" s="22">
        <f>('CN FD S'!AA52-'CN FD C'!AA52*EurCall!AA51)/'CN FD alpha'!AA52</f>
        <v>1.4460868907419219E-4</v>
      </c>
      <c r="AB52" s="22">
        <f>('CN FD S'!AB52-'CN FD C'!AB52*EurCall!AB51)/'CN FD alpha'!AB52</f>
        <v>1.1446174030723767E-4</v>
      </c>
      <c r="AC52" s="22">
        <f>('CN FD S'!AC52-'CN FD C'!AC52*EurCall!AC51)/'CN FD alpha'!AC52</f>
        <v>8.9528072801937073E-5</v>
      </c>
      <c r="AD52" s="22">
        <f>('CN FD S'!AD52-'CN FD C'!AD52*EurCall!AD51)/'CN FD alpha'!AD52</f>
        <v>6.9126283773618118E-5</v>
      </c>
      <c r="AE52" s="22">
        <f>('CN FD S'!AE52-'CN FD C'!AE52*EurCall!AE51)/'CN FD alpha'!AE52</f>
        <v>5.2626780964428733E-5</v>
      </c>
      <c r="AF52" s="22">
        <f>('CN FD S'!AF52-'CN FD C'!AF52*EurCall!AF51)/'CN FD alpha'!AF52</f>
        <v>3.9452710947430905E-5</v>
      </c>
      <c r="AG52" s="22">
        <f>('CN FD S'!AG52-'CN FD C'!AG52*EurCall!AG51)/'CN FD alpha'!AG52</f>
        <v>2.9080379444225646E-5</v>
      </c>
      <c r="AH52" s="22">
        <f>('CN FD S'!AH52-'CN FD C'!AH52*EurCall!AH51)/'CN FD alpha'!AH52</f>
        <v>2.103913050831046E-5</v>
      </c>
      <c r="AI52" s="22">
        <f>('CN FD S'!AI52-'CN FD C'!AI52*EurCall!AI51)/'CN FD alpha'!AI52</f>
        <v>1.4910660173797366E-5</v>
      </c>
      <c r="AJ52" s="22">
        <f>('CN FD S'!AJ52-'CN FD C'!AJ52*EurCall!AJ51)/'CN FD alpha'!AJ52</f>
        <v>1.0327751131041192E-5</v>
      </c>
      <c r="AK52" s="22">
        <f>('CN FD S'!AK52-'CN FD C'!AK52*EurCall!AK51)/'CN FD alpha'!AK52</f>
        <v>6.9724282209065385E-6</v>
      </c>
      <c r="AL52" s="22">
        <f>('CN FD S'!AL52-'CN FD C'!AL52*EurCall!AL51)/'CN FD alpha'!AL52</f>
        <v>4.573549985631263E-6</v>
      </c>
      <c r="AM52" s="22">
        <f>('CN FD S'!AM52-'CN FD C'!AM52*EurCall!AM51)/'CN FD alpha'!AM52</f>
        <v>2.9038689813351628E-6</v>
      </c>
      <c r="AN52" s="22">
        <f>('CN FD S'!AN52-'CN FD C'!AN52*EurCall!AN51)/'CN FD alpha'!AN52</f>
        <v>1.776612664664234E-6</v>
      </c>
      <c r="AO52" s="22">
        <f>('CN FD S'!AO52-'CN FD C'!AO52*EurCall!AO51)/'CN FD alpha'!AO52</f>
        <v>1.0416568017914341E-6</v>
      </c>
      <c r="AP52" s="22">
        <f>('CN FD S'!AP52-'CN FD C'!AP52*EurCall!AP51)/'CN FD alpha'!AP52</f>
        <v>5.8138362118272686E-7</v>
      </c>
      <c r="AQ52" s="22">
        <f>('CN FD S'!AQ52-'CN FD C'!AQ52*EurCall!AQ51)/'CN FD alpha'!AQ52</f>
        <v>3.0633612957220656E-7</v>
      </c>
      <c r="AR52" s="22">
        <f>('CN FD S'!AR52-'CN FD C'!AR52*EurCall!AR51)/'CN FD alpha'!AR52</f>
        <v>1.5079656887770834E-7</v>
      </c>
      <c r="AS52" s="22">
        <f>('CN FD S'!AS52-'CN FD C'!AS52*EurCall!AS51)/'CN FD alpha'!AS52</f>
        <v>6.8428989920856392E-8</v>
      </c>
      <c r="AT52" s="22">
        <f>('CN FD S'!AT52-'CN FD C'!AT52*EurCall!AT51)/'CN FD alpha'!AT52</f>
        <v>2.8131123911344332E-8</v>
      </c>
      <c r="AU52" s="22">
        <f>('CN FD S'!AU52-'CN FD C'!AU52*EurCall!AU51)/'CN FD alpha'!AU52</f>
        <v>1.0236720981338487E-8</v>
      </c>
      <c r="AV52" s="22">
        <f>('CN FD S'!AV52-'CN FD C'!AV52*EurCall!AV51)/'CN FD alpha'!AV52</f>
        <v>3.1939277201565623E-9</v>
      </c>
      <c r="AW52" s="22">
        <f>('CN FD S'!AW52-'CN FD C'!AW52*EurCall!AW51)/'CN FD alpha'!AW52</f>
        <v>8.1621484280384673E-10</v>
      </c>
      <c r="AX52" s="22">
        <f>('CN FD S'!AX52-'CN FD C'!AX52*EurCall!AX51)/'CN FD alpha'!AX52</f>
        <v>1.5917732503323551E-10</v>
      </c>
      <c r="AY52" s="22">
        <f>('CN FD S'!AY52-'CN FD C'!AY52*EurCall!AY51)/'CN FD alpha'!AY52</f>
        <v>2.0905544384268006E-11</v>
      </c>
      <c r="AZ52" s="22">
        <f>('CN FD S'!AZ52-'CN FD C'!AZ52*EurCall!AZ51)/'CN FD alpha'!AZ52</f>
        <v>1.3759202934968523E-12</v>
      </c>
      <c r="BA52" s="6">
        <f t="shared" si="4"/>
        <v>0</v>
      </c>
    </row>
    <row r="53" spans="1:53" x14ac:dyDescent="0.2">
      <c r="A53" s="15">
        <f t="shared" si="2"/>
        <v>12</v>
      </c>
      <c r="B53" s="16">
        <f t="shared" si="3"/>
        <v>24</v>
      </c>
      <c r="C53" s="22">
        <f>('CN FD S'!C53-'CN FD C'!C53*EurCall!C52)/'CN FD alpha'!C53</f>
        <v>9.3492616146228125E-4</v>
      </c>
      <c r="D53" s="22">
        <f>('CN FD S'!D53-'CN FD C'!D53*EurCall!D52)/'CN FD alpha'!D53</f>
        <v>8.32456654049087E-4</v>
      </c>
      <c r="E53" s="22">
        <f>('CN FD S'!E53-'CN FD C'!E53*EurCall!E52)/'CN FD alpha'!E53</f>
        <v>7.3877944775027832E-4</v>
      </c>
      <c r="F53" s="22">
        <f>('CN FD S'!F53-'CN FD C'!F53*EurCall!F52)/'CN FD alpha'!F53</f>
        <v>6.5338793621558114E-4</v>
      </c>
      <c r="G53" s="22">
        <f>('CN FD S'!G53-'CN FD C'!G53*EurCall!G52)/'CN FD alpha'!G53</f>
        <v>5.7578524065008058E-4</v>
      </c>
      <c r="H53" s="22">
        <f>('CN FD S'!H53-'CN FD C'!H53*EurCall!H52)/'CN FD alpha'!H53</f>
        <v>5.054851149275568E-4</v>
      </c>
      <c r="I53" s="22">
        <f>('CN FD S'!I53-'CN FD C'!I53*EurCall!I52)/'CN FD alpha'!I53</f>
        <v>4.4201283533376097E-4</v>
      </c>
      <c r="J53" s="22">
        <f>('CN FD S'!J53-'CN FD C'!J53*EurCall!J52)/'CN FD alpha'!J53</f>
        <v>3.8490606912179159E-4</v>
      </c>
      <c r="K53" s="22">
        <f>('CN FD S'!K53-'CN FD C'!K53*EurCall!K52)/'CN FD alpha'!K53</f>
        <v>3.3371571575661386E-4</v>
      </c>
      <c r="L53" s="22">
        <f>('CN FD S'!L53-'CN FD C'!L53*EurCall!L52)/'CN FD alpha'!L53</f>
        <v>2.8800671445427308E-4</v>
      </c>
      <c r="M53" s="22">
        <f>('CN FD S'!M53-'CN FD C'!M53*EurCall!M52)/'CN FD alpha'!M53</f>
        <v>2.4735881139220412E-4</v>
      </c>
      <c r="N53" s="22">
        <f>('CN FD S'!N53-'CN FD C'!N53*EurCall!N52)/'CN FD alpha'!N53</f>
        <v>2.113672797897162E-4</v>
      </c>
      <c r="O53" s="22">
        <f>('CN FD S'!O53-'CN FD C'!O53*EurCall!O52)/'CN FD alpha'!O53</f>
        <v>1.7964358594241479E-4</v>
      </c>
      <c r="P53" s="22">
        <f>('CN FD S'!P53-'CN FD C'!P53*EurCall!P52)/'CN FD alpha'!P53</f>
        <v>1.5181599425180718E-4</v>
      </c>
      <c r="Q53" s="22">
        <f>('CN FD S'!Q53-'CN FD C'!Q53*EurCall!Q52)/'CN FD alpha'!Q53</f>
        <v>1.2753010433291979E-4</v>
      </c>
      <c r="R53" s="22">
        <f>('CN FD S'!R53-'CN FD C'!R53*EurCall!R52)/'CN FD alpha'!R53</f>
        <v>1.0644931342004261E-4</v>
      </c>
      <c r="S53" s="22">
        <f>('CN FD S'!S53-'CN FD C'!S53*EurCall!S52)/'CN FD alpha'!S53</f>
        <v>8.8255197535421439E-5</v>
      </c>
      <c r="T53" s="22">
        <f>('CN FD S'!T53-'CN FD C'!T53*EurCall!T52)/'CN FD alpha'!T53</f>
        <v>7.2647805249371602E-5</v>
      </c>
      <c r="U53" s="22">
        <f>('CN FD S'!U53-'CN FD C'!U53*EurCall!U52)/'CN FD alpha'!U53</f>
        <v>5.9345858353881857E-5</v>
      </c>
      <c r="V53" s="22">
        <f>('CN FD S'!V53-'CN FD C'!V53*EurCall!V52)/'CN FD alpha'!V53</f>
        <v>4.8086854405350351E-5</v>
      </c>
      <c r="W53" s="22">
        <f>('CN FD S'!W53-'CN FD C'!W53*EurCall!W52)/'CN FD alpha'!W53</f>
        <v>3.8627066874220945E-5</v>
      </c>
      <c r="X53" s="22">
        <f>('CN FD S'!X53-'CN FD C'!X53*EurCall!X52)/'CN FD alpha'!X53</f>
        <v>3.0741439576486602E-5</v>
      </c>
      <c r="Y53" s="22">
        <f>('CN FD S'!Y53-'CN FD C'!Y53*EurCall!Y52)/'CN FD alpha'!Y53</f>
        <v>2.4223373158082181E-5</v>
      </c>
      <c r="Z53" s="22">
        <f>('CN FD S'!Z53-'CN FD C'!Z53*EurCall!Z52)/'CN FD alpha'!Z53</f>
        <v>1.888440265838921E-5</v>
      </c>
      <c r="AA53" s="22">
        <f>('CN FD S'!AA53-'CN FD C'!AA53*EurCall!AA52)/'CN FD alpha'!AA53</f>
        <v>1.4553766589361299E-5</v>
      </c>
      <c r="AB53" s="22">
        <f>('CN FD S'!AB53-'CN FD C'!AB53*EurCall!AB52)/'CN FD alpha'!AB53</f>
        <v>1.1077869522832999E-5</v>
      </c>
      <c r="AC53" s="22">
        <f>('CN FD S'!AC53-'CN FD C'!AC53*EurCall!AC52)/'CN FD alpha'!AC53</f>
        <v>8.3196418648596005E-6</v>
      </c>
      <c r="AD53" s="22">
        <f>('CN FD S'!AD53-'CN FD C'!AD53*EurCall!AD52)/'CN FD alpha'!AD53</f>
        <v>6.1578022897189403E-6</v>
      </c>
      <c r="AE53" s="22">
        <f>('CN FD S'!AE53-'CN FD C'!AE53*EurCall!AE52)/'CN FD alpha'!AE53</f>
        <v>4.4860301766220619E-6</v>
      </c>
      <c r="AF53" s="22">
        <f>('CN FD S'!AF53-'CN FD C'!AF53*EurCall!AF52)/'CN FD alpha'!AF53</f>
        <v>3.2120572993815929E-6</v>
      </c>
      <c r="AG53" s="22">
        <f>('CN FD S'!AG53-'CN FD C'!AG53*EurCall!AG52)/'CN FD alpha'!AG53</f>
        <v>2.2566899137876861E-6</v>
      </c>
      <c r="AH53" s="22">
        <f>('CN FD S'!AH53-'CN FD C'!AH53*EurCall!AH52)/'CN FD alpha'!AH53</f>
        <v>1.5527742097423883E-6</v>
      </c>
      <c r="AI53" s="22">
        <f>('CN FD S'!AI53-'CN FD C'!AI53*EurCall!AI52)/'CN FD alpha'!AI53</f>
        <v>1.044119775851696E-6</v>
      </c>
      <c r="AJ53" s="22">
        <f>('CN FD S'!AJ53-'CN FD C'!AJ53*EurCall!AJ52)/'CN FD alpha'!AJ53</f>
        <v>6.8439718441959208E-7</v>
      </c>
      <c r="AK53" s="22">
        <f>('CN FD S'!AK53-'CN FD C'!AK53*EurCall!AK52)/'CN FD alpha'!AK53</f>
        <v>4.3602695803254422E-7</v>
      </c>
      <c r="AL53" s="22">
        <f>('CN FD S'!AL53-'CN FD C'!AL53*EurCall!AL52)/'CN FD alpha'!AL53</f>
        <v>2.6907793320043255E-7</v>
      </c>
      <c r="AM53" s="22">
        <f>('CN FD S'!AM53-'CN FD C'!AM53*EurCall!AM52)/'CN FD alpha'!AM53</f>
        <v>1.6019329825526262E-7</v>
      </c>
      <c r="AN53" s="22">
        <f>('CN FD S'!AN53-'CN FD C'!AN53*EurCall!AN52)/'CN FD alpha'!AN53</f>
        <v>9.1562262020422488E-8</v>
      </c>
      <c r="AO53" s="22">
        <f>('CN FD S'!AO53-'CN FD C'!AO53*EurCall!AO52)/'CN FD alpha'!AO53</f>
        <v>4.995432756053024E-8</v>
      </c>
      <c r="AP53" s="22">
        <f>('CN FD S'!AP53-'CN FD C'!AP53*EurCall!AP52)/'CN FD alpha'!AP53</f>
        <v>2.5831442393477598E-8</v>
      </c>
      <c r="AQ53" s="22">
        <f>('CN FD S'!AQ53-'CN FD C'!AQ53*EurCall!AQ52)/'CN FD alpha'!AQ53</f>
        <v>1.2550844707060405E-8</v>
      </c>
      <c r="AR53" s="22">
        <f>('CN FD S'!AR53-'CN FD C'!AR53*EurCall!AR52)/'CN FD alpha'!AR53</f>
        <v>5.6682402716015607E-9</v>
      </c>
      <c r="AS53" s="22">
        <f>('CN FD S'!AS53-'CN FD C'!AS53*EurCall!AS52)/'CN FD alpha'!AS53</f>
        <v>2.3471012983513338E-9</v>
      </c>
      <c r="AT53" s="22">
        <f>('CN FD S'!AT53-'CN FD C'!AT53*EurCall!AT52)/'CN FD alpha'!AT53</f>
        <v>8.7552409061289421E-10</v>
      </c>
      <c r="AU53" s="22">
        <f>('CN FD S'!AU53-'CN FD C'!AU53*EurCall!AU52)/'CN FD alpha'!AU53</f>
        <v>2.8745067652942648E-10</v>
      </c>
      <c r="AV53" s="22">
        <f>('CN FD S'!AV53-'CN FD C'!AV53*EurCall!AV52)/'CN FD alpha'!AV53</f>
        <v>8.047805866677665E-11</v>
      </c>
      <c r="AW53" s="22">
        <f>('CN FD S'!AW53-'CN FD C'!AW53*EurCall!AW52)/'CN FD alpha'!AW53</f>
        <v>1.8365005021500246E-11</v>
      </c>
      <c r="AX53" s="22">
        <f>('CN FD S'!AX53-'CN FD C'!AX53*EurCall!AX52)/'CN FD alpha'!AX53</f>
        <v>3.1858316009498244E-12</v>
      </c>
      <c r="AY53" s="22">
        <f>('CN FD S'!AY53-'CN FD C'!AY53*EurCall!AY52)/'CN FD alpha'!AY53</f>
        <v>3.7126237654772983E-13</v>
      </c>
      <c r="AZ53" s="22">
        <f>('CN FD S'!AZ53-'CN FD C'!AZ53*EurCall!AZ52)/'CN FD alpha'!AZ53</f>
        <v>2.1663174198552474E-14</v>
      </c>
      <c r="BA53" s="6">
        <f t="shared" si="4"/>
        <v>0</v>
      </c>
    </row>
    <row r="54" spans="1:53" x14ac:dyDescent="0.2">
      <c r="A54" s="15">
        <f t="shared" si="2"/>
        <v>11</v>
      </c>
      <c r="B54" s="16">
        <f t="shared" si="3"/>
        <v>22</v>
      </c>
      <c r="C54" s="22">
        <f>('CN FD S'!C54-'CN FD C'!C54*EurCall!C53)/'CN FD alpha'!C54</f>
        <v>1.4204312678357868E-4</v>
      </c>
      <c r="D54" s="22">
        <f>('CN FD S'!D54-'CN FD C'!D54*EurCall!D53)/'CN FD alpha'!D54</f>
        <v>1.2393211960106952E-4</v>
      </c>
      <c r="E54" s="22">
        <f>('CN FD S'!E54-'CN FD C'!E54*EurCall!E53)/'CN FD alpha'!E54</f>
        <v>1.0772534676222472E-4</v>
      </c>
      <c r="F54" s="22">
        <f>('CN FD S'!F54-'CN FD C'!F54*EurCall!F53)/'CN FD alpha'!F54</f>
        <v>9.3271527713157008E-5</v>
      </c>
      <c r="G54" s="22">
        <f>('CN FD S'!G54-'CN FD C'!G54*EurCall!G53)/'CN FD alpha'!G54</f>
        <v>8.0426564425695464E-5</v>
      </c>
      <c r="H54" s="22">
        <f>('CN FD S'!H54-'CN FD C'!H54*EurCall!H53)/'CN FD alpha'!H54</f>
        <v>6.9053567638088258E-5</v>
      </c>
      <c r="I54" s="22">
        <f>('CN FD S'!I54-'CN FD C'!I54*EurCall!I53)/'CN FD alpha'!I54</f>
        <v>5.9022860915827368E-5</v>
      </c>
      <c r="J54" s="22">
        <f>('CN FD S'!J54-'CN FD C'!J54*EurCall!J53)/'CN FD alpha'!J54</f>
        <v>5.0211961999908814E-5</v>
      </c>
      <c r="K54" s="22">
        <f>('CN FD S'!K54-'CN FD C'!K54*EurCall!K53)/'CN FD alpha'!K54</f>
        <v>4.2505541043021061E-5</v>
      </c>
      <c r="L54" s="22">
        <f>('CN FD S'!L54-'CN FD C'!L54*EurCall!L53)/'CN FD alpha'!L54</f>
        <v>3.579535548163176E-5</v>
      </c>
      <c r="M54" s="22">
        <f>('CN FD S'!M54-'CN FD C'!M54*EurCall!M53)/'CN FD alpha'!M54</f>
        <v>2.9980161453416172E-5</v>
      </c>
      <c r="N54" s="22">
        <f>('CN FD S'!N54-'CN FD C'!N54*EurCall!N53)/'CN FD alpha'!N54</f>
        <v>2.4965601844376526E-5</v>
      </c>
      <c r="O54" s="22">
        <f>('CN FD S'!O54-'CN FD C'!O54*EurCall!O53)/'CN FD alpha'!O54</f>
        <v>2.0664071237477357E-5</v>
      </c>
      <c r="P54" s="22">
        <f>('CN FD S'!P54-'CN FD C'!P54*EurCall!P53)/'CN FD alpha'!P54</f>
        <v>1.699455823347708E-5</v>
      </c>
      <c r="Q54" s="22">
        <f>('CN FD S'!Q54-'CN FD C'!Q54*EurCall!Q53)/'CN FD alpha'!Q54</f>
        <v>1.3882465823316672E-5</v>
      </c>
      <c r="R54" s="22">
        <f>('CN FD S'!R54-'CN FD C'!R54*EurCall!R53)/'CN FD alpha'!R54</f>
        <v>1.1259410707985711E-5</v>
      </c>
      <c r="S54" s="22">
        <f>('CN FD S'!S54-'CN FD C'!S54*EurCall!S53)/'CN FD alpha'!S54</f>
        <v>9.063002683859558E-6</v>
      </c>
      <c r="T54" s="22">
        <f>('CN FD S'!T54-'CN FD C'!T54*EurCall!T53)/'CN FD alpha'!T54</f>
        <v>7.2366054362839679E-6</v>
      </c>
      <c r="U54" s="22">
        <f>('CN FD S'!U54-'CN FD C'!U54*EurCall!U53)/'CN FD alpha'!U54</f>
        <v>5.7290803084177542E-6</v>
      </c>
      <c r="V54" s="22">
        <f>('CN FD S'!V54-'CN FD C'!V54*EurCall!V53)/'CN FD alpha'!V54</f>
        <v>4.4945148323174632E-6</v>
      </c>
      <c r="W54" s="22">
        <f>('CN FD S'!W54-'CN FD C'!W54*EurCall!W53)/'CN FD alpha'!W54</f>
        <v>3.491938020801124E-6</v>
      </c>
      <c r="X54" s="22">
        <f>('CN FD S'!X54-'CN FD C'!X54*EurCall!X53)/'CN FD alpha'!X54</f>
        <v>2.6850246171812891E-6</v>
      </c>
      <c r="Y54" s="22">
        <f>('CN FD S'!Y54-'CN FD C'!Y54*EurCall!Y53)/'CN FD alpha'!Y54</f>
        <v>2.041790680554135E-6</v>
      </c>
      <c r="Z54" s="22">
        <f>('CN FD S'!Z54-'CN FD C'!Z54*EurCall!Z53)/'CN FD alpha'!Z54</f>
        <v>1.5342830417045638E-6</v>
      </c>
      <c r="AA54" s="22">
        <f>('CN FD S'!AA54-'CN FD C'!AA54*EurCall!AA53)/'CN FD alpha'!AA54</f>
        <v>1.13826529335209E-6</v>
      </c>
      <c r="AB54" s="22">
        <f>('CN FD S'!AB54-'CN FD C'!AB54*EurCall!AB53)/'CN FD alpha'!AB54</f>
        <v>8.3290307283737468E-7</v>
      </c>
      <c r="AC54" s="22">
        <f>('CN FD S'!AC54-'CN FD C'!AC54*EurCall!AC53)/'CN FD alpha'!AC54</f>
        <v>6.0045144991023407E-7</v>
      </c>
      <c r="AD54" s="22">
        <f>('CN FD S'!AD54-'CN FD C'!AD54*EurCall!AD53)/'CN FD alpha'!AD54</f>
        <v>4.2594724174846083E-7</v>
      </c>
      <c r="AE54" s="22">
        <f>('CN FD S'!AE54-'CN FD C'!AE54*EurCall!AE53)/'CN FD alpha'!AE54</f>
        <v>2.9690903690548952E-7</v>
      </c>
      <c r="AF54" s="22">
        <f>('CN FD S'!AF54-'CN FD C'!AF54*EurCall!AF53)/'CN FD alpha'!AF54</f>
        <v>2.0304761547930448E-7</v>
      </c>
      <c r="AG54" s="22">
        <f>('CN FD S'!AG54-'CN FD C'!AG54*EurCall!AG53)/'CN FD alpha'!AG54</f>
        <v>1.359893013696543E-7</v>
      </c>
      <c r="AH54" s="22">
        <f>('CN FD S'!AH54-'CN FD C'!AH54*EurCall!AH53)/'CN FD alpha'!AH54</f>
        <v>8.9014572355558215E-8</v>
      </c>
      <c r="AI54" s="22">
        <f>('CN FD S'!AI54-'CN FD C'!AI54*EurCall!AI53)/'CN FD alpha'!AI54</f>
        <v>5.6813984893118081E-8</v>
      </c>
      <c r="AJ54" s="22">
        <f>('CN FD S'!AJ54-'CN FD C'!AJ54*EurCall!AJ53)/'CN FD alpha'!AJ54</f>
        <v>3.5263145076206588E-8</v>
      </c>
      <c r="AK54" s="22">
        <f>('CN FD S'!AK54-'CN FD C'!AK54*EurCall!AK53)/'CN FD alpha'!AK54</f>
        <v>2.1218079594555475E-8</v>
      </c>
      <c r="AL54" s="22">
        <f>('CN FD S'!AL54-'CN FD C'!AL54*EurCall!AL53)/'CN FD alpha'!AL54</f>
        <v>1.2331937951383513E-8</v>
      </c>
      <c r="AM54" s="22">
        <f>('CN FD S'!AM54-'CN FD C'!AM54*EurCall!AM53)/'CN FD alpha'!AM54</f>
        <v>6.893499800561145E-9</v>
      </c>
      <c r="AN54" s="22">
        <f>('CN FD S'!AN54-'CN FD C'!AN54*EurCall!AN53)/'CN FD alpha'!AN54</f>
        <v>3.6874822369230166E-9</v>
      </c>
      <c r="AO54" s="22">
        <f>('CN FD S'!AO54-'CN FD C'!AO54*EurCall!AO53)/'CN FD alpha'!AO54</f>
        <v>1.8761574548333643E-9</v>
      </c>
      <c r="AP54" s="22">
        <f>('CN FD S'!AP54-'CN FD C'!AP54*EurCall!AP53)/'CN FD alpha'!AP54</f>
        <v>9.0132036523425674E-10</v>
      </c>
      <c r="AQ54" s="22">
        <f>('CN FD S'!AQ54-'CN FD C'!AQ54*EurCall!AQ53)/'CN FD alpha'!AQ54</f>
        <v>4.0520969928333563E-10</v>
      </c>
      <c r="AR54" s="22">
        <f>('CN FD S'!AR54-'CN FD C'!AR54*EurCall!AR53)/'CN FD alpha'!AR54</f>
        <v>1.686072411358782E-10</v>
      </c>
      <c r="AS54" s="22">
        <f>('CN FD S'!AS54-'CN FD C'!AS54*EurCall!AS53)/'CN FD alpha'!AS54</f>
        <v>6.4040409586868853E-11</v>
      </c>
      <c r="AT54" s="22">
        <f>('CN FD S'!AT54-'CN FD C'!AT54*EurCall!AT53)/'CN FD alpha'!AT54</f>
        <v>2.1813755146993222E-11</v>
      </c>
      <c r="AU54" s="22">
        <f>('CN FD S'!AU54-'CN FD C'!AU54*EurCall!AU53)/'CN FD alpha'!AU54</f>
        <v>6.5110500789789737E-12</v>
      </c>
      <c r="AV54" s="22">
        <f>('CN FD S'!AV54-'CN FD C'!AV54*EurCall!AV53)/'CN FD alpha'!AV54</f>
        <v>1.650465209867264E-12</v>
      </c>
      <c r="AW54" s="22">
        <f>('CN FD S'!AW54-'CN FD C'!AW54*EurCall!AW53)/'CN FD alpha'!AW54</f>
        <v>3.3979500018163801E-13</v>
      </c>
      <c r="AX54" s="22">
        <f>('CN FD S'!AX54-'CN FD C'!AX54*EurCall!AX53)/'CN FD alpha'!AX54</f>
        <v>5.303415084867521E-14</v>
      </c>
      <c r="AY54" s="22">
        <f>('CN FD S'!AY54-'CN FD C'!AY54*EurCall!AY53)/'CN FD alpha'!AY54</f>
        <v>5.5511335731759849E-15</v>
      </c>
      <c r="AZ54" s="22">
        <f>('CN FD S'!AZ54-'CN FD C'!AZ54*EurCall!AZ53)/'CN FD alpha'!AZ54</f>
        <v>2.9077881597922796E-16</v>
      </c>
      <c r="BA54" s="6">
        <f t="shared" si="4"/>
        <v>0</v>
      </c>
    </row>
    <row r="55" spans="1:53" x14ac:dyDescent="0.2">
      <c r="A55" s="15">
        <f t="shared" si="2"/>
        <v>10</v>
      </c>
      <c r="B55" s="16">
        <f t="shared" si="3"/>
        <v>20</v>
      </c>
      <c r="C55" s="22">
        <f>('CN FD S'!C55-'CN FD C'!C55*EurCall!C54)/'CN FD alpha'!C55</f>
        <v>1.6817404634098361E-5</v>
      </c>
      <c r="D55" s="22">
        <f>('CN FD S'!D55-'CN FD C'!D55*EurCall!D54)/'CN FD alpha'!D55</f>
        <v>1.4367954758414388E-5</v>
      </c>
      <c r="E55" s="22">
        <f>('CN FD S'!E55-'CN FD C'!E55*EurCall!E54)/'CN FD alpha'!E55</f>
        <v>1.2223850505151967E-5</v>
      </c>
      <c r="F55" s="22">
        <f>('CN FD S'!F55-'CN FD C'!F55*EurCall!F54)/'CN FD alpha'!F55</f>
        <v>1.0354230278003092E-5</v>
      </c>
      <c r="G55" s="22">
        <f>('CN FD S'!G55-'CN FD C'!G55*EurCall!G54)/'CN FD alpha'!G55</f>
        <v>8.7304934502823485E-6</v>
      </c>
      <c r="H55" s="22">
        <f>('CN FD S'!H55-'CN FD C'!H55*EurCall!H54)/'CN FD alpha'!H55</f>
        <v>7.3262179351147558E-6</v>
      </c>
      <c r="I55" s="22">
        <f>('CN FD S'!I55-'CN FD C'!I55*EurCall!I54)/'CN FD alpha'!I55</f>
        <v>6.1170744800717767E-6</v>
      </c>
      <c r="J55" s="22">
        <f>('CN FD S'!J55-'CN FD C'!J55*EurCall!J54)/'CN FD alpha'!J55</f>
        <v>5.0807380644501475E-6</v>
      </c>
      <c r="K55" s="22">
        <f>('CN FD S'!K55-'CN FD C'!K55*EurCall!K54)/'CN FD alpha'!K55</f>
        <v>4.1967968026756776E-6</v>
      </c>
      <c r="L55" s="22">
        <f>('CN FD S'!L55-'CN FD C'!L55*EurCall!L54)/'CN FD alpha'!L55</f>
        <v>3.4466587804440129E-6</v>
      </c>
      <c r="M55" s="22">
        <f>('CN FD S'!M55-'CN FD C'!M55*EurCall!M54)/'CN FD alpha'!M55</f>
        <v>2.8134572707710389E-6</v>
      </c>
      <c r="N55" s="22">
        <f>('CN FD S'!N55-'CN FD C'!N55*EurCall!N54)/'CN FD alpha'!N55</f>
        <v>2.2819547946987933E-6</v>
      </c>
      <c r="O55" s="22">
        <f>('CN FD S'!O55-'CN FD C'!O55*EurCall!O54)/'CN FD alpha'!O55</f>
        <v>1.8384465055684966E-6</v>
      </c>
      <c r="P55" s="22">
        <f>('CN FD S'!P55-'CN FD C'!P55*EurCall!P54)/'CN FD alpha'!P55</f>
        <v>1.4706633861167424E-6</v>
      </c>
      <c r="Q55" s="22">
        <f>('CN FD S'!Q55-'CN FD C'!Q55*EurCall!Q54)/'CN FD alpha'!Q55</f>
        <v>1.1676757537741653E-6</v>
      </c>
      <c r="R55" s="22">
        <f>('CN FD S'!R55-'CN FD C'!R55*EurCall!R54)/'CN FD alpha'!R55</f>
        <v>9.1979757107162685E-7</v>
      </c>
      <c r="S55" s="22">
        <f>('CN FD S'!S55-'CN FD C'!S55*EurCall!S54)/'CN FD alpha'!S55</f>
        <v>7.1849205464433019E-7</v>
      </c>
      <c r="T55" s="22">
        <f>('CN FD S'!T55-'CN FD C'!T55*EurCall!T54)/'CN FD alpha'!T55</f>
        <v>5.562790676716668E-7</v>
      </c>
      <c r="U55" s="22">
        <f>('CN FD S'!U55-'CN FD C'!U55*EurCall!U54)/'CN FD alpha'!U55</f>
        <v>4.2664476645951632E-7</v>
      </c>
      <c r="V55" s="22">
        <f>('CN FD S'!V55-'CN FD C'!V55*EurCall!V54)/'CN FD alpha'!V55</f>
        <v>3.2395395209181602E-7</v>
      </c>
      <c r="W55" s="22">
        <f>('CN FD S'!W55-'CN FD C'!W55*EurCall!W54)/'CN FD alpha'!W55</f>
        <v>2.4336555256267996E-7</v>
      </c>
      <c r="X55" s="22">
        <f>('CN FD S'!X55-'CN FD C'!X55*EurCall!X54)/'CN FD alpha'!X55</f>
        <v>1.8075162955937125E-7</v>
      </c>
      <c r="Y55" s="22">
        <f>('CN FD S'!Y55-'CN FD C'!Y55*EurCall!Y54)/'CN FD alpha'!Y55</f>
        <v>1.32620267220626E-7</v>
      </c>
      <c r="Z55" s="22">
        <f>('CN FD S'!Z55-'CN FD C'!Z55*EurCall!Z54)/'CN FD alpha'!Z55</f>
        <v>9.6042657987766024E-8</v>
      </c>
      <c r="AA55" s="22">
        <f>('CN FD S'!AA55-'CN FD C'!AA55*EurCall!AA54)/'CN FD alpha'!AA55</f>
        <v>6.8584653475604791E-8</v>
      </c>
      <c r="AB55" s="22">
        <f>('CN FD S'!AB55-'CN FD C'!AB55*EurCall!AB54)/'CN FD alpha'!AB55</f>
        <v>4.8242996637849078E-8</v>
      </c>
      <c r="AC55" s="22">
        <f>('CN FD S'!AC55-'CN FD C'!AC55*EurCall!AC54)/'CN FD alpha'!AC55</f>
        <v>3.338639605916216E-8</v>
      </c>
      <c r="AD55" s="22">
        <f>('CN FD S'!AD55-'CN FD C'!AD55*EurCall!AD54)/'CN FD alpha'!AD55</f>
        <v>2.2701544797892778E-8</v>
      </c>
      <c r="AE55" s="22">
        <f>('CN FD S'!AE55-'CN FD C'!AE55*EurCall!AE54)/'CN FD alpha'!AE55</f>
        <v>1.5144125805390253E-8</v>
      </c>
      <c r="AF55" s="22">
        <f>('CN FD S'!AF55-'CN FD C'!AF55*EurCall!AF54)/'CN FD alpha'!AF55</f>
        <v>9.8947846790363823E-9</v>
      </c>
      <c r="AG55" s="22">
        <f>('CN FD S'!AG55-'CN FD C'!AG55*EurCall!AG54)/'CN FD alpha'!AG55</f>
        <v>6.3199896149438339E-9</v>
      </c>
      <c r="AH55" s="22">
        <f>('CN FD S'!AH55-'CN FD C'!AH55*EurCall!AH54)/'CN FD alpha'!AH55</f>
        <v>3.9376392678559693E-9</v>
      </c>
      <c r="AI55" s="22">
        <f>('CN FD S'!AI55-'CN FD C'!AI55*EurCall!AI54)/'CN FD alpha'!AI55</f>
        <v>2.3872232310955768E-9</v>
      </c>
      <c r="AJ55" s="22">
        <f>('CN FD S'!AJ55-'CN FD C'!AJ55*EurCall!AJ54)/'CN FD alpha'!AJ55</f>
        <v>1.4042884846690112E-9</v>
      </c>
      <c r="AK55" s="22">
        <f>('CN FD S'!AK55-'CN FD C'!AK55*EurCall!AK54)/'CN FD alpha'!AK55</f>
        <v>7.9891987589649972E-10</v>
      </c>
      <c r="AL55" s="22">
        <f>('CN FD S'!AL55-'CN FD C'!AL55*EurCall!AL54)/'CN FD alpha'!AL55</f>
        <v>4.3790486994445946E-10</v>
      </c>
      <c r="AM55" s="22">
        <f>('CN FD S'!AM55-'CN FD C'!AM55*EurCall!AM54)/'CN FD alpha'!AM55</f>
        <v>2.3022366873529468E-10</v>
      </c>
      <c r="AN55" s="22">
        <f>('CN FD S'!AN55-'CN FD C'!AN55*EurCall!AN54)/'CN FD alpha'!AN55</f>
        <v>1.1548635670202676E-10</v>
      </c>
      <c r="AO55" s="22">
        <f>('CN FD S'!AO55-'CN FD C'!AO55*EurCall!AO54)/'CN FD alpha'!AO55</f>
        <v>5.4929700674368571E-11</v>
      </c>
      <c r="AP55" s="22">
        <f>('CN FD S'!AP55-'CN FD C'!AP55*EurCall!AP54)/'CN FD alpha'!AP55</f>
        <v>2.4587937905180019E-11</v>
      </c>
      <c r="AQ55" s="22">
        <f>('CN FD S'!AQ55-'CN FD C'!AQ55*EurCall!AQ54)/'CN FD alpha'!AQ55</f>
        <v>1.0264205559368349E-11</v>
      </c>
      <c r="AR55" s="22">
        <f>('CN FD S'!AR55-'CN FD C'!AR55*EurCall!AR54)/'CN FD alpha'!AR55</f>
        <v>3.9515581847591467E-12</v>
      </c>
      <c r="AS55" s="22">
        <f>('CN FD S'!AS55-'CN FD C'!AS55*EurCall!AS54)/'CN FD alpha'!AS55</f>
        <v>1.3836001754637286E-12</v>
      </c>
      <c r="AT55" s="22">
        <f>('CN FD S'!AT55-'CN FD C'!AT55*EurCall!AT54)/'CN FD alpha'!AT55</f>
        <v>4.3289528837511903E-13</v>
      </c>
      <c r="AU55" s="22">
        <f>('CN FD S'!AU55-'CN FD C'!AU55*EurCall!AU54)/'CN FD alpha'!AU55</f>
        <v>1.1827675407997986E-13</v>
      </c>
      <c r="AV55" s="22">
        <f>('CN FD S'!AV55-'CN FD C'!AV55*EurCall!AV54)/'CN FD alpha'!AV55</f>
        <v>2.7358149331469272E-14</v>
      </c>
      <c r="AW55" s="22">
        <f>('CN FD S'!AW55-'CN FD C'!AW55*EurCall!AW54)/'CN FD alpha'!AW55</f>
        <v>5.1259767945264432E-15</v>
      </c>
      <c r="AX55" s="22">
        <f>('CN FD S'!AX55-'CN FD C'!AX55*EurCall!AX54)/'CN FD alpha'!AX55</f>
        <v>7.2665234585219762E-16</v>
      </c>
      <c r="AY55" s="22">
        <f>('CN FD S'!AY55-'CN FD C'!AY55*EurCall!AY54)/'CN FD alpha'!AY55</f>
        <v>6.8998682206241871E-17</v>
      </c>
      <c r="AZ55" s="22">
        <f>('CN FD S'!AZ55-'CN FD C'!AZ55*EurCall!AZ54)/'CN FD alpha'!AZ55</f>
        <v>3.2776785284665461E-18</v>
      </c>
      <c r="BA55" s="6">
        <f t="shared" si="4"/>
        <v>0</v>
      </c>
    </row>
    <row r="56" spans="1:53" x14ac:dyDescent="0.2">
      <c r="A56" s="15">
        <f t="shared" si="2"/>
        <v>9</v>
      </c>
      <c r="B56" s="16">
        <f t="shared" si="3"/>
        <v>18</v>
      </c>
      <c r="C56" s="22">
        <f>('CN FD S'!C56-'CN FD C'!C56*EurCall!C55)/'CN FD alpha'!C56</f>
        <v>1.5247331232255759E-6</v>
      </c>
      <c r="D56" s="22">
        <f>('CN FD S'!D56-'CN FD C'!D56*EurCall!D55)/'CN FD alpha'!D56</f>
        <v>1.274953691895214E-6</v>
      </c>
      <c r="E56" s="22">
        <f>('CN FD S'!E56-'CN FD C'!E56*EurCall!E55)/'CN FD alpha'!E56</f>
        <v>1.0611683004497812E-6</v>
      </c>
      <c r="F56" s="22">
        <f>('CN FD S'!F56-'CN FD C'!F56*EurCall!F55)/'CN FD alpha'!F56</f>
        <v>8.7897412073086842E-7</v>
      </c>
      <c r="G56" s="22">
        <f>('CN FD S'!G56-'CN FD C'!G56*EurCall!G55)/'CN FD alpha'!G56</f>
        <v>7.2439762140239322E-7</v>
      </c>
      <c r="H56" s="22">
        <f>('CN FD S'!H56-'CN FD C'!H56*EurCall!H55)/'CN FD alpha'!H56</f>
        <v>5.9386562067292348E-7</v>
      </c>
      <c r="I56" s="22">
        <f>('CN FD S'!I56-'CN FD C'!I56*EurCall!I55)/'CN FD alpha'!I56</f>
        <v>4.8417705006062832E-7</v>
      </c>
      <c r="J56" s="22">
        <f>('CN FD S'!J56-'CN FD C'!J56*EurCall!J55)/'CN FD alpha'!J56</f>
        <v>3.9247550811103219E-7</v>
      </c>
      <c r="K56" s="22">
        <f>('CN FD S'!K56-'CN FD C'!K56*EurCall!K55)/'CN FD alpha'!K56</f>
        <v>3.1622267817489497E-7</v>
      </c>
      <c r="L56" s="22">
        <f>('CN FD S'!L56-'CN FD C'!L56*EurCall!L55)/'CN FD alpha'!L56</f>
        <v>2.5317267894115266E-7</v>
      </c>
      <c r="M56" s="22">
        <f>('CN FD S'!M56-'CN FD C'!M56*EurCall!M55)/'CN FD alpha'!M56</f>
        <v>2.0134741042219048E-7</v>
      </c>
      <c r="N56" s="22">
        <f>('CN FD S'!N56-'CN FD C'!N56*EurCall!N55)/'CN FD alpha'!N56</f>
        <v>1.5901295153871129E-7</v>
      </c>
      <c r="O56" s="22">
        <f>('CN FD S'!O56-'CN FD C'!O56*EurCall!O55)/'CN FD alpha'!O56</f>
        <v>1.2465705839104046E-7</v>
      </c>
      <c r="P56" s="22">
        <f>('CN FD S'!P56-'CN FD C'!P56*EurCall!P55)/'CN FD alpha'!P56</f>
        <v>9.6967804784111001E-8</v>
      </c>
      <c r="Q56" s="22">
        <f>('CN FD S'!Q56-'CN FD C'!Q56*EurCall!Q55)/'CN FD alpha'!Q56</f>
        <v>7.4813398655240426E-8</v>
      </c>
      <c r="R56" s="22">
        <f>('CN FD S'!R56-'CN FD C'!R56*EurCall!R55)/'CN FD alpha'!R56</f>
        <v>5.7223199807166246E-8</v>
      </c>
      <c r="S56" s="22">
        <f>('CN FD S'!S56-'CN FD C'!S56*EurCall!S55)/'CN FD alpha'!S56</f>
        <v>4.3369955852830001E-8</v>
      </c>
      <c r="T56" s="22">
        <f>('CN FD S'!T56-'CN FD C'!T56*EurCall!T55)/'CN FD alpha'!T56</f>
        <v>3.2553264620990921E-8</v>
      </c>
      <c r="U56" s="22">
        <f>('CN FD S'!U56-'CN FD C'!U56*EurCall!U55)/'CN FD alpha'!U56</f>
        <v>2.4184262548856181E-8</v>
      </c>
      <c r="V56" s="22">
        <f>('CN FD S'!V56-'CN FD C'!V56*EurCall!V55)/'CN FD alpha'!V56</f>
        <v>1.7771529902596652E-8</v>
      </c>
      <c r="W56" s="22">
        <f>('CN FD S'!W56-'CN FD C'!W56*EurCall!W55)/'CN FD alpha'!W56</f>
        <v>1.290819512782558E-8</v>
      </c>
      <c r="X56" s="22">
        <f>('CN FD S'!X56-'CN FD C'!X56*EurCall!X55)/'CN FD alpha'!X56</f>
        <v>9.2602123531876122E-9</v>
      </c>
      <c r="Y56" s="22">
        <f>('CN FD S'!Y56-'CN FD C'!Y56*EurCall!Y55)/'CN FD alpha'!Y56</f>
        <v>6.5557781670234569E-9</v>
      </c>
      <c r="Z56" s="22">
        <f>('CN FD S'!Z56-'CN FD C'!Z56*EurCall!Z55)/'CN FD alpha'!Z56</f>
        <v>4.5758463759543383E-9</v>
      </c>
      <c r="AA56" s="22">
        <f>('CN FD S'!AA56-'CN FD C'!AA56*EurCall!AA55)/'CN FD alpha'!AA56</f>
        <v>3.1456926494731924E-9</v>
      </c>
      <c r="AB56" s="22">
        <f>('CN FD S'!AB56-'CN FD C'!AB56*EurCall!AB55)/'CN FD alpha'!AB56</f>
        <v>2.1274748658184009E-9</v>
      </c>
      <c r="AC56" s="22">
        <f>('CN FD S'!AC56-'CN FD C'!AC56*EurCall!AC55)/'CN FD alpha'!AC56</f>
        <v>1.4137297034459829E-9</v>
      </c>
      <c r="AD56" s="22">
        <f>('CN FD S'!AD56-'CN FD C'!AD56*EurCall!AD55)/'CN FD alpha'!AD56</f>
        <v>9.2174166038922272E-10</v>
      </c>
      <c r="AE56" s="22">
        <f>('CN FD S'!AE56-'CN FD C'!AE56*EurCall!AE55)/'CN FD alpha'!AE56</f>
        <v>5.8871730769766128E-10</v>
      </c>
      <c r="AF56" s="22">
        <f>('CN FD S'!AF56-'CN FD C'!AF56*EurCall!AF55)/'CN FD alpha'!AF56</f>
        <v>3.6769525260820689E-10</v>
      </c>
      <c r="AG56" s="22">
        <f>('CN FD S'!AG56-'CN FD C'!AG56*EurCall!AG55)/'CN FD alpha'!AG56</f>
        <v>2.2412104119429384E-10</v>
      </c>
      <c r="AH56" s="22">
        <f>('CN FD S'!AH56-'CN FD C'!AH56*EurCall!AH55)/'CN FD alpha'!AH56</f>
        <v>1.3301608454162635E-10</v>
      </c>
      <c r="AI56" s="22">
        <f>('CN FD S'!AI56-'CN FD C'!AI56*EurCall!AI55)/'CN FD alpha'!AI56</f>
        <v>7.6670636556148717E-11</v>
      </c>
      <c r="AJ56" s="22">
        <f>('CN FD S'!AJ56-'CN FD C'!AJ56*EurCall!AJ55)/'CN FD alpha'!AJ56</f>
        <v>4.2792846897121548E-11</v>
      </c>
      <c r="AK56" s="22">
        <f>('CN FD S'!AK56-'CN FD C'!AK56*EurCall!AK55)/'CN FD alpha'!AK56</f>
        <v>2.3048891717896496E-11</v>
      </c>
      <c r="AL56" s="22">
        <f>('CN FD S'!AL56-'CN FD C'!AL56*EurCall!AL55)/'CN FD alpha'!AL56</f>
        <v>1.1933051142493095E-11</v>
      </c>
      <c r="AM56" s="22">
        <f>('CN FD S'!AM56-'CN FD C'!AM56*EurCall!AM55)/'CN FD alpha'!AM56</f>
        <v>5.9112308575197908E-12</v>
      </c>
      <c r="AN56" s="22">
        <f>('CN FD S'!AN56-'CN FD C'!AN56*EurCall!AN55)/'CN FD alpha'!AN56</f>
        <v>2.786665445736132E-12</v>
      </c>
      <c r="AO56" s="22">
        <f>('CN FD S'!AO56-'CN FD C'!AO56*EurCall!AO55)/'CN FD alpha'!AO56</f>
        <v>1.2422212837490371E-12</v>
      </c>
      <c r="AP56" s="22">
        <f>('CN FD S'!AP56-'CN FD C'!AP56*EurCall!AP55)/'CN FD alpha'!AP56</f>
        <v>5.1964948986746848E-13</v>
      </c>
      <c r="AQ56" s="22">
        <f>('CN FD S'!AQ56-'CN FD C'!AQ56*EurCall!AQ55)/'CN FD alpha'!AQ56</f>
        <v>2.0212888538994191E-13</v>
      </c>
      <c r="AR56" s="22">
        <f>('CN FD S'!AR56-'CN FD C'!AR56*EurCall!AR55)/'CN FD alpha'!AR56</f>
        <v>7.2290384495690084E-14</v>
      </c>
      <c r="AS56" s="22">
        <f>('CN FD S'!AS56-'CN FD C'!AS56*EurCall!AS55)/'CN FD alpha'!AS56</f>
        <v>2.3443815075004791E-14</v>
      </c>
      <c r="AT56" s="22">
        <f>('CN FD S'!AT56-'CN FD C'!AT56*EurCall!AT55)/'CN FD alpha'!AT56</f>
        <v>6.7738984690114423E-15</v>
      </c>
      <c r="AU56" s="22">
        <f>('CN FD S'!AU56-'CN FD C'!AU56*EurCall!AU55)/'CN FD alpha'!AU56</f>
        <v>1.7045319189107777E-15</v>
      </c>
      <c r="AV56" s="22">
        <f>('CN FD S'!AV56-'CN FD C'!AV56*EurCall!AV55)/'CN FD alpha'!AV56</f>
        <v>3.6222879064911774E-16</v>
      </c>
      <c r="AW56" s="22">
        <f>('CN FD S'!AW56-'CN FD C'!AW56*EurCall!AW55)/'CN FD alpha'!AW56</f>
        <v>6.2227884429248967E-17</v>
      </c>
      <c r="AX56" s="22">
        <f>('CN FD S'!AX56-'CN FD C'!AX56*EurCall!AX55)/'CN FD alpha'!AX56</f>
        <v>8.0760420801921764E-18</v>
      </c>
      <c r="AY56" s="22">
        <f>('CN FD S'!AY56-'CN FD C'!AY56*EurCall!AY55)/'CN FD alpha'!AY56</f>
        <v>7.0144783195858114E-19</v>
      </c>
      <c r="AZ56" s="22">
        <f>('CN FD S'!AZ56-'CN FD C'!AZ56*EurCall!AZ55)/'CN FD alpha'!AZ56</f>
        <v>3.0472803917036921E-20</v>
      </c>
      <c r="BA56" s="6">
        <f t="shared" si="4"/>
        <v>0</v>
      </c>
    </row>
    <row r="57" spans="1:53" x14ac:dyDescent="0.2">
      <c r="A57" s="15">
        <f t="shared" si="2"/>
        <v>8</v>
      </c>
      <c r="B57" s="16">
        <f t="shared" si="3"/>
        <v>16</v>
      </c>
      <c r="C57" s="22">
        <f>('CN FD S'!C57-'CN FD C'!C57*EurCall!C56)/'CN FD alpha'!C57</f>
        <v>1.0369600400509668E-7</v>
      </c>
      <c r="D57" s="22">
        <f>('CN FD S'!D57-'CN FD C'!D57*EurCall!D56)/'CN FD alpha'!D57</f>
        <v>8.4839924974142642E-8</v>
      </c>
      <c r="E57" s="22">
        <f>('CN FD S'!E57-'CN FD C'!E57*EurCall!E56)/'CN FD alpha'!E57</f>
        <v>6.9062975532998304E-8</v>
      </c>
      <c r="F57" s="22">
        <f>('CN FD S'!F57-'CN FD C'!F57*EurCall!F56)/'CN FD alpha'!F57</f>
        <v>5.5924619663786945E-8</v>
      </c>
      <c r="G57" s="22">
        <f>('CN FD S'!G57-'CN FD C'!G57*EurCall!G56)/'CN FD alpha'!G57</f>
        <v>4.5037430910516028E-8</v>
      </c>
      <c r="H57" s="22">
        <f>('CN FD S'!H57-'CN FD C'!H57*EurCall!H56)/'CN FD alpha'!H57</f>
        <v>3.6062070083533712E-8</v>
      </c>
      <c r="I57" s="22">
        <f>('CN FD S'!I57-'CN FD C'!I57*EurCall!I56)/'CN FD alpha'!I57</f>
        <v>2.8702575232923382E-8</v>
      </c>
      <c r="J57" s="22">
        <f>('CN FD S'!J57-'CN FD C'!J57*EurCall!J56)/'CN FD alpha'!J57</f>
        <v>2.2701960129510415E-8</v>
      </c>
      <c r="K57" s="22">
        <f>('CN FD S'!K57-'CN FD C'!K57*EurCall!K56)/'CN FD alpha'!K57</f>
        <v>1.7838116243224748E-8</v>
      </c>
      <c r="L57" s="22">
        <f>('CN FD S'!L57-'CN FD C'!L57*EurCall!L56)/'CN FD alpha'!L57</f>
        <v>1.392001200507886E-8</v>
      </c>
      <c r="M57" s="22">
        <f>('CN FD S'!M57-'CN FD C'!M57*EurCall!M56)/'CN FD alpha'!M57</f>
        <v>1.0784181991238545E-8</v>
      </c>
      <c r="N57" s="22">
        <f>('CN FD S'!N57-'CN FD C'!N57*EurCall!N56)/'CN FD alpha'!N57</f>
        <v>8.2914975856757392E-9</v>
      </c>
      <c r="O57" s="22">
        <f>('CN FD S'!O57-'CN FD C'!O57*EurCall!O56)/'CN FD alpha'!O57</f>
        <v>6.3242096714862413E-9</v>
      </c>
      <c r="P57" s="22">
        <f>('CN FD S'!P57-'CN FD C'!P57*EurCall!P56)/'CN FD alpha'!P57</f>
        <v>4.783252979468522E-9</v>
      </c>
      <c r="Q57" s="22">
        <f>('CN FD S'!Q57-'CN FD C'!Q57*EurCall!Q56)/'CN FD alpha'!Q57</f>
        <v>3.5858008947238562E-9</v>
      </c>
      <c r="R57" s="22">
        <f>('CN FD S'!R57-'CN FD C'!R57*EurCall!R56)/'CN FD alpha'!R57</f>
        <v>2.6630587958196556E-9</v>
      </c>
      <c r="S57" s="22">
        <f>('CN FD S'!S57-'CN FD C'!S57*EurCall!S56)/'CN FD alpha'!S57</f>
        <v>1.9582833834961291E-9</v>
      </c>
      <c r="T57" s="22">
        <f>('CN FD S'!T57-'CN FD C'!T57*EurCall!T56)/'CN FD alpha'!T57</f>
        <v>1.4250149529422808E-9</v>
      </c>
      <c r="U57" s="22">
        <f>('CN FD S'!U57-'CN FD C'!U57*EurCall!U56)/'CN FD alpha'!U57</f>
        <v>1.0255091800263695E-9</v>
      </c>
      <c r="V57" s="22">
        <f>('CN FD S'!V57-'CN FD C'!V57*EurCall!V56)/'CN FD alpha'!V57</f>
        <v>7.2935473084956872E-10</v>
      </c>
      <c r="W57" s="22">
        <f>('CN FD S'!W57-'CN FD C'!W57*EurCall!W56)/'CN FD alpha'!W57</f>
        <v>5.1226286738015999E-10</v>
      </c>
      <c r="X57" s="22">
        <f>('CN FD S'!X57-'CN FD C'!X57*EurCall!X56)/'CN FD alpha'!X57</f>
        <v>3.5501520984954799E-10</v>
      </c>
      <c r="Y57" s="22">
        <f>('CN FD S'!Y57-'CN FD C'!Y57*EurCall!Y56)/'CN FD alpha'!Y57</f>
        <v>2.4255592743419188E-10</v>
      </c>
      <c r="Z57" s="22">
        <f>('CN FD S'!Z57-'CN FD C'!Z57*EurCall!Z56)/'CN FD alpha'!Z57</f>
        <v>1.6321485907639351E-10</v>
      </c>
      <c r="AA57" s="22">
        <f>('CN FD S'!AA57-'CN FD C'!AA57*EurCall!AA56)/'CN FD alpha'!AA57</f>
        <v>1.0804841082671852E-10</v>
      </c>
      <c r="AB57" s="22">
        <f>('CN FD S'!AB57-'CN FD C'!AB57*EurCall!AB56)/'CN FD alpha'!AB57</f>
        <v>7.0285527686453687E-11</v>
      </c>
      <c r="AC57" s="22">
        <f>('CN FD S'!AC57-'CN FD C'!AC57*EurCall!AC56)/'CN FD alpha'!AC57</f>
        <v>4.4866587650465944E-11</v>
      </c>
      <c r="AD57" s="22">
        <f>('CN FD S'!AD57-'CN FD C'!AD57*EurCall!AD56)/'CN FD alpha'!AD57</f>
        <v>2.8063702849056408E-11</v>
      </c>
      <c r="AE57" s="22">
        <f>('CN FD S'!AE57-'CN FD C'!AE57*EurCall!AE56)/'CN FD alpha'!AE57</f>
        <v>1.7171625146564767E-11</v>
      </c>
      <c r="AF57" s="22">
        <f>('CN FD S'!AF57-'CN FD C'!AF57*EurCall!AF56)/'CN FD alpha'!AF57</f>
        <v>1.0259227693348644E-11</v>
      </c>
      <c r="AG57" s="22">
        <f>('CN FD S'!AG57-'CN FD C'!AG57*EurCall!AG56)/'CN FD alpha'!AG57</f>
        <v>5.9723550534941731E-12</v>
      </c>
      <c r="AH57" s="22">
        <f>('CN FD S'!AH57-'CN FD C'!AH57*EurCall!AH56)/'CN FD alpha'!AH57</f>
        <v>3.3796871468033214E-12</v>
      </c>
      <c r="AI57" s="22">
        <f>('CN FD S'!AI57-'CN FD C'!AI57*EurCall!AI56)/'CN FD alpha'!AI57</f>
        <v>1.8541304085777371E-12</v>
      </c>
      <c r="AJ57" s="22">
        <f>('CN FD S'!AJ57-'CN FD C'!AJ57*EurCall!AJ56)/'CN FD alpha'!AJ57</f>
        <v>9.8311729968489933E-13</v>
      </c>
      <c r="AK57" s="22">
        <f>('CN FD S'!AK57-'CN FD C'!AK57*EurCall!AK56)/'CN FD alpha'!AK57</f>
        <v>5.0204700087345027E-13</v>
      </c>
      <c r="AL57" s="22">
        <f>('CN FD S'!AL57-'CN FD C'!AL57*EurCall!AL56)/'CN FD alpha'!AL57</f>
        <v>2.459210587951549E-13</v>
      </c>
      <c r="AM57" s="22">
        <f>('CN FD S'!AM57-'CN FD C'!AM57*EurCall!AM56)/'CN FD alpha'!AM57</f>
        <v>1.1500448932941646E-13</v>
      </c>
      <c r="AN57" s="22">
        <f>('CN FD S'!AN57-'CN FD C'!AN57*EurCall!AN56)/'CN FD alpha'!AN57</f>
        <v>5.1063718773361851E-14</v>
      </c>
      <c r="AO57" s="22">
        <f>('CN FD S'!AO57-'CN FD C'!AO57*EurCall!AO56)/'CN FD alpha'!AO57</f>
        <v>2.1388254065750821E-14</v>
      </c>
      <c r="AP57" s="22">
        <f>('CN FD S'!AP57-'CN FD C'!AP57*EurCall!AP56)/'CN FD alpha'!AP57</f>
        <v>8.3861266018614193E-15</v>
      </c>
      <c r="AQ57" s="22">
        <f>('CN FD S'!AQ57-'CN FD C'!AQ57*EurCall!AQ56)/'CN FD alpha'!AQ57</f>
        <v>3.0497147746757884E-15</v>
      </c>
      <c r="AR57" s="22">
        <f>('CN FD S'!AR57-'CN FD C'!AR57*EurCall!AR56)/'CN FD alpha'!AR57</f>
        <v>1.0171689823415187E-15</v>
      </c>
      <c r="AS57" s="22">
        <f>('CN FD S'!AS57-'CN FD C'!AS57*EurCall!AS56)/'CN FD alpha'!AS57</f>
        <v>3.0686205403947324E-16</v>
      </c>
      <c r="AT57" s="22">
        <f>('CN FD S'!AT57-'CN FD C'!AT57*EurCall!AT56)/'CN FD alpha'!AT57</f>
        <v>8.2285530035247223E-17</v>
      </c>
      <c r="AU57" s="22">
        <f>('CN FD S'!AU57-'CN FD C'!AU57*EurCall!AU56)/'CN FD alpha'!AU57</f>
        <v>1.9173773771374307E-17</v>
      </c>
      <c r="AV57" s="22">
        <f>('CN FD S'!AV57-'CN FD C'!AV57*EurCall!AV56)/'CN FD alpha'!AV57</f>
        <v>3.7658901106497617E-18</v>
      </c>
      <c r="AW57" s="22">
        <f>('CN FD S'!AW57-'CN FD C'!AW57*EurCall!AW56)/'CN FD alpha'!AW57</f>
        <v>5.9699403783838385E-19</v>
      </c>
      <c r="AX57" s="22">
        <f>('CN FD S'!AX57-'CN FD C'!AX57*EurCall!AX56)/'CN FD alpha'!AX57</f>
        <v>7.1414833924425737E-20</v>
      </c>
      <c r="AY57" s="22">
        <f>('CN FD S'!AY57-'CN FD C'!AY57*EurCall!AY56)/'CN FD alpha'!AY57</f>
        <v>5.7135559760137885E-21</v>
      </c>
      <c r="AZ57" s="22">
        <f>('CN FD S'!AZ57-'CN FD C'!AZ57*EurCall!AZ56)/'CN FD alpha'!AZ57</f>
        <v>2.2860557913507709E-22</v>
      </c>
      <c r="BA57" s="6">
        <f t="shared" si="4"/>
        <v>0</v>
      </c>
    </row>
    <row r="58" spans="1:53" x14ac:dyDescent="0.2">
      <c r="A58" s="15">
        <f t="shared" si="2"/>
        <v>7</v>
      </c>
      <c r="B58" s="16">
        <f t="shared" si="3"/>
        <v>14</v>
      </c>
      <c r="C58" s="22">
        <f>('CN FD S'!C58-'CN FD C'!C58*EurCall!C57)/'CN FD alpha'!C58</f>
        <v>5.1569286730991798E-9</v>
      </c>
      <c r="D58" s="22">
        <f>('CN FD S'!D58-'CN FD C'!D58*EurCall!D57)/'CN FD alpha'!D58</f>
        <v>4.1276685699925791E-9</v>
      </c>
      <c r="E58" s="22">
        <f>('CN FD S'!E58-'CN FD C'!E58*EurCall!E57)/'CN FD alpha'!E58</f>
        <v>3.2858498849904853E-9</v>
      </c>
      <c r="F58" s="22">
        <f>('CN FD S'!F58-'CN FD C'!F58*EurCall!F57)/'CN FD alpha'!F58</f>
        <v>2.6008742142999105E-9</v>
      </c>
      <c r="G58" s="22">
        <f>('CN FD S'!G58-'CN FD C'!G58*EurCall!G57)/'CN FD alpha'!G58</f>
        <v>2.0465057052192E-9</v>
      </c>
      <c r="H58" s="22">
        <f>('CN FD S'!H58-'CN FD C'!H58*EurCall!H57)/'CN FD alpha'!H58</f>
        <v>1.6003501086199642E-9</v>
      </c>
      <c r="I58" s="22">
        <f>('CN FD S'!I58-'CN FD C'!I58*EurCall!I57)/'CN FD alpha'!I58</f>
        <v>1.243381945403703E-9</v>
      </c>
      <c r="J58" s="22">
        <f>('CN FD S'!J58-'CN FD C'!J58*EurCall!J57)/'CN FD alpha'!J58</f>
        <v>9.5951700771813887E-10</v>
      </c>
      <c r="K58" s="22">
        <f>('CN FD S'!K58-'CN FD C'!K58*EurCall!K57)/'CN FD alpha'!K58</f>
        <v>7.352274144844233E-10</v>
      </c>
      <c r="L58" s="22">
        <f>('CN FD S'!L58-'CN FD C'!L58*EurCall!L57)/'CN FD alpha'!L58</f>
        <v>5.5919645411296069E-10</v>
      </c>
      <c r="M58" s="22">
        <f>('CN FD S'!M58-'CN FD C'!M58*EurCall!M57)/'CN FD alpha'!M58</f>
        <v>4.2201047486047673E-10</v>
      </c>
      <c r="N58" s="22">
        <f>('CN FD S'!N58-'CN FD C'!N58*EurCall!N57)/'CN FD alpha'!N58</f>
        <v>3.1588512466426376E-10</v>
      </c>
      <c r="O58" s="22">
        <f>('CN FD S'!O58-'CN FD C'!O58*EurCall!O57)/'CN FD alpha'!O58</f>
        <v>2.3442329691387006E-10</v>
      </c>
      <c r="P58" s="22">
        <f>('CN FD S'!P58-'CN FD C'!P58*EurCall!P57)/'CN FD alpha'!P58</f>
        <v>1.7240220579289609E-10</v>
      </c>
      <c r="Q58" s="22">
        <f>('CN FD S'!Q58-'CN FD C'!Q58*EurCall!Q57)/'CN FD alpha'!Q58</f>
        <v>1.2558709372918995E-10</v>
      </c>
      <c r="R58" s="22">
        <f>('CN FD S'!R58-'CN FD C'!R58*EurCall!R57)/'CN FD alpha'!R58</f>
        <v>9.0569163199627419E-11</v>
      </c>
      <c r="S58" s="22">
        <f>('CN FD S'!S58-'CN FD C'!S58*EurCall!S57)/'CN FD alpha'!S58</f>
        <v>6.4625424606478843E-11</v>
      </c>
      <c r="T58" s="22">
        <f>('CN FD S'!T58-'CN FD C'!T58*EurCall!T57)/'CN FD alpha'!T58</f>
        <v>4.5598260038203291E-11</v>
      </c>
      <c r="U58" s="22">
        <f>('CN FD S'!U58-'CN FD C'!U58*EurCall!U57)/'CN FD alpha'!U58</f>
        <v>3.1792618223881738E-11</v>
      </c>
      <c r="V58" s="22">
        <f>('CN FD S'!V58-'CN FD C'!V58*EurCall!V57)/'CN FD alpha'!V58</f>
        <v>2.1888877590338937E-11</v>
      </c>
      <c r="W58" s="22">
        <f>('CN FD S'!W58-'CN FD C'!W58*EurCall!W57)/'CN FD alpha'!W58</f>
        <v>1.4869540680686104E-11</v>
      </c>
      <c r="X58" s="22">
        <f>('CN FD S'!X58-'CN FD C'!X58*EurCall!X57)/'CN FD alpha'!X58</f>
        <v>9.9580529002458883E-12</v>
      </c>
      <c r="Y58" s="22">
        <f>('CN FD S'!Y58-'CN FD C'!Y58*EurCall!Y57)/'CN FD alpha'!Y58</f>
        <v>6.5681702091611448E-12</v>
      </c>
      <c r="Z58" s="22">
        <f>('CN FD S'!Z58-'CN FD C'!Z58*EurCall!Z57)/'CN FD alpha'!Z58</f>
        <v>4.2624325707960455E-12</v>
      </c>
      <c r="AA58" s="22">
        <f>('CN FD S'!AA58-'CN FD C'!AA58*EurCall!AA57)/'CN FD alpha'!AA58</f>
        <v>2.7184313054563726E-12</v>
      </c>
      <c r="AB58" s="22">
        <f>('CN FD S'!AB58-'CN FD C'!AB58*EurCall!AB57)/'CN FD alpha'!AB58</f>
        <v>1.7016876505589413E-12</v>
      </c>
      <c r="AC58" s="22">
        <f>('CN FD S'!AC58-'CN FD C'!AC58*EurCall!AC57)/'CN FD alpha'!AC58</f>
        <v>1.044085520993078E-12</v>
      </c>
      <c r="AD58" s="22">
        <f>('CN FD S'!AD58-'CN FD C'!AD58*EurCall!AD57)/'CN FD alpha'!AD58</f>
        <v>6.2692251856570499E-13</v>
      </c>
      <c r="AE58" s="22">
        <f>('CN FD S'!AE58-'CN FD C'!AE58*EurCall!AE57)/'CN FD alpha'!AE58</f>
        <v>3.6775859181041756E-13</v>
      </c>
      <c r="AF58" s="22">
        <f>('CN FD S'!AF58-'CN FD C'!AF58*EurCall!AF57)/'CN FD alpha'!AF58</f>
        <v>2.1035046480269409E-13</v>
      </c>
      <c r="AG58" s="22">
        <f>('CN FD S'!AG58-'CN FD C'!AG58*EurCall!AG57)/'CN FD alpha'!AG58</f>
        <v>1.1706125425618953E-13</v>
      </c>
      <c r="AH58" s="22">
        <f>('CN FD S'!AH58-'CN FD C'!AH58*EurCall!AH57)/'CN FD alpha'!AH58</f>
        <v>6.3227961465995895E-14</v>
      </c>
      <c r="AI58" s="22">
        <f>('CN FD S'!AI58-'CN FD C'!AI58*EurCall!AI57)/'CN FD alpha'!AI58</f>
        <v>3.3054318915784479E-14</v>
      </c>
      <c r="AJ58" s="22">
        <f>('CN FD S'!AJ58-'CN FD C'!AJ58*EurCall!AJ57)/'CN FD alpha'!AJ58</f>
        <v>1.6672532281142881E-14</v>
      </c>
      <c r="AK58" s="22">
        <f>('CN FD S'!AK58-'CN FD C'!AK58*EurCall!AK57)/'CN FD alpha'!AK58</f>
        <v>8.0847128393012687E-15</v>
      </c>
      <c r="AL58" s="22">
        <f>('CN FD S'!AL58-'CN FD C'!AL58*EurCall!AL57)/'CN FD alpha'!AL58</f>
        <v>3.7533488901549437E-15</v>
      </c>
      <c r="AM58" s="22">
        <f>('CN FD S'!AM58-'CN FD C'!AM58*EurCall!AM57)/'CN FD alpha'!AM58</f>
        <v>1.660294585303697E-15</v>
      </c>
      <c r="AN58" s="22">
        <f>('CN FD S'!AN58-'CN FD C'!AN58*EurCall!AN57)/'CN FD alpha'!AN58</f>
        <v>6.9589338700435074E-16</v>
      </c>
      <c r="AO58" s="22">
        <f>('CN FD S'!AO58-'CN FD C'!AO58*EurCall!AO57)/'CN FD alpha'!AO58</f>
        <v>2.7456963532659133E-16</v>
      </c>
      <c r="AP58" s="22">
        <f>('CN FD S'!AP58-'CN FD C'!AP58*EurCall!AP57)/'CN FD alpha'!AP58</f>
        <v>1.0119404730417432E-16</v>
      </c>
      <c r="AQ58" s="22">
        <f>('CN FD S'!AQ58-'CN FD C'!AQ58*EurCall!AQ57)/'CN FD alpha'!AQ58</f>
        <v>3.451696460920703E-17</v>
      </c>
      <c r="AR58" s="22">
        <f>('CN FD S'!AR58-'CN FD C'!AR58*EurCall!AR57)/'CN FD alpha'!AR58</f>
        <v>1.0775039312509404E-17</v>
      </c>
      <c r="AS58" s="22">
        <f>('CN FD S'!AS58-'CN FD C'!AS58*EurCall!AS57)/'CN FD alpha'!AS58</f>
        <v>3.0361417173481905E-18</v>
      </c>
      <c r="AT58" s="22">
        <f>('CN FD S'!AT58-'CN FD C'!AT58*EurCall!AT57)/'CN FD alpha'!AT58</f>
        <v>7.5893925985148514E-19</v>
      </c>
      <c r="AU58" s="22">
        <f>('CN FD S'!AU58-'CN FD C'!AU58*EurCall!AU57)/'CN FD alpha'!AU58</f>
        <v>1.6455988068221127E-19</v>
      </c>
      <c r="AV58" s="22">
        <f>('CN FD S'!AV58-'CN FD C'!AV58*EurCall!AV57)/'CN FD alpha'!AV58</f>
        <v>3.0029527750871695E-20</v>
      </c>
      <c r="AW58" s="22">
        <f>('CN FD S'!AW58-'CN FD C'!AW58*EurCall!AW57)/'CN FD alpha'!AW58</f>
        <v>4.4175032077720546E-21</v>
      </c>
      <c r="AX58" s="22">
        <f>('CN FD S'!AX58-'CN FD C'!AX58*EurCall!AX57)/'CN FD alpha'!AX58</f>
        <v>4.8993184956367989E-22</v>
      </c>
      <c r="AY58" s="22">
        <f>('CN FD S'!AY58-'CN FD C'!AY58*EurCall!AY57)/'CN FD alpha'!AY58</f>
        <v>3.632272003806725E-23</v>
      </c>
      <c r="AZ58" s="22">
        <f>('CN FD S'!AZ58-'CN FD C'!AZ58*EurCall!AZ57)/'CN FD alpha'!AZ58</f>
        <v>1.3466254357642074E-24</v>
      </c>
      <c r="BA58" s="6">
        <f t="shared" si="4"/>
        <v>0</v>
      </c>
    </row>
    <row r="59" spans="1:53" x14ac:dyDescent="0.2">
      <c r="A59" s="15">
        <f t="shared" si="2"/>
        <v>6</v>
      </c>
      <c r="B59" s="16">
        <f t="shared" si="3"/>
        <v>12</v>
      </c>
      <c r="C59" s="22">
        <f>('CN FD S'!C59-'CN FD C'!C59*EurCall!C58)/'CN FD alpha'!C59</f>
        <v>1.8147398302491142E-10</v>
      </c>
      <c r="D59" s="22">
        <f>('CN FD S'!D59-'CN FD C'!D59*EurCall!D58)/'CN FD alpha'!D59</f>
        <v>1.4209948070340628E-10</v>
      </c>
      <c r="E59" s="22">
        <f>('CN FD S'!E59-'CN FD C'!E59*EurCall!E58)/'CN FD alpha'!E59</f>
        <v>1.1061828031847108E-10</v>
      </c>
      <c r="F59" s="22">
        <f>('CN FD S'!F59-'CN FD C'!F59*EurCall!F58)/'CN FD alpha'!F59</f>
        <v>8.5587608651843785E-11</v>
      </c>
      <c r="G59" s="22">
        <f>('CN FD S'!G59-'CN FD C'!G59*EurCall!G58)/'CN FD alpha'!G59</f>
        <v>6.580079414071733E-11</v>
      </c>
      <c r="H59" s="22">
        <f>('CN FD S'!H59-'CN FD C'!H59*EurCall!H58)/'CN FD alpha'!H59</f>
        <v>5.0253596616436262E-11</v>
      </c>
      <c r="I59" s="22">
        <f>('CN FD S'!I59-'CN FD C'!I59*EurCall!I58)/'CN FD alpha'!I59</f>
        <v>3.8114540781041404E-11</v>
      </c>
      <c r="J59" s="22">
        <f>('CN FD S'!J59-'CN FD C'!J59*EurCall!J58)/'CN FD alpha'!J59</f>
        <v>2.869888924848062E-11</v>
      </c>
      <c r="K59" s="22">
        <f>('CN FD S'!K59-'CN FD C'!K59*EurCall!K58)/'CN FD alpha'!K59</f>
        <v>2.1445910800126008E-11</v>
      </c>
      <c r="L59" s="22">
        <f>('CN FD S'!L59-'CN FD C'!L59*EurCall!L58)/'CN FD alpha'!L59</f>
        <v>1.5899119560837503E-11</v>
      </c>
      <c r="M59" s="22">
        <f>('CN FD S'!M59-'CN FD C'!M59*EurCall!M58)/'CN FD alpha'!M59</f>
        <v>1.1689180965699453E-11</v>
      </c>
      <c r="N59" s="22">
        <f>('CN FD S'!N59-'CN FD C'!N59*EurCall!N58)/'CN FD alpha'!N59</f>
        <v>8.5192005337499583E-12</v>
      </c>
      <c r="O59" s="22">
        <f>('CN FD S'!O59-'CN FD C'!O59*EurCall!O58)/'CN FD alpha'!O59</f>
        <v>6.1521314712242061E-12</v>
      </c>
      <c r="P59" s="22">
        <f>('CN FD S'!P59-'CN FD C'!P59*EurCall!P58)/'CN FD alpha'!P59</f>
        <v>4.4000568746137038E-12</v>
      </c>
      <c r="Q59" s="22">
        <f>('CN FD S'!Q59-'CN FD C'!Q59*EurCall!Q58)/'CN FD alpha'!Q59</f>
        <v>3.1151216798162598E-12</v>
      </c>
      <c r="R59" s="22">
        <f>('CN FD S'!R59-'CN FD C'!R59*EurCall!R58)/'CN FD alpha'!R59</f>
        <v>2.1819084006262458E-12</v>
      </c>
      <c r="S59" s="22">
        <f>('CN FD S'!S59-'CN FD C'!S59*EurCall!S58)/'CN FD alpha'!S59</f>
        <v>1.5110690179024129E-12</v>
      </c>
      <c r="T59" s="22">
        <f>('CN FD S'!T59-'CN FD C'!T59*EurCall!T58)/'CN FD alpha'!T59</f>
        <v>1.0340430284107949E-12</v>
      </c>
      <c r="U59" s="22">
        <f>('CN FD S'!U59-'CN FD C'!U59*EurCall!U58)/'CN FD alpha'!U59</f>
        <v>6.9870855734224417E-13</v>
      </c>
      <c r="V59" s="22">
        <f>('CN FD S'!V59-'CN FD C'!V59*EurCall!V58)/'CN FD alpha'!V59</f>
        <v>4.6582950878639906E-13</v>
      </c>
      <c r="W59" s="22">
        <f>('CN FD S'!W59-'CN FD C'!W59*EurCall!W58)/'CN FD alpha'!W59</f>
        <v>3.0617691285039732E-13</v>
      </c>
      <c r="X59" s="22">
        <f>('CN FD S'!X59-'CN FD C'!X59*EurCall!X58)/'CN FD alpha'!X59</f>
        <v>1.9821687698534891E-13</v>
      </c>
      <c r="Y59" s="22">
        <f>('CN FD S'!Y59-'CN FD C'!Y59*EurCall!Y58)/'CN FD alpha'!Y59</f>
        <v>1.2627082470397905E-13</v>
      </c>
      <c r="Z59" s="22">
        <f>('CN FD S'!Z59-'CN FD C'!Z59*EurCall!Z58)/'CN FD alpha'!Z59</f>
        <v>7.9065981707591176E-14</v>
      </c>
      <c r="AA59" s="22">
        <f>('CN FD S'!AA59-'CN FD C'!AA59*EurCall!AA58)/'CN FD alpha'!AA59</f>
        <v>4.8605334216320631E-14</v>
      </c>
      <c r="AB59" s="22">
        <f>('CN FD S'!AB59-'CN FD C'!AB59*EurCall!AB58)/'CN FD alpha'!AB59</f>
        <v>2.9296535864512986E-14</v>
      </c>
      <c r="AC59" s="22">
        <f>('CN FD S'!AC59-'CN FD C'!AC59*EurCall!AC58)/'CN FD alpha'!AC59</f>
        <v>1.72884885165088E-14</v>
      </c>
      <c r="AD59" s="22">
        <f>('CN FD S'!AD59-'CN FD C'!AD59*EurCall!AD58)/'CN FD alpha'!AD59</f>
        <v>9.9725906416313325E-15</v>
      </c>
      <c r="AE59" s="22">
        <f>('CN FD S'!AE59-'CN FD C'!AE59*EurCall!AE58)/'CN FD alpha'!AE59</f>
        <v>5.6129667974162383E-15</v>
      </c>
      <c r="AF59" s="22">
        <f>('CN FD S'!AF59-'CN FD C'!AF59*EurCall!AF58)/'CN FD alpha'!AF59</f>
        <v>3.0764051587152677E-15</v>
      </c>
      <c r="AG59" s="22">
        <f>('CN FD S'!AG59-'CN FD C'!AG59*EurCall!AG58)/'CN FD alpha'!AG59</f>
        <v>1.6382871229713077E-15</v>
      </c>
      <c r="AH59" s="22">
        <f>('CN FD S'!AH59-'CN FD C'!AH59*EurCall!AH58)/'CN FD alpha'!AH59</f>
        <v>8.4555111536845573E-16</v>
      </c>
      <c r="AI59" s="22">
        <f>('CN FD S'!AI59-'CN FD C'!AI59*EurCall!AI58)/'CN FD alpha'!AI59</f>
        <v>4.2175474180229092E-16</v>
      </c>
      <c r="AJ59" s="22">
        <f>('CN FD S'!AJ59-'CN FD C'!AJ59*EurCall!AJ58)/'CN FD alpha'!AJ59</f>
        <v>2.0265241868524353E-16</v>
      </c>
      <c r="AK59" s="22">
        <f>('CN FD S'!AK59-'CN FD C'!AK59*EurCall!AK58)/'CN FD alpha'!AK59</f>
        <v>9.3459071163543718E-17</v>
      </c>
      <c r="AL59" s="22">
        <f>('CN FD S'!AL59-'CN FD C'!AL59*EurCall!AL58)/'CN FD alpha'!AL59</f>
        <v>4.1194847182646508E-17</v>
      </c>
      <c r="AM59" s="22">
        <f>('CN FD S'!AM59-'CN FD C'!AM59*EurCall!AM58)/'CN FD alpha'!AM59</f>
        <v>1.727076637037058E-17</v>
      </c>
      <c r="AN59" s="22">
        <f>('CN FD S'!AN59-'CN FD C'!AN59*EurCall!AN58)/'CN FD alpha'!AN59</f>
        <v>6.8483526235587025E-18</v>
      </c>
      <c r="AO59" s="22">
        <f>('CN FD S'!AO59-'CN FD C'!AO59*EurCall!AO58)/'CN FD alpha'!AO59</f>
        <v>2.5515981768307949E-18</v>
      </c>
      <c r="AP59" s="22">
        <f>('CN FD S'!AP59-'CN FD C'!AP59*EurCall!AP58)/'CN FD alpha'!AP59</f>
        <v>8.863874582062828E-19</v>
      </c>
      <c r="AQ59" s="22">
        <f>('CN FD S'!AQ59-'CN FD C'!AQ59*EurCall!AQ58)/'CN FD alpha'!AQ59</f>
        <v>2.8445017713879321E-19</v>
      </c>
      <c r="AR59" s="22">
        <f>('CN FD S'!AR59-'CN FD C'!AR59*EurCall!AR58)/'CN FD alpha'!AR59</f>
        <v>8.3389317403021938E-20</v>
      </c>
      <c r="AS59" s="22">
        <f>('CN FD S'!AS59-'CN FD C'!AS59*EurCall!AS58)/'CN FD alpha'!AS59</f>
        <v>2.2028110096631273E-20</v>
      </c>
      <c r="AT59" s="22">
        <f>('CN FD S'!AT59-'CN FD C'!AT59*EurCall!AT58)/'CN FD alpha'!AT59</f>
        <v>5.1537397308115293E-21</v>
      </c>
      <c r="AU59" s="22">
        <f>('CN FD S'!AU59-'CN FD C'!AU59*EurCall!AU58)/'CN FD alpha'!AU59</f>
        <v>1.0444003382957347E-21</v>
      </c>
      <c r="AV59" s="22">
        <f>('CN FD S'!AV59-'CN FD C'!AV59*EurCall!AV58)/'CN FD alpha'!AV59</f>
        <v>1.7790056313275243E-22</v>
      </c>
      <c r="AW59" s="22">
        <f>('CN FD S'!AW59-'CN FD C'!AW59*EurCall!AW58)/'CN FD alpha'!AW59</f>
        <v>2.4403924523391536E-23</v>
      </c>
      <c r="AX59" s="22">
        <f>('CN FD S'!AX59-'CN FD C'!AX59*EurCall!AX58)/'CN FD alpha'!AX59</f>
        <v>2.5221270996865299E-24</v>
      </c>
      <c r="AY59" s="22">
        <f>('CN FD S'!AY59-'CN FD C'!AY59*EurCall!AY58)/'CN FD alpha'!AY59</f>
        <v>1.7417704968074054E-25</v>
      </c>
      <c r="AZ59" s="22">
        <f>('CN FD S'!AZ59-'CN FD C'!AZ59*EurCall!AZ58)/'CN FD alpha'!AZ59</f>
        <v>6.0147562901927805E-27</v>
      </c>
      <c r="BA59" s="6">
        <f t="shared" si="4"/>
        <v>0</v>
      </c>
    </row>
    <row r="60" spans="1:53" x14ac:dyDescent="0.2">
      <c r="A60" s="15">
        <f t="shared" si="2"/>
        <v>5</v>
      </c>
      <c r="B60" s="16">
        <f t="shared" si="3"/>
        <v>10</v>
      </c>
      <c r="C60" s="22">
        <f>('CN FD S'!C60-'CN FD C'!C60*EurCall!C59)/'CN FD alpha'!C60</f>
        <v>4.3233964478481748E-12</v>
      </c>
      <c r="D60" s="22">
        <f>('CN FD S'!D60-'CN FD C'!D60*EurCall!D59)/'CN FD alpha'!D60</f>
        <v>3.3120500538630217E-12</v>
      </c>
      <c r="E60" s="22">
        <f>('CN FD S'!E60-'CN FD C'!E60*EurCall!E59)/'CN FD alpha'!E60</f>
        <v>2.5214851963190552E-12</v>
      </c>
      <c r="F60" s="22">
        <f>('CN FD S'!F60-'CN FD C'!F60*EurCall!F59)/'CN FD alpha'!F60</f>
        <v>1.9071766917712845E-12</v>
      </c>
      <c r="G60" s="22">
        <f>('CN FD S'!G60-'CN FD C'!G60*EurCall!G59)/'CN FD alpha'!G60</f>
        <v>1.4327841358728857E-12</v>
      </c>
      <c r="H60" s="22">
        <f>('CN FD S'!H60-'CN FD C'!H60*EurCall!H59)/'CN FD alpha'!H60</f>
        <v>1.0688057468975165E-12</v>
      </c>
      <c r="I60" s="22">
        <f>('CN FD S'!I60-'CN FD C'!I60*EurCall!I59)/'CN FD alpha'!I60</f>
        <v>7.91424908449626E-13</v>
      </c>
      <c r="J60" s="22">
        <f>('CN FD S'!J60-'CN FD C'!J60*EurCall!J59)/'CN FD alpha'!J60</f>
        <v>5.8152647447950774E-13</v>
      </c>
      <c r="K60" s="22">
        <f>('CN FD S'!K60-'CN FD C'!K60*EurCall!K59)/'CN FD alpha'!K60</f>
        <v>4.2386197278885646E-13</v>
      </c>
      <c r="L60" s="22">
        <f>('CN FD S'!L60-'CN FD C'!L60*EurCall!L59)/'CN FD alpha'!L60</f>
        <v>3.0634480776759489E-13</v>
      </c>
      <c r="M60" s="22">
        <f>('CN FD S'!M60-'CN FD C'!M60*EurCall!M59)/'CN FD alpha'!M60</f>
        <v>2.1945841690136097E-13</v>
      </c>
      <c r="N60" s="22">
        <f>('CN FD S'!N60-'CN FD C'!N60*EurCall!N59)/'CN FD alpha'!N60</f>
        <v>1.5576207718514932E-13</v>
      </c>
      <c r="O60" s="22">
        <f>('CN FD S'!O60-'CN FD C'!O60*EurCall!O59)/'CN FD alpha'!O60</f>
        <v>1.0948068631698584E-13</v>
      </c>
      <c r="P60" s="22">
        <f>('CN FD S'!P60-'CN FD C'!P60*EurCall!P59)/'CN FD alpha'!P60</f>
        <v>7.6166359548993104E-14</v>
      </c>
      <c r="Q60" s="22">
        <f>('CN FD S'!Q60-'CN FD C'!Q60*EurCall!Q59)/'CN FD alpha'!Q60</f>
        <v>5.2421087221702585E-14</v>
      </c>
      <c r="R60" s="22">
        <f>('CN FD S'!R60-'CN FD C'!R60*EurCall!R59)/'CN FD alpha'!R60</f>
        <v>3.5670991909428916E-14</v>
      </c>
      <c r="S60" s="22">
        <f>('CN FD S'!S60-'CN FD C'!S60*EurCall!S59)/'CN FD alpha'!S60</f>
        <v>2.3983910060534938E-14</v>
      </c>
      <c r="T60" s="22">
        <f>('CN FD S'!T60-'CN FD C'!T60*EurCall!T59)/'CN FD alpha'!T60</f>
        <v>1.5923103975518462E-14</v>
      </c>
      <c r="U60" s="22">
        <f>('CN FD S'!U60-'CN FD C'!U60*EurCall!U59)/'CN FD alpha'!U60</f>
        <v>1.043088947476139E-14</v>
      </c>
      <c r="V60" s="22">
        <f>('CN FD S'!V60-'CN FD C'!V60*EurCall!V59)/'CN FD alpha'!V60</f>
        <v>6.7368467536710743E-15</v>
      </c>
      <c r="W60" s="22">
        <f>('CN FD S'!W60-'CN FD C'!W60*EurCall!W59)/'CN FD alpha'!W60</f>
        <v>4.2860712703946241E-15</v>
      </c>
      <c r="X60" s="22">
        <f>('CN FD S'!X60-'CN FD C'!X60*EurCall!X59)/'CN FD alpha'!X60</f>
        <v>2.683623034233106E-15</v>
      </c>
      <c r="Y60" s="22">
        <f>('CN FD S'!Y60-'CN FD C'!Y60*EurCall!Y59)/'CN FD alpha'!Y60</f>
        <v>1.6519516724743007E-15</v>
      </c>
      <c r="Z60" s="22">
        <f>('CN FD S'!Z60-'CN FD C'!Z60*EurCall!Z59)/'CN FD alpha'!Z60</f>
        <v>9.9861672281111219E-16</v>
      </c>
      <c r="AA60" s="22">
        <f>('CN FD S'!AA60-'CN FD C'!AA60*EurCall!AA59)/'CN FD alpha'!AA60</f>
        <v>5.920934860765277E-16</v>
      </c>
      <c r="AB60" s="22">
        <f>('CN FD S'!AB60-'CN FD C'!AB60*EurCall!AB59)/'CN FD alpha'!AB60</f>
        <v>3.4386034540021188E-16</v>
      </c>
      <c r="AC60" s="22">
        <f>('CN FD S'!AC60-'CN FD C'!AC60*EurCall!AC59)/'CN FD alpha'!AC60</f>
        <v>1.953096093247719E-16</v>
      </c>
      <c r="AD60" s="22">
        <f>('CN FD S'!AD60-'CN FD C'!AD60*EurCall!AD59)/'CN FD alpha'!AD60</f>
        <v>1.0831651993114327E-16</v>
      </c>
      <c r="AE60" s="22">
        <f>('CN FD S'!AE60-'CN FD C'!AE60*EurCall!AE59)/'CN FD alpha'!AE60</f>
        <v>5.8545819105407092E-17</v>
      </c>
      <c r="AF60" s="22">
        <f>('CN FD S'!AF60-'CN FD C'!AF60*EurCall!AF59)/'CN FD alpha'!AF60</f>
        <v>3.0777741247971615E-17</v>
      </c>
      <c r="AG60" s="22">
        <f>('CN FD S'!AG60-'CN FD C'!AG60*EurCall!AG59)/'CN FD alpha'!AG60</f>
        <v>1.5700811208559297E-17</v>
      </c>
      <c r="AH60" s="22">
        <f>('CN FD S'!AH60-'CN FD C'!AH60*EurCall!AH59)/'CN FD alpha'!AH60</f>
        <v>7.7523890009649244E-18</v>
      </c>
      <c r="AI60" s="22">
        <f>('CN FD S'!AI60-'CN FD C'!AI60*EurCall!AI59)/'CN FD alpha'!AI60</f>
        <v>3.6941950485116185E-18</v>
      </c>
      <c r="AJ60" s="22">
        <f>('CN FD S'!AJ60-'CN FD C'!AJ60*EurCall!AJ59)/'CN FD alpha'!AJ60</f>
        <v>1.6933732961848754E-18</v>
      </c>
      <c r="AK60" s="22">
        <f>('CN FD S'!AK60-'CN FD C'!AK60*EurCall!AK59)/'CN FD alpha'!AK60</f>
        <v>7.4390580270496759E-19</v>
      </c>
      <c r="AL60" s="22">
        <f>('CN FD S'!AL60-'CN FD C'!AL60*EurCall!AL59)/'CN FD alpha'!AL60</f>
        <v>3.1186676791794173E-19</v>
      </c>
      <c r="AM60" s="22">
        <f>('CN FD S'!AM60-'CN FD C'!AM60*EurCall!AM59)/'CN FD alpha'!AM60</f>
        <v>1.2416077269713919E-19</v>
      </c>
      <c r="AN60" s="22">
        <f>('CN FD S'!AN60-'CN FD C'!AN60*EurCall!AN59)/'CN FD alpha'!AN60</f>
        <v>4.6677701424884596E-20</v>
      </c>
      <c r="AO60" s="22">
        <f>('CN FD S'!AO60-'CN FD C'!AO60*EurCall!AO59)/'CN FD alpha'!AO60</f>
        <v>1.6462017681991596E-20</v>
      </c>
      <c r="AP60" s="22">
        <f>('CN FD S'!AP60-'CN FD C'!AP60*EurCall!AP59)/'CN FD alpha'!AP60</f>
        <v>5.4042967048701767E-21</v>
      </c>
      <c r="AQ60" s="22">
        <f>('CN FD S'!AQ60-'CN FD C'!AQ60*EurCall!AQ59)/'CN FD alpha'!AQ60</f>
        <v>1.6363412067751036E-21</v>
      </c>
      <c r="AR60" s="22">
        <f>('CN FD S'!AR60-'CN FD C'!AR60*EurCall!AR59)/'CN FD alpha'!AR60</f>
        <v>4.5191698245762774E-22</v>
      </c>
      <c r="AS60" s="22">
        <f>('CN FD S'!AS60-'CN FD C'!AS60*EurCall!AS59)/'CN FD alpha'!AS60</f>
        <v>1.1229719490490519E-22</v>
      </c>
      <c r="AT60" s="22">
        <f>('CN FD S'!AT60-'CN FD C'!AT60*EurCall!AT59)/'CN FD alpha'!AT60</f>
        <v>2.468137065826579E-23</v>
      </c>
      <c r="AU60" s="22">
        <f>('CN FD S'!AU60-'CN FD C'!AU60*EurCall!AU59)/'CN FD alpha'!AU60</f>
        <v>4.6929376622129662E-24</v>
      </c>
      <c r="AV60" s="22">
        <f>('CN FD S'!AV60-'CN FD C'!AV60*EurCall!AV59)/'CN FD alpha'!AV60</f>
        <v>7.4927523492535403E-25</v>
      </c>
      <c r="AW60" s="22">
        <f>('CN FD S'!AW60-'CN FD C'!AW60*EurCall!AW59)/'CN FD alpha'!AW60</f>
        <v>9.6262870650755791E-26</v>
      </c>
      <c r="AX60" s="22">
        <f>('CN FD S'!AX60-'CN FD C'!AX60*EurCall!AX59)/'CN FD alpha'!AX60</f>
        <v>9.3122653790339711E-27</v>
      </c>
      <c r="AY60" s="22">
        <f>('CN FD S'!AY60-'CN FD C'!AY60*EurCall!AY59)/'CN FD alpha'!AY60</f>
        <v>6.0177839180357736E-28</v>
      </c>
      <c r="AZ60" s="22">
        <f>('CN FD S'!AZ60-'CN FD C'!AZ60*EurCall!AZ59)/'CN FD alpha'!AZ60</f>
        <v>1.9444974182104986E-29</v>
      </c>
      <c r="BA60" s="6">
        <f t="shared" si="4"/>
        <v>0</v>
      </c>
    </row>
    <row r="61" spans="1:53" x14ac:dyDescent="0.2">
      <c r="A61" s="15">
        <f t="shared" si="2"/>
        <v>4</v>
      </c>
      <c r="B61" s="16">
        <f t="shared" si="3"/>
        <v>8</v>
      </c>
      <c r="C61" s="22">
        <f>('CN FD S'!C61-'CN FD C'!C61*EurCall!C60)/'CN FD alpha'!C61</f>
        <v>6.5485649253340548E-14</v>
      </c>
      <c r="D61" s="22">
        <f>('CN FD S'!D61-'CN FD C'!D61*EurCall!D60)/'CN FD alpha'!D61</f>
        <v>4.9087680569005235E-14</v>
      </c>
      <c r="E61" s="22">
        <f>('CN FD S'!E61-'CN FD C'!E61*EurCall!E60)/'CN FD alpha'!E61</f>
        <v>3.6552918762655146E-14</v>
      </c>
      <c r="F61" s="22">
        <f>('CN FD S'!F61-'CN FD C'!F61*EurCall!F60)/'CN FD alpha'!F61</f>
        <v>2.7031881880952463E-14</v>
      </c>
      <c r="G61" s="22">
        <f>('CN FD S'!G61-'CN FD C'!G61*EurCall!G60)/'CN FD alpha'!G61</f>
        <v>1.9847666170211333E-14</v>
      </c>
      <c r="H61" s="22">
        <f>('CN FD S'!H61-'CN FD C'!H61*EurCall!H60)/'CN FD alpha'!H61</f>
        <v>1.4463987145904877E-14</v>
      </c>
      <c r="I61" s="22">
        <f>('CN FD S'!I61-'CN FD C'!I61*EurCall!I60)/'CN FD alpha'!I61</f>
        <v>1.0458515384284303E-14</v>
      </c>
      <c r="J61" s="22">
        <f>('CN FD S'!J61-'CN FD C'!J61*EurCall!J60)/'CN FD alpha'!J61</f>
        <v>7.5007438706442451E-15</v>
      </c>
      <c r="K61" s="22">
        <f>('CN FD S'!K61-'CN FD C'!K61*EurCall!K60)/'CN FD alpha'!K61</f>
        <v>5.3337151019640139E-15</v>
      </c>
      <c r="L61" s="22">
        <f>('CN FD S'!L61-'CN FD C'!L61*EurCall!L60)/'CN FD alpha'!L61</f>
        <v>3.7590192291086426E-15</v>
      </c>
      <c r="M61" s="22">
        <f>('CN FD S'!M61-'CN FD C'!M61*EurCall!M60)/'CN FD alpha'!M61</f>
        <v>2.6245497618792198E-15</v>
      </c>
      <c r="N61" s="22">
        <f>('CN FD S'!N61-'CN FD C'!N61*EurCall!N60)/'CN FD alpha'!N61</f>
        <v>1.8145711864488539E-15</v>
      </c>
      <c r="O61" s="22">
        <f>('CN FD S'!O61-'CN FD C'!O61*EurCall!O60)/'CN FD alpha'!O61</f>
        <v>1.2417137042725919E-15</v>
      </c>
      <c r="P61" s="22">
        <f>('CN FD S'!P61-'CN FD C'!P61*EurCall!P60)/'CN FD alpha'!P61</f>
        <v>8.405646438466431E-16</v>
      </c>
      <c r="Q61" s="22">
        <f>('CN FD S'!Q61-'CN FD C'!Q61*EurCall!Q60)/'CN FD alpha'!Q61</f>
        <v>5.6257437205352355E-16</v>
      </c>
      <c r="R61" s="22">
        <f>('CN FD S'!R61-'CN FD C'!R61*EurCall!R60)/'CN FD alpha'!R61</f>
        <v>3.7203718824249826E-16</v>
      </c>
      <c r="S61" s="22">
        <f>('CN FD S'!S61-'CN FD C'!S61*EurCall!S60)/'CN FD alpha'!S61</f>
        <v>2.4294516412353103E-16</v>
      </c>
      <c r="T61" s="22">
        <f>('CN FD S'!T61-'CN FD C'!T61*EurCall!T60)/'CN FD alpha'!T61</f>
        <v>1.5654562995366766E-16</v>
      </c>
      <c r="U61" s="22">
        <f>('CN FD S'!U61-'CN FD C'!U61*EurCall!U60)/'CN FD alpha'!U61</f>
        <v>9.9461425005726337E-17</v>
      </c>
      <c r="V61" s="22">
        <f>('CN FD S'!V61-'CN FD C'!V61*EurCall!V60)/'CN FD alpha'!V61</f>
        <v>6.2257536661303965E-17</v>
      </c>
      <c r="W61" s="22">
        <f>('CN FD S'!W61-'CN FD C'!W61*EurCall!W60)/'CN FD alpha'!W61</f>
        <v>3.8358740144180029E-17</v>
      </c>
      <c r="X61" s="22">
        <f>('CN FD S'!X61-'CN FD C'!X61*EurCall!X60)/'CN FD alpha'!X61</f>
        <v>2.3240694066972463E-17</v>
      </c>
      <c r="Y61" s="22">
        <f>('CN FD S'!Y61-'CN FD C'!Y61*EurCall!Y60)/'CN FD alpha'!Y61</f>
        <v>1.3831999669158765E-17</v>
      </c>
      <c r="Z61" s="22">
        <f>('CN FD S'!Z61-'CN FD C'!Z61*EurCall!Z60)/'CN FD alpha'!Z61</f>
        <v>8.0773263867932889E-18</v>
      </c>
      <c r="AA61" s="22">
        <f>('CN FD S'!AA61-'CN FD C'!AA61*EurCall!AA60)/'CN FD alpha'!AA61</f>
        <v>4.6221530278035511E-18</v>
      </c>
      <c r="AB61" s="22">
        <f>('CN FD S'!AB61-'CN FD C'!AB61*EurCall!AB60)/'CN FD alpha'!AB61</f>
        <v>2.5882586483961329E-18</v>
      </c>
      <c r="AC61" s="22">
        <f>('CN FD S'!AC61-'CN FD C'!AC61*EurCall!AC60)/'CN FD alpha'!AC61</f>
        <v>1.416082586796822E-18</v>
      </c>
      <c r="AD61" s="22">
        <f>('CN FD S'!AD61-'CN FD C'!AD61*EurCall!AD60)/'CN FD alpha'!AD61</f>
        <v>7.556972586535954E-19</v>
      </c>
      <c r="AE61" s="22">
        <f>('CN FD S'!AE61-'CN FD C'!AE61*EurCall!AE60)/'CN FD alpha'!AE61</f>
        <v>3.9261458436532278E-19</v>
      </c>
      <c r="AF61" s="22">
        <f>('CN FD S'!AF61-'CN FD C'!AF61*EurCall!AF60)/'CN FD alpha'!AF61</f>
        <v>1.9816820477179731E-19</v>
      </c>
      <c r="AG61" s="22">
        <f>('CN FD S'!AG61-'CN FD C'!AG61*EurCall!AG60)/'CN FD alpha'!AG61</f>
        <v>9.6947195548897466E-20</v>
      </c>
      <c r="AH61" s="22">
        <f>('CN FD S'!AH61-'CN FD C'!AH61*EurCall!AH60)/'CN FD alpha'!AH61</f>
        <v>4.5849433376057389E-20</v>
      </c>
      <c r="AI61" s="22">
        <f>('CN FD S'!AI61-'CN FD C'!AI61*EurCall!AI60)/'CN FD alpha'!AI61</f>
        <v>2.0900344112700184E-20</v>
      </c>
      <c r="AJ61" s="22">
        <f>('CN FD S'!AJ61-'CN FD C'!AJ61*EurCall!AJ60)/'CN FD alpha'!AJ61</f>
        <v>9.1527811140846374E-21</v>
      </c>
      <c r="AK61" s="22">
        <f>('CN FD S'!AK61-'CN FD C'!AK61*EurCall!AK60)/'CN FD alpha'!AK61</f>
        <v>3.836187723188687E-21</v>
      </c>
      <c r="AL61" s="22">
        <f>('CN FD S'!AL61-'CN FD C'!AL61*EurCall!AL60)/'CN FD alpha'!AL61</f>
        <v>1.5322615391042474E-21</v>
      </c>
      <c r="AM61" s="22">
        <f>('CN FD S'!AM61-'CN FD C'!AM61*EurCall!AM60)/'CN FD alpha'!AM61</f>
        <v>5.8038917911903937E-22</v>
      </c>
      <c r="AN61" s="22">
        <f>('CN FD S'!AN61-'CN FD C'!AN61*EurCall!AN60)/'CN FD alpha'!AN61</f>
        <v>2.0729929581428553E-22</v>
      </c>
      <c r="AO61" s="22">
        <f>('CN FD S'!AO61-'CN FD C'!AO61*EurCall!AO60)/'CN FD alpha'!AO61</f>
        <v>6.9359500513502331E-23</v>
      </c>
      <c r="AP61" s="22">
        <f>('CN FD S'!AP61-'CN FD C'!AP61*EurCall!AP60)/'CN FD alpha'!AP61</f>
        <v>2.1571643077072619E-23</v>
      </c>
      <c r="AQ61" s="22">
        <f>('CN FD S'!AQ61-'CN FD C'!AQ61*EurCall!AQ60)/'CN FD alpha'!AQ61</f>
        <v>6.1793028062012788E-24</v>
      </c>
      <c r="AR61" s="22">
        <f>('CN FD S'!AR61-'CN FD C'!AR61*EurCall!AR60)/'CN FD alpha'!AR61</f>
        <v>1.6123883423304339E-24</v>
      </c>
      <c r="AS61" s="22">
        <f>('CN FD S'!AS61-'CN FD C'!AS61*EurCall!AS60)/'CN FD alpha'!AS61</f>
        <v>3.7807958391930825E-25</v>
      </c>
      <c r="AT61" s="22">
        <f>('CN FD S'!AT61-'CN FD C'!AT61*EurCall!AT60)/'CN FD alpha'!AT61</f>
        <v>7.8323236122299228E-26</v>
      </c>
      <c r="AU61" s="22">
        <f>('CN FD S'!AU61-'CN FD C'!AU61*EurCall!AU60)/'CN FD alpha'!AU61</f>
        <v>1.4022794020515513E-26</v>
      </c>
      <c r="AV61" s="22">
        <f>('CN FD S'!AV61-'CN FD C'!AV61*EurCall!AV60)/'CN FD alpha'!AV61</f>
        <v>2.1063487579160013E-27</v>
      </c>
      <c r="AW61" s="22">
        <f>('CN FD S'!AW61-'CN FD C'!AW61*EurCall!AW60)/'CN FD alpha'!AW61</f>
        <v>2.5442363273678591E-28</v>
      </c>
      <c r="AX61" s="22">
        <f>('CN FD S'!AX61-'CN FD C'!AX61*EurCall!AX60)/'CN FD alpha'!AX61</f>
        <v>2.3129324960780294E-29</v>
      </c>
      <c r="AY61" s="22">
        <f>('CN FD S'!AY61-'CN FD C'!AY61*EurCall!AY60)/'CN FD alpha'!AY61</f>
        <v>1.4042591540113478E-30</v>
      </c>
      <c r="AZ61" s="22">
        <f>('CN FD S'!AZ61-'CN FD C'!AZ61*EurCall!AZ60)/'CN FD alpha'!AZ61</f>
        <v>4.2629796343071118E-32</v>
      </c>
      <c r="BA61" s="6">
        <f t="shared" si="4"/>
        <v>0</v>
      </c>
    </row>
    <row r="62" spans="1:53" x14ac:dyDescent="0.2">
      <c r="A62" s="15">
        <f t="shared" si="2"/>
        <v>3</v>
      </c>
      <c r="B62" s="16">
        <f t="shared" si="3"/>
        <v>6</v>
      </c>
      <c r="C62" s="22">
        <f>('CN FD S'!C62-'CN FD C'!C62*EurCall!C61)/'CN FD alpha'!C62</f>
        <v>5.7281273242366384E-16</v>
      </c>
      <c r="D62" s="22">
        <f>('CN FD S'!D62-'CN FD C'!D62*EurCall!D61)/'CN FD alpha'!D62</f>
        <v>4.2022221645461464E-16</v>
      </c>
      <c r="E62" s="22">
        <f>('CN FD S'!E62-'CN FD C'!E62*EurCall!E61)/'CN FD alpha'!E62</f>
        <v>3.0613139386969712E-16</v>
      </c>
      <c r="F62" s="22">
        <f>('CN FD S'!F62-'CN FD C'!F62*EurCall!F61)/'CN FD alpha'!F62</f>
        <v>2.2139876268275127E-16</v>
      </c>
      <c r="G62" s="22">
        <f>('CN FD S'!G62-'CN FD C'!G62*EurCall!G61)/'CN FD alpha'!G62</f>
        <v>1.5890934034503272E-16</v>
      </c>
      <c r="H62" s="22">
        <f>('CN FD S'!H62-'CN FD C'!H62*EurCall!H61)/'CN FD alpha'!H62</f>
        <v>1.1315947762968508E-16</v>
      </c>
      <c r="I62" s="22">
        <f>('CN FD S'!I62-'CN FD C'!I62*EurCall!I61)/'CN FD alpha'!I62</f>
        <v>7.991923489009616E-17</v>
      </c>
      <c r="J62" s="22">
        <f>('CN FD S'!J62-'CN FD C'!J62*EurCall!J61)/'CN FD alpha'!J62</f>
        <v>5.5959353320827355E-17</v>
      </c>
      <c r="K62" s="22">
        <f>('CN FD S'!K62-'CN FD C'!K62*EurCall!K61)/'CN FD alpha'!K62</f>
        <v>3.883174063667926E-17</v>
      </c>
      <c r="L62" s="22">
        <f>('CN FD S'!L62-'CN FD C'!L62*EurCall!L61)/'CN FD alpha'!L62</f>
        <v>2.6694049295627552E-17</v>
      </c>
      <c r="M62" s="22">
        <f>('CN FD S'!M62-'CN FD C'!M62*EurCall!M61)/'CN FD alpha'!M62</f>
        <v>1.8170376881646894E-17</v>
      </c>
      <c r="N62" s="22">
        <f>('CN FD S'!N62-'CN FD C'!N62*EurCall!N61)/'CN FD alpha'!N62</f>
        <v>1.2241382309484711E-17</v>
      </c>
      <c r="O62" s="22">
        <f>('CN FD S'!O62-'CN FD C'!O62*EurCall!O61)/'CN FD alpha'!O62</f>
        <v>8.1582067798053217E-18</v>
      </c>
      <c r="P62" s="22">
        <f>('CN FD S'!P62-'CN FD C'!P62*EurCall!P61)/'CN FD alpha'!P62</f>
        <v>5.3755324324575821E-18</v>
      </c>
      <c r="Q62" s="22">
        <f>('CN FD S'!Q62-'CN FD C'!Q62*EurCall!Q61)/'CN FD alpha'!Q62</f>
        <v>3.4999208069424588E-18</v>
      </c>
      <c r="R62" s="22">
        <f>('CN FD S'!R62-'CN FD C'!R62*EurCall!R61)/'CN FD alpha'!R62</f>
        <v>2.2502627650194513E-18</v>
      </c>
      <c r="S62" s="22">
        <f>('CN FD S'!S62-'CN FD C'!S62*EurCall!S61)/'CN FD alpha'!S62</f>
        <v>1.4277555627192192E-18</v>
      </c>
      <c r="T62" s="22">
        <f>('CN FD S'!T62-'CN FD C'!T62*EurCall!T61)/'CN FD alpha'!T62</f>
        <v>8.9331425331384681E-19</v>
      </c>
      <c r="U62" s="22">
        <f>('CN FD S'!U62-'CN FD C'!U62*EurCall!U61)/'CN FD alpha'!U62</f>
        <v>5.507354301862824E-19</v>
      </c>
      <c r="V62" s="22">
        <f>('CN FD S'!V62-'CN FD C'!V62*EurCall!V61)/'CN FD alpha'!V62</f>
        <v>3.342722753393581E-19</v>
      </c>
      <c r="W62" s="22">
        <f>('CN FD S'!W62-'CN FD C'!W62*EurCall!W61)/'CN FD alpha'!W62</f>
        <v>1.9956072323535939E-19</v>
      </c>
      <c r="X62" s="22">
        <f>('CN FD S'!X62-'CN FD C'!X62*EurCall!X61)/'CN FD alpha'!X62</f>
        <v>1.1706604235186534E-19</v>
      </c>
      <c r="Y62" s="22">
        <f>('CN FD S'!Y62-'CN FD C'!Y62*EurCall!Y61)/'CN FD alpha'!Y62</f>
        <v>6.7405091507862467E-20</v>
      </c>
      <c r="Z62" s="22">
        <f>('CN FD S'!Z62-'CN FD C'!Z62*EurCall!Z61)/'CN FD alpha'!Z62</f>
        <v>3.8048841889530216E-20</v>
      </c>
      <c r="AA62" s="22">
        <f>('CN FD S'!AA62-'CN FD C'!AA62*EurCall!AA61)/'CN FD alpha'!AA62</f>
        <v>2.1028546127963286E-20</v>
      </c>
      <c r="AB62" s="22">
        <f>('CN FD S'!AB62-'CN FD C'!AB62*EurCall!AB61)/'CN FD alpha'!AB62</f>
        <v>1.1362479161294683E-20</v>
      </c>
      <c r="AC62" s="22">
        <f>('CN FD S'!AC62-'CN FD C'!AC62*EurCall!AC61)/'CN FD alpha'!AC62</f>
        <v>5.9930483608345905E-21</v>
      </c>
      <c r="AD62" s="22">
        <f>('CN FD S'!AD62-'CN FD C'!AD62*EurCall!AD61)/'CN FD alpha'!AD62</f>
        <v>3.0801909285990875E-21</v>
      </c>
      <c r="AE62" s="22">
        <f>('CN FD S'!AE62-'CN FD C'!AE62*EurCall!AE61)/'CN FD alpha'!AE62</f>
        <v>1.5396674993175637E-21</v>
      </c>
      <c r="AF62" s="22">
        <f>('CN FD S'!AF62-'CN FD C'!AF62*EurCall!AF61)/'CN FD alpha'!AF62</f>
        <v>7.4691057282634142E-22</v>
      </c>
      <c r="AG62" s="22">
        <f>('CN FD S'!AG62-'CN FD C'!AG62*EurCall!AG61)/'CN FD alpha'!AG62</f>
        <v>3.5080908143764598E-22</v>
      </c>
      <c r="AH62" s="22">
        <f>('CN FD S'!AH62-'CN FD C'!AH62*EurCall!AH61)/'CN FD alpha'!AH62</f>
        <v>1.5910404267282771E-22</v>
      </c>
      <c r="AI62" s="22">
        <f>('CN FD S'!AI62-'CN FD C'!AI62*EurCall!AI61)/'CN FD alpha'!AI62</f>
        <v>6.9471676780288829E-23</v>
      </c>
      <c r="AJ62" s="22">
        <f>('CN FD S'!AJ62-'CN FD C'!AJ62*EurCall!AJ61)/'CN FD alpha'!AJ62</f>
        <v>2.9106900223300181E-23</v>
      </c>
      <c r="AK62" s="22">
        <f>('CN FD S'!AK62-'CN FD C'!AK62*EurCall!AK61)/'CN FD alpha'!AK62</f>
        <v>1.1657368526453263E-23</v>
      </c>
      <c r="AL62" s="22">
        <f>('CN FD S'!AL62-'CN FD C'!AL62*EurCall!AL61)/'CN FD alpha'!AL62</f>
        <v>4.4437635378417515E-24</v>
      </c>
      <c r="AM62" s="22">
        <f>('CN FD S'!AM62-'CN FD C'!AM62*EurCall!AM61)/'CN FD alpha'!AM62</f>
        <v>1.6043822733768805E-24</v>
      </c>
      <c r="AN62" s="22">
        <f>('CN FD S'!AN62-'CN FD C'!AN62*EurCall!AN61)/'CN FD alpha'!AN62</f>
        <v>5.4551629477921506E-25</v>
      </c>
      <c r="AO62" s="22">
        <f>('CN FD S'!AO62-'CN FD C'!AO62*EurCall!AO61)/'CN FD alpha'!AO62</f>
        <v>1.7353650798970548E-25</v>
      </c>
      <c r="AP62" s="22">
        <f>('CN FD S'!AP62-'CN FD C'!AP62*EurCall!AP61)/'CN FD alpha'!AP62</f>
        <v>5.1251392807724359E-26</v>
      </c>
      <c r="AQ62" s="22">
        <f>('CN FD S'!AQ62-'CN FD C'!AQ62*EurCall!AQ61)/'CN FD alpha'!AQ62</f>
        <v>1.3924450371427488E-26</v>
      </c>
      <c r="AR62" s="22">
        <f>('CN FD S'!AR62-'CN FD C'!AR62*EurCall!AR61)/'CN FD alpha'!AR62</f>
        <v>3.4421283245487861E-27</v>
      </c>
      <c r="AS62" s="22">
        <f>('CN FD S'!AS62-'CN FD C'!AS62*EurCall!AS61)/'CN FD alpha'!AS62</f>
        <v>7.638271023104696E-28</v>
      </c>
      <c r="AT62" s="22">
        <f>('CN FD S'!AT62-'CN FD C'!AT62*EurCall!AT61)/'CN FD alpha'!AT62</f>
        <v>1.4960107614628859E-28</v>
      </c>
      <c r="AU62" s="22">
        <f>('CN FD S'!AU62-'CN FD C'!AU62*EurCall!AU61)/'CN FD alpha'!AU62</f>
        <v>2.5301154134691329E-29</v>
      </c>
      <c r="AV62" s="22">
        <f>('CN FD S'!AV62-'CN FD C'!AV62*EurCall!AV61)/'CN FD alpha'!AV62</f>
        <v>3.5874655802453785E-30</v>
      </c>
      <c r="AW62" s="22">
        <f>('CN FD S'!AW62-'CN FD C'!AW62*EurCall!AW61)/'CN FD alpha'!AW62</f>
        <v>4.0881347785229451E-31</v>
      </c>
      <c r="AX62" s="22">
        <f>('CN FD S'!AX62-'CN FD C'!AX62*EurCall!AX61)/'CN FD alpha'!AX62</f>
        <v>3.5048931733646346E-32</v>
      </c>
      <c r="AY62" s="22">
        <f>('CN FD S'!AY62-'CN FD C'!AY62*EurCall!AY61)/'CN FD alpha'!AY62</f>
        <v>2.0063963747255105E-33</v>
      </c>
      <c r="AZ62" s="22">
        <f>('CN FD S'!AZ62-'CN FD C'!AZ62*EurCall!AZ61)/'CN FD alpha'!AZ62</f>
        <v>5.7429640887741584E-35</v>
      </c>
      <c r="BA62" s="6">
        <f t="shared" si="4"/>
        <v>0</v>
      </c>
    </row>
    <row r="63" spans="1:53" x14ac:dyDescent="0.2">
      <c r="A63" s="15">
        <f t="shared" si="2"/>
        <v>2</v>
      </c>
      <c r="B63" s="16">
        <f t="shared" si="3"/>
        <v>4</v>
      </c>
      <c r="C63" s="22">
        <f>('CN FD S'!C63-'CN FD C'!C63*EurCall!C62)/'CN FD alpha'!C63</f>
        <v>2.4498047720101701E-18</v>
      </c>
      <c r="D63" s="22">
        <f>('CN FD S'!D63-'CN FD C'!D63*EurCall!D62)/'CN FD alpha'!D63</f>
        <v>1.7593097316389356E-18</v>
      </c>
      <c r="E63" s="22">
        <f>('CN FD S'!E63-'CN FD C'!E63*EurCall!E62)/'CN FD alpha'!E63</f>
        <v>1.2541766173382758E-18</v>
      </c>
      <c r="F63" s="22">
        <f>('CN FD S'!F63-'CN FD C'!F63*EurCall!F62)/'CN FD alpha'!F63</f>
        <v>8.8726079536331153E-19</v>
      </c>
      <c r="G63" s="22">
        <f>('CN FD S'!G63-'CN FD C'!G63*EurCall!G62)/'CN FD alpha'!G63</f>
        <v>6.2270588408611367E-19</v>
      </c>
      <c r="H63" s="22">
        <f>('CN FD S'!H63-'CN FD C'!H63*EurCall!H62)/'CN FD alpha'!H63</f>
        <v>4.3341931069470925E-19</v>
      </c>
      <c r="I63" s="22">
        <f>('CN FD S'!I63-'CN FD C'!I63*EurCall!I62)/'CN FD alpha'!I63</f>
        <v>2.9906985609010001E-19</v>
      </c>
      <c r="J63" s="22">
        <f>('CN FD S'!J63-'CN FD C'!J63*EurCall!J62)/'CN FD alpha'!J63</f>
        <v>2.0450871767254772E-19</v>
      </c>
      <c r="K63" s="22">
        <f>('CN FD S'!K63-'CN FD C'!K63*EurCall!K62)/'CN FD alpha'!K63</f>
        <v>1.3853225498411473E-19</v>
      </c>
      <c r="L63" s="22">
        <f>('CN FD S'!L63-'CN FD C'!L63*EurCall!L62)/'CN FD alpha'!L63</f>
        <v>9.2918770498906206E-20</v>
      </c>
      <c r="M63" s="22">
        <f>('CN FD S'!M63-'CN FD C'!M63*EurCall!M62)/'CN FD alpha'!M63</f>
        <v>6.1683716878795903E-20</v>
      </c>
      <c r="N63" s="22">
        <f>('CN FD S'!N63-'CN FD C'!N63*EurCall!N62)/'CN FD alpha'!N63</f>
        <v>4.0507884579496849E-20</v>
      </c>
      <c r="O63" s="22">
        <f>('CN FD S'!O63-'CN FD C'!O63*EurCall!O62)/'CN FD alpha'!O63</f>
        <v>2.6301655299258575E-20</v>
      </c>
      <c r="P63" s="22">
        <f>('CN FD S'!P63-'CN FD C'!P63*EurCall!P62)/'CN FD alpha'!P63</f>
        <v>1.6875528084423005E-20</v>
      </c>
      <c r="Q63" s="22">
        <f>('CN FD S'!Q63-'CN FD C'!Q63*EurCall!Q62)/'CN FD alpha'!Q63</f>
        <v>1.0693033331284744E-20</v>
      </c>
      <c r="R63" s="22">
        <f>('CN FD S'!R63-'CN FD C'!R63*EurCall!R62)/'CN FD alpha'!R63</f>
        <v>6.6870211090532373E-21</v>
      </c>
      <c r="S63" s="22">
        <f>('CN FD S'!S63-'CN FD C'!S63*EurCall!S62)/'CN FD alpha'!S63</f>
        <v>4.1242996540873966E-21</v>
      </c>
      <c r="T63" s="22">
        <f>('CN FD S'!T63-'CN FD C'!T63*EurCall!T62)/'CN FD alpha'!T63</f>
        <v>2.5068443981343002E-21</v>
      </c>
      <c r="U63" s="22">
        <f>('CN FD S'!U63-'CN FD C'!U63*EurCall!U62)/'CN FD alpha'!U63</f>
        <v>1.5004172297371535E-21</v>
      </c>
      <c r="V63" s="22">
        <f>('CN FD S'!V63-'CN FD C'!V63*EurCall!V62)/'CN FD alpha'!V63</f>
        <v>8.8353396392684493E-22</v>
      </c>
      <c r="W63" s="22">
        <f>('CN FD S'!W63-'CN FD C'!W63*EurCall!W62)/'CN FD alpha'!W63</f>
        <v>5.1138515199732114E-22</v>
      </c>
      <c r="X63" s="22">
        <f>('CN FD S'!X63-'CN FD C'!X63*EurCall!X62)/'CN FD alpha'!X63</f>
        <v>2.9062856204375027E-22</v>
      </c>
      <c r="Y63" s="22">
        <f>('CN FD S'!Y63-'CN FD C'!Y63*EurCall!Y62)/'CN FD alpha'!Y63</f>
        <v>1.6199661822477815E-22</v>
      </c>
      <c r="Z63" s="22">
        <f>('CN FD S'!Z63-'CN FD C'!Z63*EurCall!Z62)/'CN FD alpha'!Z63</f>
        <v>8.8454340633751534E-23</v>
      </c>
      <c r="AA63" s="22">
        <f>('CN FD S'!AA63-'CN FD C'!AA63*EurCall!AA62)/'CN FD alpha'!AA63</f>
        <v>4.724943254282408E-23</v>
      </c>
      <c r="AB63" s="22">
        <f>('CN FD S'!AB63-'CN FD C'!AB63*EurCall!AB62)/'CN FD alpha'!AB63</f>
        <v>2.4654804053585467E-23</v>
      </c>
      <c r="AC63" s="22">
        <f>('CN FD S'!AC63-'CN FD C'!AC63*EurCall!AC62)/'CN FD alpha'!AC63</f>
        <v>1.2546853888379183E-23</v>
      </c>
      <c r="AD63" s="22">
        <f>('CN FD S'!AD63-'CN FD C'!AD63*EurCall!AD62)/'CN FD alpha'!AD63</f>
        <v>6.2162244455845173E-24</v>
      </c>
      <c r="AE63" s="22">
        <f>('CN FD S'!AE63-'CN FD C'!AE63*EurCall!AE62)/'CN FD alpha'!AE63</f>
        <v>2.9924524626000945E-24</v>
      </c>
      <c r="AF63" s="22">
        <f>('CN FD S'!AF63-'CN FD C'!AF63*EurCall!AF62)/'CN FD alpha'!AF63</f>
        <v>1.3966755643740879E-24</v>
      </c>
      <c r="AG63" s="22">
        <f>('CN FD S'!AG63-'CN FD C'!AG63*EurCall!AG62)/'CN FD alpha'!AG63</f>
        <v>6.3050157288450991E-25</v>
      </c>
      <c r="AH63" s="22">
        <f>('CN FD S'!AH63-'CN FD C'!AH63*EurCall!AH62)/'CN FD alpha'!AH63</f>
        <v>2.7455789628165629E-25</v>
      </c>
      <c r="AI63" s="22">
        <f>('CN FD S'!AI63-'CN FD C'!AI63*EurCall!AI62)/'CN FD alpha'!AI63</f>
        <v>1.1498336523657959E-25</v>
      </c>
      <c r="AJ63" s="22">
        <f>('CN FD S'!AJ63-'CN FD C'!AJ63*EurCall!AJ62)/'CN FD alpha'!AJ63</f>
        <v>4.6155605136978768E-26</v>
      </c>
      <c r="AK63" s="22">
        <f>('CN FD S'!AK63-'CN FD C'!AK63*EurCall!AK62)/'CN FD alpha'!AK63</f>
        <v>1.7690844660809701E-26</v>
      </c>
      <c r="AL63" s="22">
        <f>('CN FD S'!AL63-'CN FD C'!AL63*EurCall!AL62)/'CN FD alpha'!AL63</f>
        <v>6.4466021584350568E-27</v>
      </c>
      <c r="AM63" s="22">
        <f>('CN FD S'!AM63-'CN FD C'!AM63*EurCall!AM62)/'CN FD alpha'!AM63</f>
        <v>2.2224356025727249E-27</v>
      </c>
      <c r="AN63" s="22">
        <f>('CN FD S'!AN63-'CN FD C'!AN63*EurCall!AN62)/'CN FD alpha'!AN63</f>
        <v>7.2074396285993315E-28</v>
      </c>
      <c r="AO63" s="22">
        <f>('CN FD S'!AO63-'CN FD C'!AO63*EurCall!AO62)/'CN FD alpha'!AO63</f>
        <v>2.1844006079025143E-28</v>
      </c>
      <c r="AP63" s="22">
        <f>('CN FD S'!AP63-'CN FD C'!AP63*EurCall!AP62)/'CN FD alpha'!AP63</f>
        <v>6.1396338161622324E-29</v>
      </c>
      <c r="AQ63" s="22">
        <f>('CN FD S'!AQ63-'CN FD C'!AQ63*EurCall!AQ62)/'CN FD alpha'!AQ63</f>
        <v>1.5858224765785515E-29</v>
      </c>
      <c r="AR63" s="22">
        <f>('CN FD S'!AR63-'CN FD C'!AR63*EurCall!AR62)/'CN FD alpha'!AR63</f>
        <v>3.723158429384612E-30</v>
      </c>
      <c r="AS63" s="22">
        <f>('CN FD S'!AS63-'CN FD C'!AS63*EurCall!AS62)/'CN FD alpha'!AS63</f>
        <v>7.8394727787127781E-31</v>
      </c>
      <c r="AT63" s="22">
        <f>('CN FD S'!AT63-'CN FD C'!AT63*EurCall!AT62)/'CN FD alpha'!AT63</f>
        <v>1.4556998876950668E-31</v>
      </c>
      <c r="AU63" s="22">
        <f>('CN FD S'!AU63-'CN FD C'!AU63*EurCall!AU62)/'CN FD alpha'!AU63</f>
        <v>2.3324205451950713E-32</v>
      </c>
      <c r="AV63" s="22">
        <f>('CN FD S'!AV63-'CN FD C'!AV63*EurCall!AV62)/'CN FD alpha'!AV63</f>
        <v>3.1312718224307011E-33</v>
      </c>
      <c r="AW63" s="22">
        <f>('CN FD S'!AW63-'CN FD C'!AW63*EurCall!AW62)/'CN FD alpha'!AW63</f>
        <v>3.3769223579101735E-34</v>
      </c>
      <c r="AX63" s="22">
        <f>('CN FD S'!AX63-'CN FD C'!AX63*EurCall!AX62)/'CN FD alpha'!AX63</f>
        <v>2.7390129039437099E-35</v>
      </c>
      <c r="AY63" s="22">
        <f>('CN FD S'!AY63-'CN FD C'!AY63*EurCall!AY62)/'CN FD alpha'!AY63</f>
        <v>1.483159181054376E-36</v>
      </c>
      <c r="AZ63" s="22">
        <f>('CN FD S'!AZ63-'CN FD C'!AZ63*EurCall!AZ62)/'CN FD alpha'!AZ63</f>
        <v>4.0156577389703163E-38</v>
      </c>
      <c r="BA63" s="6">
        <f t="shared" si="4"/>
        <v>0</v>
      </c>
    </row>
    <row r="64" spans="1:53" x14ac:dyDescent="0.2">
      <c r="A64" s="15">
        <f t="shared" si="2"/>
        <v>1</v>
      </c>
      <c r="B64" s="16">
        <f t="shared" si="3"/>
        <v>2</v>
      </c>
      <c r="C64" s="22">
        <f>('CN FD S'!C64-'CN FD C'!C64*EurCall!C63)/'CN FD alpha'!C64</f>
        <v>3.5351863049545365E-21</v>
      </c>
      <c r="D64" s="22">
        <f>('CN FD S'!D64-'CN FD C'!D64*EurCall!D63)/'CN FD alpha'!D64</f>
        <v>2.4859182313103922E-21</v>
      </c>
      <c r="E64" s="22">
        <f>('CN FD S'!E64-'CN FD C'!E64*EurCall!E63)/'CN FD alpha'!E64</f>
        <v>1.7346569316475679E-21</v>
      </c>
      <c r="F64" s="22">
        <f>('CN FD S'!F64-'CN FD C'!F64*EurCall!F63)/'CN FD alpha'!F64</f>
        <v>1.2007652895827862E-21</v>
      </c>
      <c r="G64" s="22">
        <f>('CN FD S'!G64-'CN FD C'!G64*EurCall!G63)/'CN FD alpha'!G64</f>
        <v>8.2428614543794016E-22</v>
      </c>
      <c r="H64" s="22">
        <f>('CN FD S'!H64-'CN FD C'!H64*EurCall!H63)/'CN FD alpha'!H64</f>
        <v>5.6094746354722694E-22</v>
      </c>
      <c r="I64" s="22">
        <f>('CN FD S'!I64-'CN FD C'!I64*EurCall!I63)/'CN FD alpha'!I64</f>
        <v>3.7829479297928774E-22</v>
      </c>
      <c r="J64" s="22">
        <f>('CN FD S'!J64-'CN FD C'!J64*EurCall!J63)/'CN FD alpha'!J64</f>
        <v>2.5271565476249668E-22</v>
      </c>
      <c r="K64" s="22">
        <f>('CN FD S'!K64-'CN FD C'!K64*EurCall!K63)/'CN FD alpha'!K64</f>
        <v>1.6716535210176315E-22</v>
      </c>
      <c r="L64" s="22">
        <f>('CN FD S'!L64-'CN FD C'!L64*EurCall!L63)/'CN FD alpha'!L64</f>
        <v>1.09440898856487E-22</v>
      </c>
      <c r="M64" s="22">
        <f>('CN FD S'!M64-'CN FD C'!M64*EurCall!M63)/'CN FD alpha'!M64</f>
        <v>7.0880437680329878E-23</v>
      </c>
      <c r="N64" s="22">
        <f>('CN FD S'!N64-'CN FD C'!N64*EurCall!N63)/'CN FD alpha'!N64</f>
        <v>4.5390672871032357E-23</v>
      </c>
      <c r="O64" s="22">
        <f>('CN FD S'!O64-'CN FD C'!O64*EurCall!O63)/'CN FD alpha'!O64</f>
        <v>2.8725345910734381E-23</v>
      </c>
      <c r="P64" s="22">
        <f>('CN FD S'!P64-'CN FD C'!P64*EurCall!P63)/'CN FD alpha'!P64</f>
        <v>1.7954389932735723E-23</v>
      </c>
      <c r="Q64" s="22">
        <f>('CN FD S'!Q64-'CN FD C'!Q64*EurCall!Q63)/'CN FD alpha'!Q64</f>
        <v>1.1076765156353328E-23</v>
      </c>
      <c r="R64" s="22">
        <f>('CN FD S'!R64-'CN FD C'!R64*EurCall!R63)/'CN FD alpha'!R64</f>
        <v>6.7406602589764972E-24</v>
      </c>
      <c r="S64" s="22">
        <f>('CN FD S'!S64-'CN FD C'!S64*EurCall!S63)/'CN FD alpha'!S64</f>
        <v>4.0432220093254901E-24</v>
      </c>
      <c r="T64" s="22">
        <f>('CN FD S'!T64-'CN FD C'!T64*EurCall!T63)/'CN FD alpha'!T64</f>
        <v>2.3886519332413491E-24</v>
      </c>
      <c r="U64" s="22">
        <f>('CN FD S'!U64-'CN FD C'!U64*EurCall!U63)/'CN FD alpha'!U64</f>
        <v>1.3887252148475298E-24</v>
      </c>
      <c r="V64" s="22">
        <f>('CN FD S'!V64-'CN FD C'!V64*EurCall!V63)/'CN FD alpha'!V64</f>
        <v>7.9382869338564641E-25</v>
      </c>
      <c r="W64" s="22">
        <f>('CN FD S'!W64-'CN FD C'!W64*EurCall!W63)/'CN FD alpha'!W64</f>
        <v>4.4571868809534533E-25</v>
      </c>
      <c r="X64" s="22">
        <f>('CN FD S'!X64-'CN FD C'!X64*EurCall!X63)/'CN FD alpha'!X64</f>
        <v>2.455608993788145E-25</v>
      </c>
      <c r="Y64" s="22">
        <f>('CN FD S'!Y64-'CN FD C'!Y64*EurCall!Y63)/'CN FD alpha'!Y64</f>
        <v>1.325936816021729E-25</v>
      </c>
      <c r="Z64" s="22">
        <f>('CN FD S'!Z64-'CN FD C'!Z64*EurCall!Z63)/'CN FD alpha'!Z64</f>
        <v>7.0082279868275693E-26</v>
      </c>
      <c r="AA64" s="22">
        <f>('CN FD S'!AA64-'CN FD C'!AA64*EurCall!AA63)/'CN FD alpha'!AA64</f>
        <v>3.6209482455293575E-26</v>
      </c>
      <c r="AB64" s="22">
        <f>('CN FD S'!AB64-'CN FD C'!AB64*EurCall!AB63)/'CN FD alpha'!AB64</f>
        <v>1.8260658376607139E-26</v>
      </c>
      <c r="AC64" s="22">
        <f>('CN FD S'!AC64-'CN FD C'!AC64*EurCall!AC63)/'CN FD alpha'!AC64</f>
        <v>8.97386115087972E-27</v>
      </c>
      <c r="AD64" s="22">
        <f>('CN FD S'!AD64-'CN FD C'!AD64*EurCall!AD63)/'CN FD alpha'!AD64</f>
        <v>4.2897233596440573E-27</v>
      </c>
      <c r="AE64" s="22">
        <f>('CN FD S'!AE64-'CN FD C'!AE64*EurCall!AE63)/'CN FD alpha'!AE64</f>
        <v>1.9906943414484503E-27</v>
      </c>
      <c r="AF64" s="22">
        <f>('CN FD S'!AF64-'CN FD C'!AF64*EurCall!AF63)/'CN FD alpha'!AF64</f>
        <v>8.9485510943034367E-28</v>
      </c>
      <c r="AG64" s="22">
        <f>('CN FD S'!AG64-'CN FD C'!AG64*EurCall!AG63)/'CN FD alpha'!AG64</f>
        <v>3.8870260397239567E-28</v>
      </c>
      <c r="AH64" s="22">
        <f>('CN FD S'!AH64-'CN FD C'!AH64*EurCall!AH63)/'CN FD alpha'!AH64</f>
        <v>1.6271344470519292E-28</v>
      </c>
      <c r="AI64" s="22">
        <f>('CN FD S'!AI64-'CN FD C'!AI64*EurCall!AI63)/'CN FD alpha'!AI64</f>
        <v>6.5442207151562317E-29</v>
      </c>
      <c r="AJ64" s="22">
        <f>('CN FD S'!AJ64-'CN FD C'!AJ64*EurCall!AJ63)/'CN FD alpha'!AJ64</f>
        <v>2.5202787055276129E-29</v>
      </c>
      <c r="AK64" s="22">
        <f>('CN FD S'!AK64-'CN FD C'!AK64*EurCall!AK63)/'CN FD alpha'!AK64</f>
        <v>9.2584052019576258E-30</v>
      </c>
      <c r="AL64" s="22">
        <f>('CN FD S'!AL64-'CN FD C'!AL64*EurCall!AL63)/'CN FD alpha'!AL64</f>
        <v>3.2302878436692504E-30</v>
      </c>
      <c r="AM64" s="22">
        <f>('CN FD S'!AM64-'CN FD C'!AM64*EurCall!AM63)/'CN FD alpha'!AM64</f>
        <v>1.0651761354068432E-30</v>
      </c>
      <c r="AN64" s="22">
        <f>('CN FD S'!AN64-'CN FD C'!AN64*EurCall!AN63)/'CN FD alpha'!AN64</f>
        <v>3.3007887155215811E-31</v>
      </c>
      <c r="AO64" s="22">
        <f>('CN FD S'!AO64-'CN FD C'!AO64*EurCall!AO63)/'CN FD alpha'!AO64</f>
        <v>9.549565290183895E-32</v>
      </c>
      <c r="AP64" s="22">
        <f>('CN FD S'!AP64-'CN FD C'!AP64*EurCall!AP63)/'CN FD alpha'!AP64</f>
        <v>2.5597099540091469E-32</v>
      </c>
      <c r="AQ64" s="22">
        <f>('CN FD S'!AQ64-'CN FD C'!AQ64*EurCall!AQ63)/'CN FD alpha'!AQ64</f>
        <v>6.299407061540323E-33</v>
      </c>
      <c r="AR64" s="22">
        <f>('CN FD S'!AR64-'CN FD C'!AR64*EurCall!AR63)/'CN FD alpha'!AR64</f>
        <v>1.407914923740431E-33</v>
      </c>
      <c r="AS64" s="22">
        <f>('CN FD S'!AS64-'CN FD C'!AS64*EurCall!AS63)/'CN FD alpha'!AS64</f>
        <v>2.8198344611138429E-34</v>
      </c>
      <c r="AT64" s="22">
        <f>('CN FD S'!AT64-'CN FD C'!AT64*EurCall!AT63)/'CN FD alpha'!AT64</f>
        <v>4.9770006177332484E-35</v>
      </c>
      <c r="AU64" s="22">
        <f>('CN FD S'!AU64-'CN FD C'!AU64*EurCall!AU63)/'CN FD alpha'!AU64</f>
        <v>7.5751301901518746E-36</v>
      </c>
      <c r="AV64" s="22">
        <f>('CN FD S'!AV64-'CN FD C'!AV64*EurCall!AV63)/'CN FD alpha'!AV64</f>
        <v>9.6553120225272306E-37</v>
      </c>
      <c r="AW64" s="22">
        <f>('CN FD S'!AW64-'CN FD C'!AW64*EurCall!AW63)/'CN FD alpha'!AW64</f>
        <v>9.8822364480660097E-38</v>
      </c>
      <c r="AX64" s="22">
        <f>('CN FD S'!AX64-'CN FD C'!AX64*EurCall!AX63)/'CN FD alpha'!AX64</f>
        <v>7.6049869487611785E-39</v>
      </c>
      <c r="AY64" s="22">
        <f>('CN FD S'!AY64-'CN FD C'!AY64*EurCall!AY63)/'CN FD alpha'!AY64</f>
        <v>3.9066271847192578E-40</v>
      </c>
      <c r="AZ64" s="22">
        <f>('CN FD S'!AZ64-'CN FD C'!AZ64*EurCall!AZ63)/'CN FD alpha'!AZ64</f>
        <v>1.00341272837839E-41</v>
      </c>
      <c r="BA64" s="6">
        <f t="shared" si="4"/>
        <v>0</v>
      </c>
    </row>
    <row r="65" spans="1:53" x14ac:dyDescent="0.2">
      <c r="A65" s="15">
        <f t="shared" si="2"/>
        <v>0</v>
      </c>
      <c r="B65" s="16">
        <f t="shared" si="3"/>
        <v>0</v>
      </c>
      <c r="C65" s="22">
        <f>('CN FD S'!C65-'CN FD C'!C65*EurCall!C64)/'CN FD alpha'!C65</f>
        <v>0</v>
      </c>
      <c r="D65" s="22">
        <f>('CN FD S'!D65-'CN FD C'!D65*EurCall!D64)/'CN FD alpha'!D65</f>
        <v>0</v>
      </c>
      <c r="E65" s="22">
        <f>('CN FD S'!E65-'CN FD C'!E65*EurCall!E64)/'CN FD alpha'!E65</f>
        <v>0</v>
      </c>
      <c r="F65" s="22">
        <f>('CN FD S'!F65-'CN FD C'!F65*EurCall!F64)/'CN FD alpha'!F65</f>
        <v>0</v>
      </c>
      <c r="G65" s="22">
        <f>('CN FD S'!G65-'CN FD C'!G65*EurCall!G64)/'CN FD alpha'!G65</f>
        <v>0</v>
      </c>
      <c r="H65" s="22">
        <f>('CN FD S'!H65-'CN FD C'!H65*EurCall!H64)/'CN FD alpha'!H65</f>
        <v>0</v>
      </c>
      <c r="I65" s="22">
        <f>('CN FD S'!I65-'CN FD C'!I65*EurCall!I64)/'CN FD alpha'!I65</f>
        <v>0</v>
      </c>
      <c r="J65" s="22">
        <f>('CN FD S'!J65-'CN FD C'!J65*EurCall!J64)/'CN FD alpha'!J65</f>
        <v>0</v>
      </c>
      <c r="K65" s="22">
        <f>('CN FD S'!K65-'CN FD C'!K65*EurCall!K64)/'CN FD alpha'!K65</f>
        <v>0</v>
      </c>
      <c r="L65" s="22">
        <f>('CN FD S'!L65-'CN FD C'!L65*EurCall!L64)/'CN FD alpha'!L65</f>
        <v>0</v>
      </c>
      <c r="M65" s="22">
        <f>('CN FD S'!M65-'CN FD C'!M65*EurCall!M64)/'CN FD alpha'!M65</f>
        <v>0</v>
      </c>
      <c r="N65" s="22">
        <f>('CN FD S'!N65-'CN FD C'!N65*EurCall!N64)/'CN FD alpha'!N65</f>
        <v>0</v>
      </c>
      <c r="O65" s="22">
        <f>('CN FD S'!O65-'CN FD C'!O65*EurCall!O64)/'CN FD alpha'!O65</f>
        <v>0</v>
      </c>
      <c r="P65" s="22">
        <f>('CN FD S'!P65-'CN FD C'!P65*EurCall!P64)/'CN FD alpha'!P65</f>
        <v>0</v>
      </c>
      <c r="Q65" s="22">
        <f>('CN FD S'!Q65-'CN FD C'!Q65*EurCall!Q64)/'CN FD alpha'!Q65</f>
        <v>0</v>
      </c>
      <c r="R65" s="22">
        <f>('CN FD S'!R65-'CN FD C'!R65*EurCall!R64)/'CN FD alpha'!R65</f>
        <v>0</v>
      </c>
      <c r="S65" s="22">
        <f>('CN FD S'!S65-'CN FD C'!S65*EurCall!S64)/'CN FD alpha'!S65</f>
        <v>0</v>
      </c>
      <c r="T65" s="22">
        <f>('CN FD S'!T65-'CN FD C'!T65*EurCall!T64)/'CN FD alpha'!T65</f>
        <v>0</v>
      </c>
      <c r="U65" s="22">
        <f>('CN FD S'!U65-'CN FD C'!U65*EurCall!U64)/'CN FD alpha'!U65</f>
        <v>0</v>
      </c>
      <c r="V65" s="22">
        <f>('CN FD S'!V65-'CN FD C'!V65*EurCall!V64)/'CN FD alpha'!V65</f>
        <v>0</v>
      </c>
      <c r="W65" s="22">
        <f>('CN FD S'!W65-'CN FD C'!W65*EurCall!W64)/'CN FD alpha'!W65</f>
        <v>0</v>
      </c>
      <c r="X65" s="22">
        <f>('CN FD S'!X65-'CN FD C'!X65*EurCall!X64)/'CN FD alpha'!X65</f>
        <v>0</v>
      </c>
      <c r="Y65" s="22">
        <f>('CN FD S'!Y65-'CN FD C'!Y65*EurCall!Y64)/'CN FD alpha'!Y65</f>
        <v>0</v>
      </c>
      <c r="Z65" s="22">
        <f>('CN FD S'!Z65-'CN FD C'!Z65*EurCall!Z64)/'CN FD alpha'!Z65</f>
        <v>0</v>
      </c>
      <c r="AA65" s="22">
        <f>('CN FD S'!AA65-'CN FD C'!AA65*EurCall!AA64)/'CN FD alpha'!AA65</f>
        <v>0</v>
      </c>
      <c r="AB65" s="22">
        <f>('CN FD S'!AB65-'CN FD C'!AB65*EurCall!AB64)/'CN FD alpha'!AB65</f>
        <v>0</v>
      </c>
      <c r="AC65" s="22">
        <f>('CN FD S'!AC65-'CN FD C'!AC65*EurCall!AC64)/'CN FD alpha'!AC65</f>
        <v>0</v>
      </c>
      <c r="AD65" s="22">
        <f>('CN FD S'!AD65-'CN FD C'!AD65*EurCall!AD64)/'CN FD alpha'!AD65</f>
        <v>0</v>
      </c>
      <c r="AE65" s="22">
        <f>('CN FD S'!AE65-'CN FD C'!AE65*EurCall!AE64)/'CN FD alpha'!AE65</f>
        <v>0</v>
      </c>
      <c r="AF65" s="22">
        <f>('CN FD S'!AF65-'CN FD C'!AF65*EurCall!AF64)/'CN FD alpha'!AF65</f>
        <v>0</v>
      </c>
      <c r="AG65" s="22">
        <f>('CN FD S'!AG65-'CN FD C'!AG65*EurCall!AG64)/'CN FD alpha'!AG65</f>
        <v>0</v>
      </c>
      <c r="AH65" s="22">
        <f>('CN FD S'!AH65-'CN FD C'!AH65*EurCall!AH64)/'CN FD alpha'!AH65</f>
        <v>0</v>
      </c>
      <c r="AI65" s="22">
        <f>('CN FD S'!AI65-'CN FD C'!AI65*EurCall!AI64)/'CN FD alpha'!AI65</f>
        <v>0</v>
      </c>
      <c r="AJ65" s="22">
        <f>('CN FD S'!AJ65-'CN FD C'!AJ65*EurCall!AJ64)/'CN FD alpha'!AJ65</f>
        <v>0</v>
      </c>
      <c r="AK65" s="22">
        <f>('CN FD S'!AK65-'CN FD C'!AK65*EurCall!AK64)/'CN FD alpha'!AK65</f>
        <v>0</v>
      </c>
      <c r="AL65" s="22">
        <f>('CN FD S'!AL65-'CN FD C'!AL65*EurCall!AL64)/'CN FD alpha'!AL65</f>
        <v>0</v>
      </c>
      <c r="AM65" s="22">
        <f>('CN FD S'!AM65-'CN FD C'!AM65*EurCall!AM64)/'CN FD alpha'!AM65</f>
        <v>0</v>
      </c>
      <c r="AN65" s="22">
        <f>('CN FD S'!AN65-'CN FD C'!AN65*EurCall!AN64)/'CN FD alpha'!AN65</f>
        <v>0</v>
      </c>
      <c r="AO65" s="22">
        <f>('CN FD S'!AO65-'CN FD C'!AO65*EurCall!AO64)/'CN FD alpha'!AO65</f>
        <v>0</v>
      </c>
      <c r="AP65" s="22">
        <f>('CN FD S'!AP65-'CN FD C'!AP65*EurCall!AP64)/'CN FD alpha'!AP65</f>
        <v>0</v>
      </c>
      <c r="AQ65" s="22">
        <f>('CN FD S'!AQ65-'CN FD C'!AQ65*EurCall!AQ64)/'CN FD alpha'!AQ65</f>
        <v>0</v>
      </c>
      <c r="AR65" s="22">
        <f>('CN FD S'!AR65-'CN FD C'!AR65*EurCall!AR64)/'CN FD alpha'!AR65</f>
        <v>0</v>
      </c>
      <c r="AS65" s="22">
        <f>('CN FD S'!AS65-'CN FD C'!AS65*EurCall!AS64)/'CN FD alpha'!AS65</f>
        <v>0</v>
      </c>
      <c r="AT65" s="22">
        <f>('CN FD S'!AT65-'CN FD C'!AT65*EurCall!AT64)/'CN FD alpha'!AT65</f>
        <v>0</v>
      </c>
      <c r="AU65" s="22">
        <f>('CN FD S'!AU65-'CN FD C'!AU65*EurCall!AU64)/'CN FD alpha'!AU65</f>
        <v>0</v>
      </c>
      <c r="AV65" s="22">
        <f>('CN FD S'!AV65-'CN FD C'!AV65*EurCall!AV64)/'CN FD alpha'!AV65</f>
        <v>0</v>
      </c>
      <c r="AW65" s="22">
        <f>('CN FD S'!AW65-'CN FD C'!AW65*EurCall!AW64)/'CN FD alpha'!AW65</f>
        <v>0</v>
      </c>
      <c r="AX65" s="22">
        <f>('CN FD S'!AX65-'CN FD C'!AX65*EurCall!AX64)/'CN FD alpha'!AX65</f>
        <v>0</v>
      </c>
      <c r="AY65" s="22">
        <f>('CN FD S'!AY65-'CN FD C'!AY65*EurCall!AY64)/'CN FD alpha'!AY65</f>
        <v>0</v>
      </c>
      <c r="AZ65" s="22">
        <f>('CN FD S'!AZ65-'CN FD C'!AZ65*EurCall!AZ64)/'CN FD alpha'!AZ65</f>
        <v>0</v>
      </c>
      <c r="BA65" s="6">
        <f>0</f>
        <v>0</v>
      </c>
    </row>
    <row r="66" spans="1:53" x14ac:dyDescent="0.2">
      <c r="A66" s="17" t="s">
        <v>3</v>
      </c>
      <c r="B66" s="18">
        <v>0</v>
      </c>
      <c r="C66" s="17">
        <v>0</v>
      </c>
      <c r="D66" s="21">
        <f t="shared" ref="D66:AI66" si="5">D67*dt</f>
        <v>0.01</v>
      </c>
      <c r="E66" s="21">
        <f t="shared" si="5"/>
        <v>0.02</v>
      </c>
      <c r="F66" s="21">
        <f t="shared" si="5"/>
        <v>0.03</v>
      </c>
      <c r="G66" s="21">
        <f t="shared" si="5"/>
        <v>0.04</v>
      </c>
      <c r="H66" s="21">
        <f t="shared" si="5"/>
        <v>0.05</v>
      </c>
      <c r="I66" s="21">
        <f t="shared" si="5"/>
        <v>0.06</v>
      </c>
      <c r="J66" s="21">
        <f t="shared" si="5"/>
        <v>7.0000000000000007E-2</v>
      </c>
      <c r="K66" s="21">
        <f t="shared" si="5"/>
        <v>0.08</v>
      </c>
      <c r="L66" s="21">
        <f t="shared" si="5"/>
        <v>0.09</v>
      </c>
      <c r="M66" s="21">
        <f t="shared" si="5"/>
        <v>0.1</v>
      </c>
      <c r="N66" s="21">
        <f t="shared" si="5"/>
        <v>0.11</v>
      </c>
      <c r="O66" s="21">
        <f t="shared" si="5"/>
        <v>0.12</v>
      </c>
      <c r="P66" s="21">
        <f t="shared" si="5"/>
        <v>0.13</v>
      </c>
      <c r="Q66" s="21">
        <f t="shared" si="5"/>
        <v>0.14000000000000001</v>
      </c>
      <c r="R66" s="21">
        <f t="shared" si="5"/>
        <v>0.15</v>
      </c>
      <c r="S66" s="21">
        <f t="shared" si="5"/>
        <v>0.16</v>
      </c>
      <c r="T66" s="21">
        <f t="shared" si="5"/>
        <v>0.17</v>
      </c>
      <c r="U66" s="21">
        <f t="shared" si="5"/>
        <v>0.18</v>
      </c>
      <c r="V66" s="21">
        <f t="shared" si="5"/>
        <v>0.19</v>
      </c>
      <c r="W66" s="21">
        <f t="shared" si="5"/>
        <v>0.2</v>
      </c>
      <c r="X66" s="21">
        <f t="shared" si="5"/>
        <v>0.21</v>
      </c>
      <c r="Y66" s="21">
        <f t="shared" si="5"/>
        <v>0.22</v>
      </c>
      <c r="Z66" s="21">
        <f t="shared" si="5"/>
        <v>0.23</v>
      </c>
      <c r="AA66" s="21">
        <f t="shared" si="5"/>
        <v>0.24</v>
      </c>
      <c r="AB66" s="21">
        <f t="shared" si="5"/>
        <v>0.25</v>
      </c>
      <c r="AC66" s="21">
        <f t="shared" si="5"/>
        <v>0.26</v>
      </c>
      <c r="AD66" s="21">
        <f t="shared" si="5"/>
        <v>0.27</v>
      </c>
      <c r="AE66" s="21">
        <f t="shared" si="5"/>
        <v>0.28000000000000003</v>
      </c>
      <c r="AF66" s="21">
        <f t="shared" si="5"/>
        <v>0.28999999999999998</v>
      </c>
      <c r="AG66" s="21">
        <f t="shared" si="5"/>
        <v>0.3</v>
      </c>
      <c r="AH66" s="21">
        <f t="shared" si="5"/>
        <v>0.31</v>
      </c>
      <c r="AI66" s="21">
        <f t="shared" si="5"/>
        <v>0.32</v>
      </c>
      <c r="AJ66" s="21">
        <f t="shared" ref="AJ66:BA66" si="6">AJ67*dt</f>
        <v>0.33</v>
      </c>
      <c r="AK66" s="21">
        <f t="shared" si="6"/>
        <v>0.34</v>
      </c>
      <c r="AL66" s="21">
        <f t="shared" si="6"/>
        <v>0.35000000000000003</v>
      </c>
      <c r="AM66" s="21">
        <f t="shared" si="6"/>
        <v>0.36</v>
      </c>
      <c r="AN66" s="21">
        <f t="shared" si="6"/>
        <v>0.37</v>
      </c>
      <c r="AO66" s="21">
        <f t="shared" si="6"/>
        <v>0.38</v>
      </c>
      <c r="AP66" s="21">
        <f t="shared" si="6"/>
        <v>0.39</v>
      </c>
      <c r="AQ66" s="21">
        <f t="shared" si="6"/>
        <v>0.4</v>
      </c>
      <c r="AR66" s="21">
        <f t="shared" si="6"/>
        <v>0.41000000000000003</v>
      </c>
      <c r="AS66" s="21">
        <f t="shared" si="6"/>
        <v>0.42</v>
      </c>
      <c r="AT66" s="21">
        <f t="shared" si="6"/>
        <v>0.43</v>
      </c>
      <c r="AU66" s="21">
        <f t="shared" si="6"/>
        <v>0.44</v>
      </c>
      <c r="AV66" s="21">
        <f t="shared" si="6"/>
        <v>0.45</v>
      </c>
      <c r="AW66" s="21">
        <f t="shared" si="6"/>
        <v>0.46</v>
      </c>
      <c r="AX66" s="21">
        <f t="shared" si="6"/>
        <v>0.47000000000000003</v>
      </c>
      <c r="AY66" s="21">
        <f t="shared" si="6"/>
        <v>0.48</v>
      </c>
      <c r="AZ66" s="21">
        <f t="shared" si="6"/>
        <v>0.49</v>
      </c>
      <c r="BA66" s="21">
        <f t="shared" si="6"/>
        <v>0.5</v>
      </c>
    </row>
    <row r="67" spans="1:53" x14ac:dyDescent="0.2">
      <c r="A67" s="19" t="s">
        <v>4</v>
      </c>
      <c r="B67" s="20">
        <v>0</v>
      </c>
      <c r="C67" s="19">
        <v>0</v>
      </c>
      <c r="D67" s="19">
        <f>B67+1</f>
        <v>1</v>
      </c>
      <c r="E67" s="19">
        <f>D67+1</f>
        <v>2</v>
      </c>
      <c r="F67" s="19">
        <f>E67+1</f>
        <v>3</v>
      </c>
      <c r="G67" s="19">
        <f t="shared" ref="G67:U67" si="7">F67+1</f>
        <v>4</v>
      </c>
      <c r="H67" s="19">
        <f t="shared" si="7"/>
        <v>5</v>
      </c>
      <c r="I67" s="19">
        <f t="shared" si="7"/>
        <v>6</v>
      </c>
      <c r="J67" s="19">
        <f t="shared" si="7"/>
        <v>7</v>
      </c>
      <c r="K67" s="19">
        <f t="shared" si="7"/>
        <v>8</v>
      </c>
      <c r="L67" s="19">
        <f t="shared" si="7"/>
        <v>9</v>
      </c>
      <c r="M67" s="19">
        <f t="shared" si="7"/>
        <v>10</v>
      </c>
      <c r="N67" s="19">
        <f t="shared" si="7"/>
        <v>11</v>
      </c>
      <c r="O67" s="19">
        <f t="shared" si="7"/>
        <v>12</v>
      </c>
      <c r="P67" s="19">
        <f t="shared" si="7"/>
        <v>13</v>
      </c>
      <c r="Q67" s="19">
        <f t="shared" si="7"/>
        <v>14</v>
      </c>
      <c r="R67" s="19">
        <f t="shared" si="7"/>
        <v>15</v>
      </c>
      <c r="S67" s="19">
        <f t="shared" si="7"/>
        <v>16</v>
      </c>
      <c r="T67" s="19">
        <f t="shared" si="7"/>
        <v>17</v>
      </c>
      <c r="U67" s="19">
        <f t="shared" si="7"/>
        <v>18</v>
      </c>
      <c r="V67" s="19">
        <f t="shared" ref="V67:AE67" si="8">U67+1</f>
        <v>19</v>
      </c>
      <c r="W67" s="19">
        <f t="shared" si="8"/>
        <v>20</v>
      </c>
      <c r="X67" s="19">
        <f t="shared" si="8"/>
        <v>21</v>
      </c>
      <c r="Y67" s="19">
        <f t="shared" si="8"/>
        <v>22</v>
      </c>
      <c r="Z67" s="19">
        <f t="shared" si="8"/>
        <v>23</v>
      </c>
      <c r="AA67" s="19">
        <f t="shared" si="8"/>
        <v>24</v>
      </c>
      <c r="AB67" s="19">
        <f t="shared" si="8"/>
        <v>25</v>
      </c>
      <c r="AC67" s="19">
        <f t="shared" si="8"/>
        <v>26</v>
      </c>
      <c r="AD67" s="19">
        <f t="shared" si="8"/>
        <v>27</v>
      </c>
      <c r="AE67" s="19">
        <f t="shared" si="8"/>
        <v>28</v>
      </c>
      <c r="AF67" s="19">
        <f t="shared" ref="AF67:AP67" si="9">AE67+1</f>
        <v>29</v>
      </c>
      <c r="AG67" s="19">
        <f t="shared" si="9"/>
        <v>30</v>
      </c>
      <c r="AH67" s="19">
        <f t="shared" si="9"/>
        <v>31</v>
      </c>
      <c r="AI67" s="19">
        <f t="shared" si="9"/>
        <v>32</v>
      </c>
      <c r="AJ67" s="19">
        <f t="shared" si="9"/>
        <v>33</v>
      </c>
      <c r="AK67" s="19">
        <f t="shared" si="9"/>
        <v>34</v>
      </c>
      <c r="AL67" s="19">
        <f t="shared" si="9"/>
        <v>35</v>
      </c>
      <c r="AM67" s="19">
        <f t="shared" si="9"/>
        <v>36</v>
      </c>
      <c r="AN67" s="19">
        <f t="shared" si="9"/>
        <v>37</v>
      </c>
      <c r="AO67" s="19">
        <f t="shared" si="9"/>
        <v>38</v>
      </c>
      <c r="AP67" s="19">
        <f t="shared" si="9"/>
        <v>39</v>
      </c>
      <c r="AQ67" s="19">
        <f t="shared" ref="AQ67:BA67" si="10">AP67+1</f>
        <v>40</v>
      </c>
      <c r="AR67" s="19">
        <f t="shared" si="10"/>
        <v>41</v>
      </c>
      <c r="AS67" s="19">
        <f t="shared" si="10"/>
        <v>42</v>
      </c>
      <c r="AT67" s="19">
        <f t="shared" si="10"/>
        <v>43</v>
      </c>
      <c r="AU67" s="19">
        <f t="shared" si="10"/>
        <v>44</v>
      </c>
      <c r="AV67" s="19">
        <f t="shared" si="10"/>
        <v>45</v>
      </c>
      <c r="AW67" s="19">
        <f t="shared" si="10"/>
        <v>46</v>
      </c>
      <c r="AX67" s="19">
        <f t="shared" si="10"/>
        <v>47</v>
      </c>
      <c r="AY67" s="19">
        <f t="shared" si="10"/>
        <v>48</v>
      </c>
      <c r="AZ67" s="19">
        <f t="shared" si="10"/>
        <v>49</v>
      </c>
      <c r="BA67" s="19">
        <f t="shared" si="10"/>
        <v>50</v>
      </c>
    </row>
  </sheetData>
  <phoneticPr fontId="0" type="noConversion"/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4:BA67"/>
  <sheetViews>
    <sheetView topLeftCell="A31" workbookViewId="0">
      <selection activeCell="C16" sqref="C16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M25" si="1">0.25*(sigma^2*$A16^2-(rate-d)*$A16)</f>
        <v>23.275000000000006</v>
      </c>
      <c r="D16">
        <f t="shared" si="1"/>
        <v>23.275000000000006</v>
      </c>
      <c r="E16">
        <f t="shared" si="1"/>
        <v>23.275000000000006</v>
      </c>
      <c r="F16">
        <f t="shared" si="1"/>
        <v>23.275000000000006</v>
      </c>
      <c r="G16">
        <f t="shared" si="1"/>
        <v>23.275000000000006</v>
      </c>
      <c r="H16">
        <f t="shared" si="1"/>
        <v>23.275000000000006</v>
      </c>
      <c r="I16">
        <f t="shared" si="1"/>
        <v>23.275000000000006</v>
      </c>
      <c r="J16">
        <f t="shared" si="1"/>
        <v>23.275000000000006</v>
      </c>
      <c r="K16">
        <f t="shared" si="1"/>
        <v>23.275000000000006</v>
      </c>
      <c r="L16">
        <f t="shared" si="1"/>
        <v>23.275000000000006</v>
      </c>
      <c r="M16">
        <f t="shared" si="1"/>
        <v>23.275000000000006</v>
      </c>
      <c r="N16">
        <f t="shared" ref="N16:W25" si="2">0.25*(sigma^2*$A16^2-(rate-d)*$A16)</f>
        <v>23.275000000000006</v>
      </c>
      <c r="O16">
        <f t="shared" si="2"/>
        <v>23.275000000000006</v>
      </c>
      <c r="P16">
        <f t="shared" si="2"/>
        <v>23.275000000000006</v>
      </c>
      <c r="Q16">
        <f t="shared" si="2"/>
        <v>23.275000000000006</v>
      </c>
      <c r="R16">
        <f t="shared" si="2"/>
        <v>23.275000000000006</v>
      </c>
      <c r="S16">
        <f t="shared" si="2"/>
        <v>23.275000000000006</v>
      </c>
      <c r="T16">
        <f t="shared" si="2"/>
        <v>23.275000000000006</v>
      </c>
      <c r="U16">
        <f t="shared" si="2"/>
        <v>23.275000000000006</v>
      </c>
      <c r="V16">
        <f t="shared" si="2"/>
        <v>23.275000000000006</v>
      </c>
      <c r="W16">
        <f t="shared" si="2"/>
        <v>23.275000000000006</v>
      </c>
      <c r="X16">
        <f t="shared" ref="X16:AG25" si="3">0.25*(sigma^2*$A16^2-(rate-d)*$A16)</f>
        <v>23.275000000000006</v>
      </c>
      <c r="Y16">
        <f t="shared" si="3"/>
        <v>23.275000000000006</v>
      </c>
      <c r="Z16">
        <f t="shared" si="3"/>
        <v>23.275000000000006</v>
      </c>
      <c r="AA16">
        <f t="shared" si="3"/>
        <v>23.275000000000006</v>
      </c>
      <c r="AB16">
        <f t="shared" si="3"/>
        <v>23.275000000000006</v>
      </c>
      <c r="AC16">
        <f t="shared" si="3"/>
        <v>23.275000000000006</v>
      </c>
      <c r="AD16">
        <f t="shared" si="3"/>
        <v>23.275000000000006</v>
      </c>
      <c r="AE16">
        <f t="shared" si="3"/>
        <v>23.275000000000006</v>
      </c>
      <c r="AF16">
        <f t="shared" si="3"/>
        <v>23.275000000000006</v>
      </c>
      <c r="AG16">
        <f t="shared" si="3"/>
        <v>23.275000000000006</v>
      </c>
      <c r="AH16">
        <f t="shared" ref="AH16:AQ25" si="4">0.25*(sigma^2*$A16^2-(rate-d)*$A16)</f>
        <v>23.275000000000006</v>
      </c>
      <c r="AI16">
        <f t="shared" si="4"/>
        <v>23.275000000000006</v>
      </c>
      <c r="AJ16">
        <f t="shared" si="4"/>
        <v>23.275000000000006</v>
      </c>
      <c r="AK16">
        <f t="shared" si="4"/>
        <v>23.275000000000006</v>
      </c>
      <c r="AL16">
        <f t="shared" si="4"/>
        <v>23.275000000000006</v>
      </c>
      <c r="AM16">
        <f t="shared" si="4"/>
        <v>23.275000000000006</v>
      </c>
      <c r="AN16">
        <f t="shared" si="4"/>
        <v>23.275000000000006</v>
      </c>
      <c r="AO16">
        <f t="shared" si="4"/>
        <v>23.275000000000006</v>
      </c>
      <c r="AP16">
        <f t="shared" si="4"/>
        <v>23.275000000000006</v>
      </c>
      <c r="AQ16">
        <f t="shared" si="4"/>
        <v>23.275000000000006</v>
      </c>
      <c r="AR16">
        <f t="shared" ref="AR16:AZ25" si="5">0.25*(sigma^2*$A16^2-(rate-d)*$A16)</f>
        <v>23.275000000000006</v>
      </c>
      <c r="AS16">
        <f t="shared" si="5"/>
        <v>23.275000000000006</v>
      </c>
      <c r="AT16">
        <f t="shared" si="5"/>
        <v>23.275000000000006</v>
      </c>
      <c r="AU16">
        <f t="shared" si="5"/>
        <v>23.275000000000006</v>
      </c>
      <c r="AV16">
        <f t="shared" si="5"/>
        <v>23.275000000000006</v>
      </c>
      <c r="AW16">
        <f t="shared" si="5"/>
        <v>23.275000000000006</v>
      </c>
      <c r="AX16">
        <f t="shared" si="5"/>
        <v>23.275000000000006</v>
      </c>
      <c r="AY16">
        <f t="shared" si="5"/>
        <v>23.275000000000006</v>
      </c>
      <c r="AZ16">
        <f t="shared" si="5"/>
        <v>23.275000000000006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22.320000000000007</v>
      </c>
      <c r="D17">
        <f t="shared" si="1"/>
        <v>22.320000000000007</v>
      </c>
      <c r="E17">
        <f t="shared" si="1"/>
        <v>22.320000000000007</v>
      </c>
      <c r="F17">
        <f t="shared" si="1"/>
        <v>22.320000000000007</v>
      </c>
      <c r="G17">
        <f t="shared" si="1"/>
        <v>22.320000000000007</v>
      </c>
      <c r="H17">
        <f t="shared" si="1"/>
        <v>22.320000000000007</v>
      </c>
      <c r="I17">
        <f t="shared" si="1"/>
        <v>22.320000000000007</v>
      </c>
      <c r="J17">
        <f t="shared" si="1"/>
        <v>22.320000000000007</v>
      </c>
      <c r="K17">
        <f t="shared" si="1"/>
        <v>22.320000000000007</v>
      </c>
      <c r="L17">
        <f t="shared" si="1"/>
        <v>22.320000000000007</v>
      </c>
      <c r="M17">
        <f t="shared" si="1"/>
        <v>22.320000000000007</v>
      </c>
      <c r="N17">
        <f t="shared" si="2"/>
        <v>22.320000000000007</v>
      </c>
      <c r="O17">
        <f t="shared" si="2"/>
        <v>22.320000000000007</v>
      </c>
      <c r="P17">
        <f t="shared" si="2"/>
        <v>22.320000000000007</v>
      </c>
      <c r="Q17">
        <f t="shared" si="2"/>
        <v>22.320000000000007</v>
      </c>
      <c r="R17">
        <f t="shared" si="2"/>
        <v>22.320000000000007</v>
      </c>
      <c r="S17">
        <f t="shared" si="2"/>
        <v>22.320000000000007</v>
      </c>
      <c r="T17">
        <f t="shared" si="2"/>
        <v>22.320000000000007</v>
      </c>
      <c r="U17">
        <f t="shared" si="2"/>
        <v>22.320000000000007</v>
      </c>
      <c r="V17">
        <f t="shared" si="2"/>
        <v>22.320000000000007</v>
      </c>
      <c r="W17">
        <f t="shared" si="2"/>
        <v>22.320000000000007</v>
      </c>
      <c r="X17">
        <f t="shared" si="3"/>
        <v>22.320000000000007</v>
      </c>
      <c r="Y17">
        <f t="shared" si="3"/>
        <v>22.320000000000007</v>
      </c>
      <c r="Z17">
        <f t="shared" si="3"/>
        <v>22.320000000000007</v>
      </c>
      <c r="AA17">
        <f t="shared" si="3"/>
        <v>22.320000000000007</v>
      </c>
      <c r="AB17">
        <f t="shared" si="3"/>
        <v>22.320000000000007</v>
      </c>
      <c r="AC17">
        <f t="shared" si="3"/>
        <v>22.320000000000007</v>
      </c>
      <c r="AD17">
        <f t="shared" si="3"/>
        <v>22.320000000000007</v>
      </c>
      <c r="AE17">
        <f t="shared" si="3"/>
        <v>22.320000000000007</v>
      </c>
      <c r="AF17">
        <f t="shared" si="3"/>
        <v>22.320000000000007</v>
      </c>
      <c r="AG17">
        <f t="shared" si="3"/>
        <v>22.320000000000007</v>
      </c>
      <c r="AH17">
        <f t="shared" si="4"/>
        <v>22.320000000000007</v>
      </c>
      <c r="AI17">
        <f t="shared" si="4"/>
        <v>22.320000000000007</v>
      </c>
      <c r="AJ17">
        <f t="shared" si="4"/>
        <v>22.320000000000007</v>
      </c>
      <c r="AK17">
        <f t="shared" si="4"/>
        <v>22.320000000000007</v>
      </c>
      <c r="AL17">
        <f t="shared" si="4"/>
        <v>22.320000000000007</v>
      </c>
      <c r="AM17">
        <f t="shared" si="4"/>
        <v>22.320000000000007</v>
      </c>
      <c r="AN17">
        <f t="shared" si="4"/>
        <v>22.320000000000007</v>
      </c>
      <c r="AO17">
        <f t="shared" si="4"/>
        <v>22.320000000000007</v>
      </c>
      <c r="AP17">
        <f t="shared" si="4"/>
        <v>22.320000000000007</v>
      </c>
      <c r="AQ17">
        <f t="shared" si="4"/>
        <v>22.320000000000007</v>
      </c>
      <c r="AR17">
        <f t="shared" si="5"/>
        <v>22.320000000000007</v>
      </c>
      <c r="AS17">
        <f t="shared" si="5"/>
        <v>22.320000000000007</v>
      </c>
      <c r="AT17">
        <f t="shared" si="5"/>
        <v>22.320000000000007</v>
      </c>
      <c r="AU17">
        <f t="shared" si="5"/>
        <v>22.320000000000007</v>
      </c>
      <c r="AV17">
        <f t="shared" si="5"/>
        <v>22.320000000000007</v>
      </c>
      <c r="AW17">
        <f t="shared" si="5"/>
        <v>22.320000000000007</v>
      </c>
      <c r="AX17">
        <f t="shared" si="5"/>
        <v>22.320000000000007</v>
      </c>
      <c r="AY17">
        <f t="shared" si="5"/>
        <v>22.320000000000007</v>
      </c>
      <c r="AZ17">
        <f t="shared" si="5"/>
        <v>22.320000000000007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21.385000000000005</v>
      </c>
      <c r="D18">
        <f t="shared" si="1"/>
        <v>21.385000000000005</v>
      </c>
      <c r="E18">
        <f t="shared" si="1"/>
        <v>21.385000000000005</v>
      </c>
      <c r="F18">
        <f t="shared" si="1"/>
        <v>21.385000000000005</v>
      </c>
      <c r="G18">
        <f t="shared" si="1"/>
        <v>21.385000000000005</v>
      </c>
      <c r="H18">
        <f t="shared" si="1"/>
        <v>21.385000000000005</v>
      </c>
      <c r="I18">
        <f t="shared" si="1"/>
        <v>21.385000000000005</v>
      </c>
      <c r="J18">
        <f t="shared" si="1"/>
        <v>21.385000000000005</v>
      </c>
      <c r="K18">
        <f t="shared" si="1"/>
        <v>21.385000000000005</v>
      </c>
      <c r="L18">
        <f t="shared" si="1"/>
        <v>21.385000000000005</v>
      </c>
      <c r="M18">
        <f t="shared" si="1"/>
        <v>21.385000000000005</v>
      </c>
      <c r="N18">
        <f t="shared" si="2"/>
        <v>21.385000000000005</v>
      </c>
      <c r="O18">
        <f t="shared" si="2"/>
        <v>21.385000000000005</v>
      </c>
      <c r="P18">
        <f t="shared" si="2"/>
        <v>21.385000000000005</v>
      </c>
      <c r="Q18">
        <f t="shared" si="2"/>
        <v>21.385000000000005</v>
      </c>
      <c r="R18">
        <f t="shared" si="2"/>
        <v>21.385000000000005</v>
      </c>
      <c r="S18">
        <f t="shared" si="2"/>
        <v>21.385000000000005</v>
      </c>
      <c r="T18">
        <f t="shared" si="2"/>
        <v>21.385000000000005</v>
      </c>
      <c r="U18">
        <f t="shared" si="2"/>
        <v>21.385000000000005</v>
      </c>
      <c r="V18">
        <f t="shared" si="2"/>
        <v>21.385000000000005</v>
      </c>
      <c r="W18">
        <f t="shared" si="2"/>
        <v>21.385000000000005</v>
      </c>
      <c r="X18">
        <f t="shared" si="3"/>
        <v>21.385000000000005</v>
      </c>
      <c r="Y18">
        <f t="shared" si="3"/>
        <v>21.385000000000005</v>
      </c>
      <c r="Z18">
        <f t="shared" si="3"/>
        <v>21.385000000000005</v>
      </c>
      <c r="AA18">
        <f t="shared" si="3"/>
        <v>21.385000000000005</v>
      </c>
      <c r="AB18">
        <f t="shared" si="3"/>
        <v>21.385000000000005</v>
      </c>
      <c r="AC18">
        <f t="shared" si="3"/>
        <v>21.385000000000005</v>
      </c>
      <c r="AD18">
        <f t="shared" si="3"/>
        <v>21.385000000000005</v>
      </c>
      <c r="AE18">
        <f t="shared" si="3"/>
        <v>21.385000000000005</v>
      </c>
      <c r="AF18">
        <f t="shared" si="3"/>
        <v>21.385000000000005</v>
      </c>
      <c r="AG18">
        <f t="shared" si="3"/>
        <v>21.385000000000005</v>
      </c>
      <c r="AH18">
        <f t="shared" si="4"/>
        <v>21.385000000000005</v>
      </c>
      <c r="AI18">
        <f t="shared" si="4"/>
        <v>21.385000000000005</v>
      </c>
      <c r="AJ18">
        <f t="shared" si="4"/>
        <v>21.385000000000005</v>
      </c>
      <c r="AK18">
        <f t="shared" si="4"/>
        <v>21.385000000000005</v>
      </c>
      <c r="AL18">
        <f t="shared" si="4"/>
        <v>21.385000000000005</v>
      </c>
      <c r="AM18">
        <f t="shared" si="4"/>
        <v>21.385000000000005</v>
      </c>
      <c r="AN18">
        <f t="shared" si="4"/>
        <v>21.385000000000005</v>
      </c>
      <c r="AO18">
        <f t="shared" si="4"/>
        <v>21.385000000000005</v>
      </c>
      <c r="AP18">
        <f t="shared" si="4"/>
        <v>21.385000000000005</v>
      </c>
      <c r="AQ18">
        <f t="shared" si="4"/>
        <v>21.385000000000005</v>
      </c>
      <c r="AR18">
        <f t="shared" si="5"/>
        <v>21.385000000000005</v>
      </c>
      <c r="AS18">
        <f t="shared" si="5"/>
        <v>21.385000000000005</v>
      </c>
      <c r="AT18">
        <f t="shared" si="5"/>
        <v>21.385000000000005</v>
      </c>
      <c r="AU18">
        <f t="shared" si="5"/>
        <v>21.385000000000005</v>
      </c>
      <c r="AV18">
        <f t="shared" si="5"/>
        <v>21.385000000000005</v>
      </c>
      <c r="AW18">
        <f t="shared" si="5"/>
        <v>21.385000000000005</v>
      </c>
      <c r="AX18">
        <f t="shared" si="5"/>
        <v>21.385000000000005</v>
      </c>
      <c r="AY18">
        <f t="shared" si="5"/>
        <v>21.385000000000005</v>
      </c>
      <c r="AZ18">
        <f t="shared" si="5"/>
        <v>21.385000000000005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20.470000000000002</v>
      </c>
      <c r="D19">
        <f t="shared" si="1"/>
        <v>20.470000000000002</v>
      </c>
      <c r="E19">
        <f t="shared" si="1"/>
        <v>20.470000000000002</v>
      </c>
      <c r="F19">
        <f t="shared" si="1"/>
        <v>20.470000000000002</v>
      </c>
      <c r="G19">
        <f t="shared" si="1"/>
        <v>20.470000000000002</v>
      </c>
      <c r="H19">
        <f t="shared" si="1"/>
        <v>20.470000000000002</v>
      </c>
      <c r="I19">
        <f t="shared" si="1"/>
        <v>20.470000000000002</v>
      </c>
      <c r="J19">
        <f t="shared" si="1"/>
        <v>20.470000000000002</v>
      </c>
      <c r="K19">
        <f t="shared" si="1"/>
        <v>20.470000000000002</v>
      </c>
      <c r="L19">
        <f t="shared" si="1"/>
        <v>20.470000000000002</v>
      </c>
      <c r="M19">
        <f t="shared" si="1"/>
        <v>20.470000000000002</v>
      </c>
      <c r="N19">
        <f t="shared" si="2"/>
        <v>20.470000000000002</v>
      </c>
      <c r="O19">
        <f t="shared" si="2"/>
        <v>20.470000000000002</v>
      </c>
      <c r="P19">
        <f t="shared" si="2"/>
        <v>20.470000000000002</v>
      </c>
      <c r="Q19">
        <f t="shared" si="2"/>
        <v>20.470000000000002</v>
      </c>
      <c r="R19">
        <f t="shared" si="2"/>
        <v>20.470000000000002</v>
      </c>
      <c r="S19">
        <f t="shared" si="2"/>
        <v>20.470000000000002</v>
      </c>
      <c r="T19">
        <f t="shared" si="2"/>
        <v>20.470000000000002</v>
      </c>
      <c r="U19">
        <f t="shared" si="2"/>
        <v>20.470000000000002</v>
      </c>
      <c r="V19">
        <f t="shared" si="2"/>
        <v>20.470000000000002</v>
      </c>
      <c r="W19">
        <f t="shared" si="2"/>
        <v>20.470000000000002</v>
      </c>
      <c r="X19">
        <f t="shared" si="3"/>
        <v>20.470000000000002</v>
      </c>
      <c r="Y19">
        <f t="shared" si="3"/>
        <v>20.470000000000002</v>
      </c>
      <c r="Z19">
        <f t="shared" si="3"/>
        <v>20.470000000000002</v>
      </c>
      <c r="AA19">
        <f t="shared" si="3"/>
        <v>20.470000000000002</v>
      </c>
      <c r="AB19">
        <f t="shared" si="3"/>
        <v>20.470000000000002</v>
      </c>
      <c r="AC19">
        <f t="shared" si="3"/>
        <v>20.470000000000002</v>
      </c>
      <c r="AD19">
        <f t="shared" si="3"/>
        <v>20.470000000000002</v>
      </c>
      <c r="AE19">
        <f t="shared" si="3"/>
        <v>20.470000000000002</v>
      </c>
      <c r="AF19">
        <f t="shared" si="3"/>
        <v>20.470000000000002</v>
      </c>
      <c r="AG19">
        <f t="shared" si="3"/>
        <v>20.470000000000002</v>
      </c>
      <c r="AH19">
        <f t="shared" si="4"/>
        <v>20.470000000000002</v>
      </c>
      <c r="AI19">
        <f t="shared" si="4"/>
        <v>20.470000000000002</v>
      </c>
      <c r="AJ19">
        <f t="shared" si="4"/>
        <v>20.470000000000002</v>
      </c>
      <c r="AK19">
        <f t="shared" si="4"/>
        <v>20.470000000000002</v>
      </c>
      <c r="AL19">
        <f t="shared" si="4"/>
        <v>20.470000000000002</v>
      </c>
      <c r="AM19">
        <f t="shared" si="4"/>
        <v>20.470000000000002</v>
      </c>
      <c r="AN19">
        <f t="shared" si="4"/>
        <v>20.470000000000002</v>
      </c>
      <c r="AO19">
        <f t="shared" si="4"/>
        <v>20.470000000000002</v>
      </c>
      <c r="AP19">
        <f t="shared" si="4"/>
        <v>20.470000000000002</v>
      </c>
      <c r="AQ19">
        <f t="shared" si="4"/>
        <v>20.470000000000002</v>
      </c>
      <c r="AR19">
        <f t="shared" si="5"/>
        <v>20.470000000000002</v>
      </c>
      <c r="AS19">
        <f t="shared" si="5"/>
        <v>20.470000000000002</v>
      </c>
      <c r="AT19">
        <f t="shared" si="5"/>
        <v>20.470000000000002</v>
      </c>
      <c r="AU19">
        <f t="shared" si="5"/>
        <v>20.470000000000002</v>
      </c>
      <c r="AV19">
        <f t="shared" si="5"/>
        <v>20.470000000000002</v>
      </c>
      <c r="AW19">
        <f t="shared" si="5"/>
        <v>20.470000000000002</v>
      </c>
      <c r="AX19">
        <f t="shared" si="5"/>
        <v>20.470000000000002</v>
      </c>
      <c r="AY19">
        <f t="shared" si="5"/>
        <v>20.470000000000002</v>
      </c>
      <c r="AZ19">
        <f t="shared" si="5"/>
        <v>20.470000000000002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19.575000000000003</v>
      </c>
      <c r="D20">
        <f t="shared" si="1"/>
        <v>19.575000000000003</v>
      </c>
      <c r="E20">
        <f t="shared" si="1"/>
        <v>19.575000000000003</v>
      </c>
      <c r="F20">
        <f t="shared" si="1"/>
        <v>19.575000000000003</v>
      </c>
      <c r="G20">
        <f t="shared" si="1"/>
        <v>19.575000000000003</v>
      </c>
      <c r="H20">
        <f t="shared" si="1"/>
        <v>19.575000000000003</v>
      </c>
      <c r="I20">
        <f t="shared" si="1"/>
        <v>19.575000000000003</v>
      </c>
      <c r="J20">
        <f t="shared" si="1"/>
        <v>19.575000000000003</v>
      </c>
      <c r="K20">
        <f t="shared" si="1"/>
        <v>19.575000000000003</v>
      </c>
      <c r="L20">
        <f t="shared" si="1"/>
        <v>19.575000000000003</v>
      </c>
      <c r="M20">
        <f t="shared" si="1"/>
        <v>19.575000000000003</v>
      </c>
      <c r="N20">
        <f t="shared" si="2"/>
        <v>19.575000000000003</v>
      </c>
      <c r="O20">
        <f t="shared" si="2"/>
        <v>19.575000000000003</v>
      </c>
      <c r="P20">
        <f t="shared" si="2"/>
        <v>19.575000000000003</v>
      </c>
      <c r="Q20">
        <f t="shared" si="2"/>
        <v>19.575000000000003</v>
      </c>
      <c r="R20">
        <f t="shared" si="2"/>
        <v>19.575000000000003</v>
      </c>
      <c r="S20">
        <f t="shared" si="2"/>
        <v>19.575000000000003</v>
      </c>
      <c r="T20">
        <f t="shared" si="2"/>
        <v>19.575000000000003</v>
      </c>
      <c r="U20">
        <f t="shared" si="2"/>
        <v>19.575000000000003</v>
      </c>
      <c r="V20">
        <f t="shared" si="2"/>
        <v>19.575000000000003</v>
      </c>
      <c r="W20">
        <f t="shared" si="2"/>
        <v>19.575000000000003</v>
      </c>
      <c r="X20">
        <f t="shared" si="3"/>
        <v>19.575000000000003</v>
      </c>
      <c r="Y20">
        <f t="shared" si="3"/>
        <v>19.575000000000003</v>
      </c>
      <c r="Z20">
        <f t="shared" si="3"/>
        <v>19.575000000000003</v>
      </c>
      <c r="AA20">
        <f t="shared" si="3"/>
        <v>19.575000000000003</v>
      </c>
      <c r="AB20">
        <f t="shared" si="3"/>
        <v>19.575000000000003</v>
      </c>
      <c r="AC20">
        <f t="shared" si="3"/>
        <v>19.575000000000003</v>
      </c>
      <c r="AD20">
        <f t="shared" si="3"/>
        <v>19.575000000000003</v>
      </c>
      <c r="AE20">
        <f t="shared" si="3"/>
        <v>19.575000000000003</v>
      </c>
      <c r="AF20">
        <f t="shared" si="3"/>
        <v>19.575000000000003</v>
      </c>
      <c r="AG20">
        <f t="shared" si="3"/>
        <v>19.575000000000003</v>
      </c>
      <c r="AH20">
        <f t="shared" si="4"/>
        <v>19.575000000000003</v>
      </c>
      <c r="AI20">
        <f t="shared" si="4"/>
        <v>19.575000000000003</v>
      </c>
      <c r="AJ20">
        <f t="shared" si="4"/>
        <v>19.575000000000003</v>
      </c>
      <c r="AK20">
        <f t="shared" si="4"/>
        <v>19.575000000000003</v>
      </c>
      <c r="AL20">
        <f t="shared" si="4"/>
        <v>19.575000000000003</v>
      </c>
      <c r="AM20">
        <f t="shared" si="4"/>
        <v>19.575000000000003</v>
      </c>
      <c r="AN20">
        <f t="shared" si="4"/>
        <v>19.575000000000003</v>
      </c>
      <c r="AO20">
        <f t="shared" si="4"/>
        <v>19.575000000000003</v>
      </c>
      <c r="AP20">
        <f t="shared" si="4"/>
        <v>19.575000000000003</v>
      </c>
      <c r="AQ20">
        <f t="shared" si="4"/>
        <v>19.575000000000003</v>
      </c>
      <c r="AR20">
        <f t="shared" si="5"/>
        <v>19.575000000000003</v>
      </c>
      <c r="AS20">
        <f t="shared" si="5"/>
        <v>19.575000000000003</v>
      </c>
      <c r="AT20">
        <f t="shared" si="5"/>
        <v>19.575000000000003</v>
      </c>
      <c r="AU20">
        <f t="shared" si="5"/>
        <v>19.575000000000003</v>
      </c>
      <c r="AV20">
        <f t="shared" si="5"/>
        <v>19.575000000000003</v>
      </c>
      <c r="AW20">
        <f t="shared" si="5"/>
        <v>19.575000000000003</v>
      </c>
      <c r="AX20">
        <f t="shared" si="5"/>
        <v>19.575000000000003</v>
      </c>
      <c r="AY20">
        <f t="shared" si="5"/>
        <v>19.575000000000003</v>
      </c>
      <c r="AZ20">
        <f t="shared" si="5"/>
        <v>19.575000000000003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18.700000000000003</v>
      </c>
      <c r="D21">
        <f t="shared" si="1"/>
        <v>18.700000000000003</v>
      </c>
      <c r="E21">
        <f t="shared" si="1"/>
        <v>18.700000000000003</v>
      </c>
      <c r="F21">
        <f t="shared" si="1"/>
        <v>18.700000000000003</v>
      </c>
      <c r="G21">
        <f t="shared" si="1"/>
        <v>18.700000000000003</v>
      </c>
      <c r="H21">
        <f t="shared" si="1"/>
        <v>18.700000000000003</v>
      </c>
      <c r="I21">
        <f t="shared" si="1"/>
        <v>18.700000000000003</v>
      </c>
      <c r="J21">
        <f t="shared" si="1"/>
        <v>18.700000000000003</v>
      </c>
      <c r="K21">
        <f t="shared" si="1"/>
        <v>18.700000000000003</v>
      </c>
      <c r="L21">
        <f t="shared" si="1"/>
        <v>18.700000000000003</v>
      </c>
      <c r="M21">
        <f t="shared" si="1"/>
        <v>18.700000000000003</v>
      </c>
      <c r="N21">
        <f t="shared" si="2"/>
        <v>18.700000000000003</v>
      </c>
      <c r="O21">
        <f t="shared" si="2"/>
        <v>18.700000000000003</v>
      </c>
      <c r="P21">
        <f t="shared" si="2"/>
        <v>18.700000000000003</v>
      </c>
      <c r="Q21">
        <f t="shared" si="2"/>
        <v>18.700000000000003</v>
      </c>
      <c r="R21">
        <f t="shared" si="2"/>
        <v>18.700000000000003</v>
      </c>
      <c r="S21">
        <f t="shared" si="2"/>
        <v>18.700000000000003</v>
      </c>
      <c r="T21">
        <f t="shared" si="2"/>
        <v>18.700000000000003</v>
      </c>
      <c r="U21">
        <f t="shared" si="2"/>
        <v>18.700000000000003</v>
      </c>
      <c r="V21">
        <f t="shared" si="2"/>
        <v>18.700000000000003</v>
      </c>
      <c r="W21">
        <f t="shared" si="2"/>
        <v>18.700000000000003</v>
      </c>
      <c r="X21">
        <f t="shared" si="3"/>
        <v>18.700000000000003</v>
      </c>
      <c r="Y21">
        <f t="shared" si="3"/>
        <v>18.700000000000003</v>
      </c>
      <c r="Z21">
        <f t="shared" si="3"/>
        <v>18.700000000000003</v>
      </c>
      <c r="AA21">
        <f t="shared" si="3"/>
        <v>18.700000000000003</v>
      </c>
      <c r="AB21">
        <f t="shared" si="3"/>
        <v>18.700000000000003</v>
      </c>
      <c r="AC21">
        <f t="shared" si="3"/>
        <v>18.700000000000003</v>
      </c>
      <c r="AD21">
        <f t="shared" si="3"/>
        <v>18.700000000000003</v>
      </c>
      <c r="AE21">
        <f t="shared" si="3"/>
        <v>18.700000000000003</v>
      </c>
      <c r="AF21">
        <f t="shared" si="3"/>
        <v>18.700000000000003</v>
      </c>
      <c r="AG21">
        <f t="shared" si="3"/>
        <v>18.700000000000003</v>
      </c>
      <c r="AH21">
        <f t="shared" si="4"/>
        <v>18.700000000000003</v>
      </c>
      <c r="AI21">
        <f t="shared" si="4"/>
        <v>18.700000000000003</v>
      </c>
      <c r="AJ21">
        <f t="shared" si="4"/>
        <v>18.700000000000003</v>
      </c>
      <c r="AK21">
        <f t="shared" si="4"/>
        <v>18.700000000000003</v>
      </c>
      <c r="AL21">
        <f t="shared" si="4"/>
        <v>18.700000000000003</v>
      </c>
      <c r="AM21">
        <f t="shared" si="4"/>
        <v>18.700000000000003</v>
      </c>
      <c r="AN21">
        <f t="shared" si="4"/>
        <v>18.700000000000003</v>
      </c>
      <c r="AO21">
        <f t="shared" si="4"/>
        <v>18.700000000000003</v>
      </c>
      <c r="AP21">
        <f t="shared" si="4"/>
        <v>18.700000000000003</v>
      </c>
      <c r="AQ21">
        <f t="shared" si="4"/>
        <v>18.700000000000003</v>
      </c>
      <c r="AR21">
        <f t="shared" si="5"/>
        <v>18.700000000000003</v>
      </c>
      <c r="AS21">
        <f t="shared" si="5"/>
        <v>18.700000000000003</v>
      </c>
      <c r="AT21">
        <f t="shared" si="5"/>
        <v>18.700000000000003</v>
      </c>
      <c r="AU21">
        <f t="shared" si="5"/>
        <v>18.700000000000003</v>
      </c>
      <c r="AV21">
        <f t="shared" si="5"/>
        <v>18.700000000000003</v>
      </c>
      <c r="AW21">
        <f t="shared" si="5"/>
        <v>18.700000000000003</v>
      </c>
      <c r="AX21">
        <f t="shared" si="5"/>
        <v>18.700000000000003</v>
      </c>
      <c r="AY21">
        <f t="shared" si="5"/>
        <v>18.700000000000003</v>
      </c>
      <c r="AZ21">
        <f t="shared" si="5"/>
        <v>18.700000000000003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17.845000000000002</v>
      </c>
      <c r="D22">
        <f t="shared" si="1"/>
        <v>17.845000000000002</v>
      </c>
      <c r="E22">
        <f t="shared" si="1"/>
        <v>17.845000000000002</v>
      </c>
      <c r="F22">
        <f t="shared" si="1"/>
        <v>17.845000000000002</v>
      </c>
      <c r="G22">
        <f t="shared" si="1"/>
        <v>17.845000000000002</v>
      </c>
      <c r="H22">
        <f t="shared" si="1"/>
        <v>17.845000000000002</v>
      </c>
      <c r="I22">
        <f t="shared" si="1"/>
        <v>17.845000000000002</v>
      </c>
      <c r="J22">
        <f t="shared" si="1"/>
        <v>17.845000000000002</v>
      </c>
      <c r="K22">
        <f t="shared" si="1"/>
        <v>17.845000000000002</v>
      </c>
      <c r="L22">
        <f t="shared" si="1"/>
        <v>17.845000000000002</v>
      </c>
      <c r="M22">
        <f t="shared" si="1"/>
        <v>17.845000000000002</v>
      </c>
      <c r="N22">
        <f t="shared" si="2"/>
        <v>17.845000000000002</v>
      </c>
      <c r="O22">
        <f t="shared" si="2"/>
        <v>17.845000000000002</v>
      </c>
      <c r="P22">
        <f t="shared" si="2"/>
        <v>17.845000000000002</v>
      </c>
      <c r="Q22">
        <f t="shared" si="2"/>
        <v>17.845000000000002</v>
      </c>
      <c r="R22">
        <f t="shared" si="2"/>
        <v>17.845000000000002</v>
      </c>
      <c r="S22">
        <f t="shared" si="2"/>
        <v>17.845000000000002</v>
      </c>
      <c r="T22">
        <f t="shared" si="2"/>
        <v>17.845000000000002</v>
      </c>
      <c r="U22">
        <f t="shared" si="2"/>
        <v>17.845000000000002</v>
      </c>
      <c r="V22">
        <f t="shared" si="2"/>
        <v>17.845000000000002</v>
      </c>
      <c r="W22">
        <f t="shared" si="2"/>
        <v>17.845000000000002</v>
      </c>
      <c r="X22">
        <f t="shared" si="3"/>
        <v>17.845000000000002</v>
      </c>
      <c r="Y22">
        <f t="shared" si="3"/>
        <v>17.845000000000002</v>
      </c>
      <c r="Z22">
        <f t="shared" si="3"/>
        <v>17.845000000000002</v>
      </c>
      <c r="AA22">
        <f t="shared" si="3"/>
        <v>17.845000000000002</v>
      </c>
      <c r="AB22">
        <f t="shared" si="3"/>
        <v>17.845000000000002</v>
      </c>
      <c r="AC22">
        <f t="shared" si="3"/>
        <v>17.845000000000002</v>
      </c>
      <c r="AD22">
        <f t="shared" si="3"/>
        <v>17.845000000000002</v>
      </c>
      <c r="AE22">
        <f t="shared" si="3"/>
        <v>17.845000000000002</v>
      </c>
      <c r="AF22">
        <f t="shared" si="3"/>
        <v>17.845000000000002</v>
      </c>
      <c r="AG22">
        <f t="shared" si="3"/>
        <v>17.845000000000002</v>
      </c>
      <c r="AH22">
        <f t="shared" si="4"/>
        <v>17.845000000000002</v>
      </c>
      <c r="AI22">
        <f t="shared" si="4"/>
        <v>17.845000000000002</v>
      </c>
      <c r="AJ22">
        <f t="shared" si="4"/>
        <v>17.845000000000002</v>
      </c>
      <c r="AK22">
        <f t="shared" si="4"/>
        <v>17.845000000000002</v>
      </c>
      <c r="AL22">
        <f t="shared" si="4"/>
        <v>17.845000000000002</v>
      </c>
      <c r="AM22">
        <f t="shared" si="4"/>
        <v>17.845000000000002</v>
      </c>
      <c r="AN22">
        <f t="shared" si="4"/>
        <v>17.845000000000002</v>
      </c>
      <c r="AO22">
        <f t="shared" si="4"/>
        <v>17.845000000000002</v>
      </c>
      <c r="AP22">
        <f t="shared" si="4"/>
        <v>17.845000000000002</v>
      </c>
      <c r="AQ22">
        <f t="shared" si="4"/>
        <v>17.845000000000002</v>
      </c>
      <c r="AR22">
        <f t="shared" si="5"/>
        <v>17.845000000000002</v>
      </c>
      <c r="AS22">
        <f t="shared" si="5"/>
        <v>17.845000000000002</v>
      </c>
      <c r="AT22">
        <f t="shared" si="5"/>
        <v>17.845000000000002</v>
      </c>
      <c r="AU22">
        <f t="shared" si="5"/>
        <v>17.845000000000002</v>
      </c>
      <c r="AV22">
        <f t="shared" si="5"/>
        <v>17.845000000000002</v>
      </c>
      <c r="AW22">
        <f t="shared" si="5"/>
        <v>17.845000000000002</v>
      </c>
      <c r="AX22">
        <f t="shared" si="5"/>
        <v>17.845000000000002</v>
      </c>
      <c r="AY22">
        <f t="shared" si="5"/>
        <v>17.845000000000002</v>
      </c>
      <c r="AZ22">
        <f t="shared" si="5"/>
        <v>17.845000000000002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17.010000000000005</v>
      </c>
      <c r="D23">
        <f t="shared" si="1"/>
        <v>17.010000000000005</v>
      </c>
      <c r="E23">
        <f t="shared" si="1"/>
        <v>17.010000000000005</v>
      </c>
      <c r="F23">
        <f t="shared" si="1"/>
        <v>17.010000000000005</v>
      </c>
      <c r="G23">
        <f t="shared" si="1"/>
        <v>17.010000000000005</v>
      </c>
      <c r="H23">
        <f t="shared" si="1"/>
        <v>17.010000000000005</v>
      </c>
      <c r="I23">
        <f t="shared" si="1"/>
        <v>17.010000000000005</v>
      </c>
      <c r="J23">
        <f t="shared" si="1"/>
        <v>17.010000000000005</v>
      </c>
      <c r="K23">
        <f t="shared" si="1"/>
        <v>17.010000000000005</v>
      </c>
      <c r="L23">
        <f t="shared" si="1"/>
        <v>17.010000000000005</v>
      </c>
      <c r="M23">
        <f t="shared" si="1"/>
        <v>17.010000000000005</v>
      </c>
      <c r="N23">
        <f t="shared" si="2"/>
        <v>17.010000000000005</v>
      </c>
      <c r="O23">
        <f t="shared" si="2"/>
        <v>17.010000000000005</v>
      </c>
      <c r="P23">
        <f t="shared" si="2"/>
        <v>17.010000000000005</v>
      </c>
      <c r="Q23">
        <f t="shared" si="2"/>
        <v>17.010000000000005</v>
      </c>
      <c r="R23">
        <f t="shared" si="2"/>
        <v>17.010000000000005</v>
      </c>
      <c r="S23">
        <f t="shared" si="2"/>
        <v>17.010000000000005</v>
      </c>
      <c r="T23">
        <f t="shared" si="2"/>
        <v>17.010000000000005</v>
      </c>
      <c r="U23">
        <f t="shared" si="2"/>
        <v>17.010000000000005</v>
      </c>
      <c r="V23">
        <f t="shared" si="2"/>
        <v>17.010000000000005</v>
      </c>
      <c r="W23">
        <f t="shared" si="2"/>
        <v>17.010000000000005</v>
      </c>
      <c r="X23">
        <f t="shared" si="3"/>
        <v>17.010000000000005</v>
      </c>
      <c r="Y23">
        <f t="shared" si="3"/>
        <v>17.010000000000005</v>
      </c>
      <c r="Z23">
        <f t="shared" si="3"/>
        <v>17.010000000000005</v>
      </c>
      <c r="AA23">
        <f t="shared" si="3"/>
        <v>17.010000000000005</v>
      </c>
      <c r="AB23">
        <f t="shared" si="3"/>
        <v>17.010000000000005</v>
      </c>
      <c r="AC23">
        <f t="shared" si="3"/>
        <v>17.010000000000005</v>
      </c>
      <c r="AD23">
        <f t="shared" si="3"/>
        <v>17.010000000000005</v>
      </c>
      <c r="AE23">
        <f t="shared" si="3"/>
        <v>17.010000000000005</v>
      </c>
      <c r="AF23">
        <f t="shared" si="3"/>
        <v>17.010000000000005</v>
      </c>
      <c r="AG23">
        <f t="shared" si="3"/>
        <v>17.010000000000005</v>
      </c>
      <c r="AH23">
        <f t="shared" si="4"/>
        <v>17.010000000000005</v>
      </c>
      <c r="AI23">
        <f t="shared" si="4"/>
        <v>17.010000000000005</v>
      </c>
      <c r="AJ23">
        <f t="shared" si="4"/>
        <v>17.010000000000005</v>
      </c>
      <c r="AK23">
        <f t="shared" si="4"/>
        <v>17.010000000000005</v>
      </c>
      <c r="AL23">
        <f t="shared" si="4"/>
        <v>17.010000000000005</v>
      </c>
      <c r="AM23">
        <f t="shared" si="4"/>
        <v>17.010000000000005</v>
      </c>
      <c r="AN23">
        <f t="shared" si="4"/>
        <v>17.010000000000005</v>
      </c>
      <c r="AO23">
        <f t="shared" si="4"/>
        <v>17.010000000000005</v>
      </c>
      <c r="AP23">
        <f t="shared" si="4"/>
        <v>17.010000000000005</v>
      </c>
      <c r="AQ23">
        <f t="shared" si="4"/>
        <v>17.010000000000005</v>
      </c>
      <c r="AR23">
        <f t="shared" si="5"/>
        <v>17.010000000000005</v>
      </c>
      <c r="AS23">
        <f t="shared" si="5"/>
        <v>17.010000000000005</v>
      </c>
      <c r="AT23">
        <f t="shared" si="5"/>
        <v>17.010000000000005</v>
      </c>
      <c r="AU23">
        <f t="shared" si="5"/>
        <v>17.010000000000005</v>
      </c>
      <c r="AV23">
        <f t="shared" si="5"/>
        <v>17.010000000000005</v>
      </c>
      <c r="AW23">
        <f t="shared" si="5"/>
        <v>17.010000000000005</v>
      </c>
      <c r="AX23">
        <f t="shared" si="5"/>
        <v>17.010000000000005</v>
      </c>
      <c r="AY23">
        <f t="shared" si="5"/>
        <v>17.010000000000005</v>
      </c>
      <c r="AZ23">
        <f t="shared" si="5"/>
        <v>17.010000000000005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16.195000000000004</v>
      </c>
      <c r="D24">
        <f t="shared" si="1"/>
        <v>16.195000000000004</v>
      </c>
      <c r="E24">
        <f t="shared" si="1"/>
        <v>16.195000000000004</v>
      </c>
      <c r="F24">
        <f t="shared" si="1"/>
        <v>16.195000000000004</v>
      </c>
      <c r="G24">
        <f t="shared" si="1"/>
        <v>16.195000000000004</v>
      </c>
      <c r="H24">
        <f t="shared" si="1"/>
        <v>16.195000000000004</v>
      </c>
      <c r="I24">
        <f t="shared" si="1"/>
        <v>16.195000000000004</v>
      </c>
      <c r="J24">
        <f t="shared" si="1"/>
        <v>16.195000000000004</v>
      </c>
      <c r="K24">
        <f t="shared" si="1"/>
        <v>16.195000000000004</v>
      </c>
      <c r="L24">
        <f t="shared" si="1"/>
        <v>16.195000000000004</v>
      </c>
      <c r="M24">
        <f t="shared" si="1"/>
        <v>16.195000000000004</v>
      </c>
      <c r="N24">
        <f t="shared" si="2"/>
        <v>16.195000000000004</v>
      </c>
      <c r="O24">
        <f t="shared" si="2"/>
        <v>16.195000000000004</v>
      </c>
      <c r="P24">
        <f t="shared" si="2"/>
        <v>16.195000000000004</v>
      </c>
      <c r="Q24">
        <f t="shared" si="2"/>
        <v>16.195000000000004</v>
      </c>
      <c r="R24">
        <f t="shared" si="2"/>
        <v>16.195000000000004</v>
      </c>
      <c r="S24">
        <f t="shared" si="2"/>
        <v>16.195000000000004</v>
      </c>
      <c r="T24">
        <f t="shared" si="2"/>
        <v>16.195000000000004</v>
      </c>
      <c r="U24">
        <f t="shared" si="2"/>
        <v>16.195000000000004</v>
      </c>
      <c r="V24">
        <f t="shared" si="2"/>
        <v>16.195000000000004</v>
      </c>
      <c r="W24">
        <f t="shared" si="2"/>
        <v>16.195000000000004</v>
      </c>
      <c r="X24">
        <f t="shared" si="3"/>
        <v>16.195000000000004</v>
      </c>
      <c r="Y24">
        <f t="shared" si="3"/>
        <v>16.195000000000004</v>
      </c>
      <c r="Z24">
        <f t="shared" si="3"/>
        <v>16.195000000000004</v>
      </c>
      <c r="AA24">
        <f t="shared" si="3"/>
        <v>16.195000000000004</v>
      </c>
      <c r="AB24">
        <f t="shared" si="3"/>
        <v>16.195000000000004</v>
      </c>
      <c r="AC24">
        <f t="shared" si="3"/>
        <v>16.195000000000004</v>
      </c>
      <c r="AD24">
        <f t="shared" si="3"/>
        <v>16.195000000000004</v>
      </c>
      <c r="AE24">
        <f t="shared" si="3"/>
        <v>16.195000000000004</v>
      </c>
      <c r="AF24">
        <f t="shared" si="3"/>
        <v>16.195000000000004</v>
      </c>
      <c r="AG24">
        <f t="shared" si="3"/>
        <v>16.195000000000004</v>
      </c>
      <c r="AH24">
        <f t="shared" si="4"/>
        <v>16.195000000000004</v>
      </c>
      <c r="AI24">
        <f t="shared" si="4"/>
        <v>16.195000000000004</v>
      </c>
      <c r="AJ24">
        <f t="shared" si="4"/>
        <v>16.195000000000004</v>
      </c>
      <c r="AK24">
        <f t="shared" si="4"/>
        <v>16.195000000000004</v>
      </c>
      <c r="AL24">
        <f t="shared" si="4"/>
        <v>16.195000000000004</v>
      </c>
      <c r="AM24">
        <f t="shared" si="4"/>
        <v>16.195000000000004</v>
      </c>
      <c r="AN24">
        <f t="shared" si="4"/>
        <v>16.195000000000004</v>
      </c>
      <c r="AO24">
        <f t="shared" si="4"/>
        <v>16.195000000000004</v>
      </c>
      <c r="AP24">
        <f t="shared" si="4"/>
        <v>16.195000000000004</v>
      </c>
      <c r="AQ24">
        <f t="shared" si="4"/>
        <v>16.195000000000004</v>
      </c>
      <c r="AR24">
        <f t="shared" si="5"/>
        <v>16.195000000000004</v>
      </c>
      <c r="AS24">
        <f t="shared" si="5"/>
        <v>16.195000000000004</v>
      </c>
      <c r="AT24">
        <f t="shared" si="5"/>
        <v>16.195000000000004</v>
      </c>
      <c r="AU24">
        <f t="shared" si="5"/>
        <v>16.195000000000004</v>
      </c>
      <c r="AV24">
        <f t="shared" si="5"/>
        <v>16.195000000000004</v>
      </c>
      <c r="AW24">
        <f t="shared" si="5"/>
        <v>16.195000000000004</v>
      </c>
      <c r="AX24">
        <f t="shared" si="5"/>
        <v>16.195000000000004</v>
      </c>
      <c r="AY24">
        <f t="shared" si="5"/>
        <v>16.195000000000004</v>
      </c>
      <c r="AZ24">
        <f t="shared" si="5"/>
        <v>16.195000000000004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15.400000000000004</v>
      </c>
      <c r="D25">
        <f t="shared" si="1"/>
        <v>15.400000000000004</v>
      </c>
      <c r="E25">
        <f t="shared" si="1"/>
        <v>15.400000000000004</v>
      </c>
      <c r="F25">
        <f t="shared" si="1"/>
        <v>15.400000000000004</v>
      </c>
      <c r="G25">
        <f t="shared" si="1"/>
        <v>15.400000000000004</v>
      </c>
      <c r="H25">
        <f t="shared" si="1"/>
        <v>15.400000000000004</v>
      </c>
      <c r="I25">
        <f t="shared" si="1"/>
        <v>15.400000000000004</v>
      </c>
      <c r="J25">
        <f t="shared" si="1"/>
        <v>15.400000000000004</v>
      </c>
      <c r="K25">
        <f t="shared" si="1"/>
        <v>15.400000000000004</v>
      </c>
      <c r="L25">
        <f t="shared" si="1"/>
        <v>15.400000000000004</v>
      </c>
      <c r="M25">
        <f t="shared" si="1"/>
        <v>15.400000000000004</v>
      </c>
      <c r="N25">
        <f t="shared" si="2"/>
        <v>15.400000000000004</v>
      </c>
      <c r="O25">
        <f t="shared" si="2"/>
        <v>15.400000000000004</v>
      </c>
      <c r="P25">
        <f t="shared" si="2"/>
        <v>15.400000000000004</v>
      </c>
      <c r="Q25">
        <f t="shared" si="2"/>
        <v>15.400000000000004</v>
      </c>
      <c r="R25">
        <f t="shared" si="2"/>
        <v>15.400000000000004</v>
      </c>
      <c r="S25">
        <f t="shared" si="2"/>
        <v>15.400000000000004</v>
      </c>
      <c r="T25">
        <f t="shared" si="2"/>
        <v>15.400000000000004</v>
      </c>
      <c r="U25">
        <f t="shared" si="2"/>
        <v>15.400000000000004</v>
      </c>
      <c r="V25">
        <f t="shared" si="2"/>
        <v>15.400000000000004</v>
      </c>
      <c r="W25">
        <f t="shared" si="2"/>
        <v>15.400000000000004</v>
      </c>
      <c r="X25">
        <f t="shared" si="3"/>
        <v>15.400000000000004</v>
      </c>
      <c r="Y25">
        <f t="shared" si="3"/>
        <v>15.400000000000004</v>
      </c>
      <c r="Z25">
        <f t="shared" si="3"/>
        <v>15.400000000000004</v>
      </c>
      <c r="AA25">
        <f t="shared" si="3"/>
        <v>15.400000000000004</v>
      </c>
      <c r="AB25">
        <f t="shared" si="3"/>
        <v>15.400000000000004</v>
      </c>
      <c r="AC25">
        <f t="shared" si="3"/>
        <v>15.400000000000004</v>
      </c>
      <c r="AD25">
        <f t="shared" si="3"/>
        <v>15.400000000000004</v>
      </c>
      <c r="AE25">
        <f t="shared" si="3"/>
        <v>15.400000000000004</v>
      </c>
      <c r="AF25">
        <f t="shared" si="3"/>
        <v>15.400000000000004</v>
      </c>
      <c r="AG25">
        <f t="shared" si="3"/>
        <v>15.400000000000004</v>
      </c>
      <c r="AH25">
        <f t="shared" si="4"/>
        <v>15.400000000000004</v>
      </c>
      <c r="AI25">
        <f t="shared" si="4"/>
        <v>15.400000000000004</v>
      </c>
      <c r="AJ25">
        <f t="shared" si="4"/>
        <v>15.400000000000004</v>
      </c>
      <c r="AK25">
        <f t="shared" si="4"/>
        <v>15.400000000000004</v>
      </c>
      <c r="AL25">
        <f t="shared" si="4"/>
        <v>15.400000000000004</v>
      </c>
      <c r="AM25">
        <f t="shared" si="4"/>
        <v>15.400000000000004</v>
      </c>
      <c r="AN25">
        <f t="shared" si="4"/>
        <v>15.400000000000004</v>
      </c>
      <c r="AO25">
        <f t="shared" si="4"/>
        <v>15.400000000000004</v>
      </c>
      <c r="AP25">
        <f t="shared" si="4"/>
        <v>15.400000000000004</v>
      </c>
      <c r="AQ25">
        <f t="shared" si="4"/>
        <v>15.400000000000004</v>
      </c>
      <c r="AR25">
        <f t="shared" si="5"/>
        <v>15.400000000000004</v>
      </c>
      <c r="AS25">
        <f t="shared" si="5"/>
        <v>15.400000000000004</v>
      </c>
      <c r="AT25">
        <f t="shared" si="5"/>
        <v>15.400000000000004</v>
      </c>
      <c r="AU25">
        <f t="shared" si="5"/>
        <v>15.400000000000004</v>
      </c>
      <c r="AV25">
        <f t="shared" si="5"/>
        <v>15.400000000000004</v>
      </c>
      <c r="AW25">
        <f t="shared" si="5"/>
        <v>15.400000000000004</v>
      </c>
      <c r="AX25">
        <f t="shared" si="5"/>
        <v>15.400000000000004</v>
      </c>
      <c r="AY25">
        <f t="shared" si="5"/>
        <v>15.400000000000004</v>
      </c>
      <c r="AZ25">
        <f t="shared" si="5"/>
        <v>15.400000000000004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M35" si="7">0.25*(sigma^2*$A26^2-(rate-d)*$A26)</f>
        <v>14.625000000000004</v>
      </c>
      <c r="D26">
        <f t="shared" si="7"/>
        <v>14.625000000000004</v>
      </c>
      <c r="E26">
        <f t="shared" si="7"/>
        <v>14.625000000000004</v>
      </c>
      <c r="F26">
        <f t="shared" si="7"/>
        <v>14.625000000000004</v>
      </c>
      <c r="G26">
        <f t="shared" si="7"/>
        <v>14.625000000000004</v>
      </c>
      <c r="H26">
        <f t="shared" si="7"/>
        <v>14.625000000000004</v>
      </c>
      <c r="I26">
        <f t="shared" si="7"/>
        <v>14.625000000000004</v>
      </c>
      <c r="J26">
        <f t="shared" si="7"/>
        <v>14.625000000000004</v>
      </c>
      <c r="K26">
        <f t="shared" si="7"/>
        <v>14.625000000000004</v>
      </c>
      <c r="L26">
        <f t="shared" si="7"/>
        <v>14.625000000000004</v>
      </c>
      <c r="M26">
        <f t="shared" si="7"/>
        <v>14.625000000000004</v>
      </c>
      <c r="N26">
        <f t="shared" ref="N26:W35" si="8">0.25*(sigma^2*$A26^2-(rate-d)*$A26)</f>
        <v>14.625000000000004</v>
      </c>
      <c r="O26">
        <f t="shared" si="8"/>
        <v>14.625000000000004</v>
      </c>
      <c r="P26">
        <f t="shared" si="8"/>
        <v>14.625000000000004</v>
      </c>
      <c r="Q26">
        <f t="shared" si="8"/>
        <v>14.625000000000004</v>
      </c>
      <c r="R26">
        <f t="shared" si="8"/>
        <v>14.625000000000004</v>
      </c>
      <c r="S26">
        <f t="shared" si="8"/>
        <v>14.625000000000004</v>
      </c>
      <c r="T26">
        <f t="shared" si="8"/>
        <v>14.625000000000004</v>
      </c>
      <c r="U26">
        <f t="shared" si="8"/>
        <v>14.625000000000004</v>
      </c>
      <c r="V26">
        <f t="shared" si="8"/>
        <v>14.625000000000004</v>
      </c>
      <c r="W26">
        <f t="shared" si="8"/>
        <v>14.625000000000004</v>
      </c>
      <c r="X26">
        <f t="shared" ref="X26:AG35" si="9">0.25*(sigma^2*$A26^2-(rate-d)*$A26)</f>
        <v>14.625000000000004</v>
      </c>
      <c r="Y26">
        <f t="shared" si="9"/>
        <v>14.625000000000004</v>
      </c>
      <c r="Z26">
        <f t="shared" si="9"/>
        <v>14.625000000000004</v>
      </c>
      <c r="AA26">
        <f t="shared" si="9"/>
        <v>14.625000000000004</v>
      </c>
      <c r="AB26">
        <f t="shared" si="9"/>
        <v>14.625000000000004</v>
      </c>
      <c r="AC26">
        <f t="shared" si="9"/>
        <v>14.625000000000004</v>
      </c>
      <c r="AD26">
        <f t="shared" si="9"/>
        <v>14.625000000000004</v>
      </c>
      <c r="AE26">
        <f t="shared" si="9"/>
        <v>14.625000000000004</v>
      </c>
      <c r="AF26">
        <f t="shared" si="9"/>
        <v>14.625000000000004</v>
      </c>
      <c r="AG26">
        <f t="shared" si="9"/>
        <v>14.625000000000004</v>
      </c>
      <c r="AH26">
        <f t="shared" ref="AH26:AQ35" si="10">0.25*(sigma^2*$A26^2-(rate-d)*$A26)</f>
        <v>14.625000000000004</v>
      </c>
      <c r="AI26">
        <f t="shared" si="10"/>
        <v>14.625000000000004</v>
      </c>
      <c r="AJ26">
        <f t="shared" si="10"/>
        <v>14.625000000000004</v>
      </c>
      <c r="AK26">
        <f t="shared" si="10"/>
        <v>14.625000000000004</v>
      </c>
      <c r="AL26">
        <f t="shared" si="10"/>
        <v>14.625000000000004</v>
      </c>
      <c r="AM26">
        <f t="shared" si="10"/>
        <v>14.625000000000004</v>
      </c>
      <c r="AN26">
        <f t="shared" si="10"/>
        <v>14.625000000000004</v>
      </c>
      <c r="AO26">
        <f t="shared" si="10"/>
        <v>14.625000000000004</v>
      </c>
      <c r="AP26">
        <f t="shared" si="10"/>
        <v>14.625000000000004</v>
      </c>
      <c r="AQ26">
        <f t="shared" si="10"/>
        <v>14.625000000000004</v>
      </c>
      <c r="AR26">
        <f t="shared" ref="AR26:AZ35" si="11">0.25*(sigma^2*$A26^2-(rate-d)*$A26)</f>
        <v>14.625000000000004</v>
      </c>
      <c r="AS26">
        <f t="shared" si="11"/>
        <v>14.625000000000004</v>
      </c>
      <c r="AT26">
        <f t="shared" si="11"/>
        <v>14.625000000000004</v>
      </c>
      <c r="AU26">
        <f t="shared" si="11"/>
        <v>14.625000000000004</v>
      </c>
      <c r="AV26">
        <f t="shared" si="11"/>
        <v>14.625000000000004</v>
      </c>
      <c r="AW26">
        <f t="shared" si="11"/>
        <v>14.625000000000004</v>
      </c>
      <c r="AX26">
        <f t="shared" si="11"/>
        <v>14.625000000000004</v>
      </c>
      <c r="AY26">
        <f t="shared" si="11"/>
        <v>14.625000000000004</v>
      </c>
      <c r="AZ26">
        <f t="shared" si="11"/>
        <v>14.625000000000004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13.870000000000003</v>
      </c>
      <c r="D27">
        <f t="shared" si="7"/>
        <v>13.870000000000003</v>
      </c>
      <c r="E27">
        <f t="shared" si="7"/>
        <v>13.870000000000003</v>
      </c>
      <c r="F27">
        <f t="shared" si="7"/>
        <v>13.870000000000003</v>
      </c>
      <c r="G27">
        <f t="shared" si="7"/>
        <v>13.870000000000003</v>
      </c>
      <c r="H27">
        <f t="shared" si="7"/>
        <v>13.870000000000003</v>
      </c>
      <c r="I27">
        <f t="shared" si="7"/>
        <v>13.870000000000003</v>
      </c>
      <c r="J27">
        <f t="shared" si="7"/>
        <v>13.870000000000003</v>
      </c>
      <c r="K27">
        <f t="shared" si="7"/>
        <v>13.870000000000003</v>
      </c>
      <c r="L27">
        <f t="shared" si="7"/>
        <v>13.870000000000003</v>
      </c>
      <c r="M27">
        <f t="shared" si="7"/>
        <v>13.870000000000003</v>
      </c>
      <c r="N27">
        <f t="shared" si="8"/>
        <v>13.870000000000003</v>
      </c>
      <c r="O27">
        <f t="shared" si="8"/>
        <v>13.870000000000003</v>
      </c>
      <c r="P27">
        <f t="shared" si="8"/>
        <v>13.870000000000003</v>
      </c>
      <c r="Q27">
        <f t="shared" si="8"/>
        <v>13.870000000000003</v>
      </c>
      <c r="R27">
        <f t="shared" si="8"/>
        <v>13.870000000000003</v>
      </c>
      <c r="S27">
        <f t="shared" si="8"/>
        <v>13.870000000000003</v>
      </c>
      <c r="T27">
        <f t="shared" si="8"/>
        <v>13.870000000000003</v>
      </c>
      <c r="U27">
        <f t="shared" si="8"/>
        <v>13.870000000000003</v>
      </c>
      <c r="V27">
        <f t="shared" si="8"/>
        <v>13.870000000000003</v>
      </c>
      <c r="W27">
        <f t="shared" si="8"/>
        <v>13.870000000000003</v>
      </c>
      <c r="X27">
        <f t="shared" si="9"/>
        <v>13.870000000000003</v>
      </c>
      <c r="Y27">
        <f t="shared" si="9"/>
        <v>13.870000000000003</v>
      </c>
      <c r="Z27">
        <f t="shared" si="9"/>
        <v>13.870000000000003</v>
      </c>
      <c r="AA27">
        <f t="shared" si="9"/>
        <v>13.870000000000003</v>
      </c>
      <c r="AB27">
        <f t="shared" si="9"/>
        <v>13.870000000000003</v>
      </c>
      <c r="AC27">
        <f t="shared" si="9"/>
        <v>13.870000000000003</v>
      </c>
      <c r="AD27">
        <f t="shared" si="9"/>
        <v>13.870000000000003</v>
      </c>
      <c r="AE27">
        <f t="shared" si="9"/>
        <v>13.870000000000003</v>
      </c>
      <c r="AF27">
        <f t="shared" si="9"/>
        <v>13.870000000000003</v>
      </c>
      <c r="AG27">
        <f t="shared" si="9"/>
        <v>13.870000000000003</v>
      </c>
      <c r="AH27">
        <f t="shared" si="10"/>
        <v>13.870000000000003</v>
      </c>
      <c r="AI27">
        <f t="shared" si="10"/>
        <v>13.870000000000003</v>
      </c>
      <c r="AJ27">
        <f t="shared" si="10"/>
        <v>13.870000000000003</v>
      </c>
      <c r="AK27">
        <f t="shared" si="10"/>
        <v>13.870000000000003</v>
      </c>
      <c r="AL27">
        <f t="shared" si="10"/>
        <v>13.870000000000003</v>
      </c>
      <c r="AM27">
        <f t="shared" si="10"/>
        <v>13.870000000000003</v>
      </c>
      <c r="AN27">
        <f t="shared" si="10"/>
        <v>13.870000000000003</v>
      </c>
      <c r="AO27">
        <f t="shared" si="10"/>
        <v>13.870000000000003</v>
      </c>
      <c r="AP27">
        <f t="shared" si="10"/>
        <v>13.870000000000003</v>
      </c>
      <c r="AQ27">
        <f t="shared" si="10"/>
        <v>13.870000000000003</v>
      </c>
      <c r="AR27">
        <f t="shared" si="11"/>
        <v>13.870000000000003</v>
      </c>
      <c r="AS27">
        <f t="shared" si="11"/>
        <v>13.870000000000003</v>
      </c>
      <c r="AT27">
        <f t="shared" si="11"/>
        <v>13.870000000000003</v>
      </c>
      <c r="AU27">
        <f t="shared" si="11"/>
        <v>13.870000000000003</v>
      </c>
      <c r="AV27">
        <f t="shared" si="11"/>
        <v>13.870000000000003</v>
      </c>
      <c r="AW27">
        <f t="shared" si="11"/>
        <v>13.870000000000003</v>
      </c>
      <c r="AX27">
        <f t="shared" si="11"/>
        <v>13.870000000000003</v>
      </c>
      <c r="AY27">
        <f t="shared" si="11"/>
        <v>13.870000000000003</v>
      </c>
      <c r="AZ27">
        <f t="shared" si="11"/>
        <v>13.870000000000003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13.135000000000003</v>
      </c>
      <c r="D28">
        <f t="shared" si="7"/>
        <v>13.135000000000003</v>
      </c>
      <c r="E28">
        <f t="shared" si="7"/>
        <v>13.135000000000003</v>
      </c>
      <c r="F28">
        <f t="shared" si="7"/>
        <v>13.135000000000003</v>
      </c>
      <c r="G28">
        <f t="shared" si="7"/>
        <v>13.135000000000003</v>
      </c>
      <c r="H28">
        <f t="shared" si="7"/>
        <v>13.135000000000003</v>
      </c>
      <c r="I28">
        <f t="shared" si="7"/>
        <v>13.135000000000003</v>
      </c>
      <c r="J28">
        <f t="shared" si="7"/>
        <v>13.135000000000003</v>
      </c>
      <c r="K28">
        <f t="shared" si="7"/>
        <v>13.135000000000003</v>
      </c>
      <c r="L28">
        <f t="shared" si="7"/>
        <v>13.135000000000003</v>
      </c>
      <c r="M28">
        <f t="shared" si="7"/>
        <v>13.135000000000003</v>
      </c>
      <c r="N28">
        <f t="shared" si="8"/>
        <v>13.135000000000003</v>
      </c>
      <c r="O28">
        <f t="shared" si="8"/>
        <v>13.135000000000003</v>
      </c>
      <c r="P28">
        <f t="shared" si="8"/>
        <v>13.135000000000003</v>
      </c>
      <c r="Q28">
        <f t="shared" si="8"/>
        <v>13.135000000000003</v>
      </c>
      <c r="R28">
        <f t="shared" si="8"/>
        <v>13.135000000000003</v>
      </c>
      <c r="S28">
        <f t="shared" si="8"/>
        <v>13.135000000000003</v>
      </c>
      <c r="T28">
        <f t="shared" si="8"/>
        <v>13.135000000000003</v>
      </c>
      <c r="U28">
        <f t="shared" si="8"/>
        <v>13.135000000000003</v>
      </c>
      <c r="V28">
        <f t="shared" si="8"/>
        <v>13.135000000000003</v>
      </c>
      <c r="W28">
        <f t="shared" si="8"/>
        <v>13.135000000000003</v>
      </c>
      <c r="X28">
        <f t="shared" si="9"/>
        <v>13.135000000000003</v>
      </c>
      <c r="Y28">
        <f t="shared" si="9"/>
        <v>13.135000000000003</v>
      </c>
      <c r="Z28">
        <f t="shared" si="9"/>
        <v>13.135000000000003</v>
      </c>
      <c r="AA28">
        <f t="shared" si="9"/>
        <v>13.135000000000003</v>
      </c>
      <c r="AB28">
        <f t="shared" si="9"/>
        <v>13.135000000000003</v>
      </c>
      <c r="AC28">
        <f t="shared" si="9"/>
        <v>13.135000000000003</v>
      </c>
      <c r="AD28">
        <f t="shared" si="9"/>
        <v>13.135000000000003</v>
      </c>
      <c r="AE28">
        <f t="shared" si="9"/>
        <v>13.135000000000003</v>
      </c>
      <c r="AF28">
        <f t="shared" si="9"/>
        <v>13.135000000000003</v>
      </c>
      <c r="AG28">
        <f t="shared" si="9"/>
        <v>13.135000000000003</v>
      </c>
      <c r="AH28">
        <f t="shared" si="10"/>
        <v>13.135000000000003</v>
      </c>
      <c r="AI28">
        <f t="shared" si="10"/>
        <v>13.135000000000003</v>
      </c>
      <c r="AJ28">
        <f t="shared" si="10"/>
        <v>13.135000000000003</v>
      </c>
      <c r="AK28">
        <f t="shared" si="10"/>
        <v>13.135000000000003</v>
      </c>
      <c r="AL28">
        <f t="shared" si="10"/>
        <v>13.135000000000003</v>
      </c>
      <c r="AM28">
        <f t="shared" si="10"/>
        <v>13.135000000000003</v>
      </c>
      <c r="AN28">
        <f t="shared" si="10"/>
        <v>13.135000000000003</v>
      </c>
      <c r="AO28">
        <f t="shared" si="10"/>
        <v>13.135000000000003</v>
      </c>
      <c r="AP28">
        <f t="shared" si="10"/>
        <v>13.135000000000003</v>
      </c>
      <c r="AQ28">
        <f t="shared" si="10"/>
        <v>13.135000000000003</v>
      </c>
      <c r="AR28">
        <f t="shared" si="11"/>
        <v>13.135000000000003</v>
      </c>
      <c r="AS28">
        <f t="shared" si="11"/>
        <v>13.135000000000003</v>
      </c>
      <c r="AT28">
        <f t="shared" si="11"/>
        <v>13.135000000000003</v>
      </c>
      <c r="AU28">
        <f t="shared" si="11"/>
        <v>13.135000000000003</v>
      </c>
      <c r="AV28">
        <f t="shared" si="11"/>
        <v>13.135000000000003</v>
      </c>
      <c r="AW28">
        <f t="shared" si="11"/>
        <v>13.135000000000003</v>
      </c>
      <c r="AX28">
        <f t="shared" si="11"/>
        <v>13.135000000000003</v>
      </c>
      <c r="AY28">
        <f t="shared" si="11"/>
        <v>13.135000000000003</v>
      </c>
      <c r="AZ28">
        <f t="shared" si="11"/>
        <v>13.135000000000003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12.420000000000002</v>
      </c>
      <c r="D29">
        <f t="shared" si="7"/>
        <v>12.420000000000002</v>
      </c>
      <c r="E29">
        <f t="shared" si="7"/>
        <v>12.420000000000002</v>
      </c>
      <c r="F29">
        <f t="shared" si="7"/>
        <v>12.420000000000002</v>
      </c>
      <c r="G29">
        <f t="shared" si="7"/>
        <v>12.420000000000002</v>
      </c>
      <c r="H29">
        <f t="shared" si="7"/>
        <v>12.420000000000002</v>
      </c>
      <c r="I29">
        <f t="shared" si="7"/>
        <v>12.420000000000002</v>
      </c>
      <c r="J29">
        <f t="shared" si="7"/>
        <v>12.420000000000002</v>
      </c>
      <c r="K29">
        <f t="shared" si="7"/>
        <v>12.420000000000002</v>
      </c>
      <c r="L29">
        <f t="shared" si="7"/>
        <v>12.420000000000002</v>
      </c>
      <c r="M29">
        <f t="shared" si="7"/>
        <v>12.420000000000002</v>
      </c>
      <c r="N29">
        <f t="shared" si="8"/>
        <v>12.420000000000002</v>
      </c>
      <c r="O29">
        <f t="shared" si="8"/>
        <v>12.420000000000002</v>
      </c>
      <c r="P29">
        <f t="shared" si="8"/>
        <v>12.420000000000002</v>
      </c>
      <c r="Q29">
        <f t="shared" si="8"/>
        <v>12.420000000000002</v>
      </c>
      <c r="R29">
        <f t="shared" si="8"/>
        <v>12.420000000000002</v>
      </c>
      <c r="S29">
        <f t="shared" si="8"/>
        <v>12.420000000000002</v>
      </c>
      <c r="T29">
        <f t="shared" si="8"/>
        <v>12.420000000000002</v>
      </c>
      <c r="U29">
        <f t="shared" si="8"/>
        <v>12.420000000000002</v>
      </c>
      <c r="V29">
        <f t="shared" si="8"/>
        <v>12.420000000000002</v>
      </c>
      <c r="W29">
        <f t="shared" si="8"/>
        <v>12.420000000000002</v>
      </c>
      <c r="X29">
        <f t="shared" si="9"/>
        <v>12.420000000000002</v>
      </c>
      <c r="Y29">
        <f t="shared" si="9"/>
        <v>12.420000000000002</v>
      </c>
      <c r="Z29">
        <f t="shared" si="9"/>
        <v>12.420000000000002</v>
      </c>
      <c r="AA29">
        <f t="shared" si="9"/>
        <v>12.420000000000002</v>
      </c>
      <c r="AB29">
        <f t="shared" si="9"/>
        <v>12.420000000000002</v>
      </c>
      <c r="AC29">
        <f t="shared" si="9"/>
        <v>12.420000000000002</v>
      </c>
      <c r="AD29">
        <f t="shared" si="9"/>
        <v>12.420000000000002</v>
      </c>
      <c r="AE29">
        <f t="shared" si="9"/>
        <v>12.420000000000002</v>
      </c>
      <c r="AF29">
        <f t="shared" si="9"/>
        <v>12.420000000000002</v>
      </c>
      <c r="AG29">
        <f t="shared" si="9"/>
        <v>12.420000000000002</v>
      </c>
      <c r="AH29">
        <f t="shared" si="10"/>
        <v>12.420000000000002</v>
      </c>
      <c r="AI29">
        <f t="shared" si="10"/>
        <v>12.420000000000002</v>
      </c>
      <c r="AJ29">
        <f t="shared" si="10"/>
        <v>12.420000000000002</v>
      </c>
      <c r="AK29">
        <f t="shared" si="10"/>
        <v>12.420000000000002</v>
      </c>
      <c r="AL29">
        <f t="shared" si="10"/>
        <v>12.420000000000002</v>
      </c>
      <c r="AM29">
        <f t="shared" si="10"/>
        <v>12.420000000000002</v>
      </c>
      <c r="AN29">
        <f t="shared" si="10"/>
        <v>12.420000000000002</v>
      </c>
      <c r="AO29">
        <f t="shared" si="10"/>
        <v>12.420000000000002</v>
      </c>
      <c r="AP29">
        <f t="shared" si="10"/>
        <v>12.420000000000002</v>
      </c>
      <c r="AQ29">
        <f t="shared" si="10"/>
        <v>12.420000000000002</v>
      </c>
      <c r="AR29">
        <f t="shared" si="11"/>
        <v>12.420000000000002</v>
      </c>
      <c r="AS29">
        <f t="shared" si="11"/>
        <v>12.420000000000002</v>
      </c>
      <c r="AT29">
        <f t="shared" si="11"/>
        <v>12.420000000000002</v>
      </c>
      <c r="AU29">
        <f t="shared" si="11"/>
        <v>12.420000000000002</v>
      </c>
      <c r="AV29">
        <f t="shared" si="11"/>
        <v>12.420000000000002</v>
      </c>
      <c r="AW29">
        <f t="shared" si="11"/>
        <v>12.420000000000002</v>
      </c>
      <c r="AX29">
        <f t="shared" si="11"/>
        <v>12.420000000000002</v>
      </c>
      <c r="AY29">
        <f t="shared" si="11"/>
        <v>12.420000000000002</v>
      </c>
      <c r="AZ29">
        <f t="shared" si="11"/>
        <v>12.420000000000002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11.725000000000001</v>
      </c>
      <c r="D30">
        <f t="shared" si="7"/>
        <v>11.725000000000001</v>
      </c>
      <c r="E30">
        <f t="shared" si="7"/>
        <v>11.725000000000001</v>
      </c>
      <c r="F30">
        <f t="shared" si="7"/>
        <v>11.725000000000001</v>
      </c>
      <c r="G30">
        <f t="shared" si="7"/>
        <v>11.725000000000001</v>
      </c>
      <c r="H30">
        <f t="shared" si="7"/>
        <v>11.725000000000001</v>
      </c>
      <c r="I30">
        <f t="shared" si="7"/>
        <v>11.725000000000001</v>
      </c>
      <c r="J30">
        <f t="shared" si="7"/>
        <v>11.725000000000001</v>
      </c>
      <c r="K30">
        <f t="shared" si="7"/>
        <v>11.725000000000001</v>
      </c>
      <c r="L30">
        <f t="shared" si="7"/>
        <v>11.725000000000001</v>
      </c>
      <c r="M30">
        <f t="shared" si="7"/>
        <v>11.725000000000001</v>
      </c>
      <c r="N30">
        <f t="shared" si="8"/>
        <v>11.725000000000001</v>
      </c>
      <c r="O30">
        <f t="shared" si="8"/>
        <v>11.725000000000001</v>
      </c>
      <c r="P30">
        <f t="shared" si="8"/>
        <v>11.725000000000001</v>
      </c>
      <c r="Q30">
        <f t="shared" si="8"/>
        <v>11.725000000000001</v>
      </c>
      <c r="R30">
        <f t="shared" si="8"/>
        <v>11.725000000000001</v>
      </c>
      <c r="S30">
        <f t="shared" si="8"/>
        <v>11.725000000000001</v>
      </c>
      <c r="T30">
        <f t="shared" si="8"/>
        <v>11.725000000000001</v>
      </c>
      <c r="U30">
        <f t="shared" si="8"/>
        <v>11.725000000000001</v>
      </c>
      <c r="V30">
        <f t="shared" si="8"/>
        <v>11.725000000000001</v>
      </c>
      <c r="W30">
        <f t="shared" si="8"/>
        <v>11.725000000000001</v>
      </c>
      <c r="X30">
        <f t="shared" si="9"/>
        <v>11.725000000000001</v>
      </c>
      <c r="Y30">
        <f t="shared" si="9"/>
        <v>11.725000000000001</v>
      </c>
      <c r="Z30">
        <f t="shared" si="9"/>
        <v>11.725000000000001</v>
      </c>
      <c r="AA30">
        <f t="shared" si="9"/>
        <v>11.725000000000001</v>
      </c>
      <c r="AB30">
        <f t="shared" si="9"/>
        <v>11.725000000000001</v>
      </c>
      <c r="AC30">
        <f t="shared" si="9"/>
        <v>11.725000000000001</v>
      </c>
      <c r="AD30">
        <f t="shared" si="9"/>
        <v>11.725000000000001</v>
      </c>
      <c r="AE30">
        <f t="shared" si="9"/>
        <v>11.725000000000001</v>
      </c>
      <c r="AF30">
        <f t="shared" si="9"/>
        <v>11.725000000000001</v>
      </c>
      <c r="AG30">
        <f t="shared" si="9"/>
        <v>11.725000000000001</v>
      </c>
      <c r="AH30">
        <f t="shared" si="10"/>
        <v>11.725000000000001</v>
      </c>
      <c r="AI30">
        <f t="shared" si="10"/>
        <v>11.725000000000001</v>
      </c>
      <c r="AJ30">
        <f t="shared" si="10"/>
        <v>11.725000000000001</v>
      </c>
      <c r="AK30">
        <f t="shared" si="10"/>
        <v>11.725000000000001</v>
      </c>
      <c r="AL30">
        <f t="shared" si="10"/>
        <v>11.725000000000001</v>
      </c>
      <c r="AM30">
        <f t="shared" si="10"/>
        <v>11.725000000000001</v>
      </c>
      <c r="AN30">
        <f t="shared" si="10"/>
        <v>11.725000000000001</v>
      </c>
      <c r="AO30">
        <f t="shared" si="10"/>
        <v>11.725000000000001</v>
      </c>
      <c r="AP30">
        <f t="shared" si="10"/>
        <v>11.725000000000001</v>
      </c>
      <c r="AQ30">
        <f t="shared" si="10"/>
        <v>11.725000000000001</v>
      </c>
      <c r="AR30">
        <f t="shared" si="11"/>
        <v>11.725000000000001</v>
      </c>
      <c r="AS30">
        <f t="shared" si="11"/>
        <v>11.725000000000001</v>
      </c>
      <c r="AT30">
        <f t="shared" si="11"/>
        <v>11.725000000000001</v>
      </c>
      <c r="AU30">
        <f t="shared" si="11"/>
        <v>11.725000000000001</v>
      </c>
      <c r="AV30">
        <f t="shared" si="11"/>
        <v>11.725000000000001</v>
      </c>
      <c r="AW30">
        <f t="shared" si="11"/>
        <v>11.725000000000001</v>
      </c>
      <c r="AX30">
        <f t="shared" si="11"/>
        <v>11.725000000000001</v>
      </c>
      <c r="AY30">
        <f t="shared" si="11"/>
        <v>11.725000000000001</v>
      </c>
      <c r="AZ30">
        <f t="shared" si="11"/>
        <v>11.725000000000001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11.050000000000002</v>
      </c>
      <c r="D31">
        <f t="shared" si="7"/>
        <v>11.050000000000002</v>
      </c>
      <c r="E31">
        <f t="shared" si="7"/>
        <v>11.050000000000002</v>
      </c>
      <c r="F31">
        <f t="shared" si="7"/>
        <v>11.050000000000002</v>
      </c>
      <c r="G31">
        <f t="shared" si="7"/>
        <v>11.050000000000002</v>
      </c>
      <c r="H31">
        <f t="shared" si="7"/>
        <v>11.050000000000002</v>
      </c>
      <c r="I31">
        <f t="shared" si="7"/>
        <v>11.050000000000002</v>
      </c>
      <c r="J31">
        <f t="shared" si="7"/>
        <v>11.050000000000002</v>
      </c>
      <c r="K31">
        <f t="shared" si="7"/>
        <v>11.050000000000002</v>
      </c>
      <c r="L31">
        <f t="shared" si="7"/>
        <v>11.050000000000002</v>
      </c>
      <c r="M31">
        <f t="shared" si="7"/>
        <v>11.050000000000002</v>
      </c>
      <c r="N31">
        <f t="shared" si="8"/>
        <v>11.050000000000002</v>
      </c>
      <c r="O31">
        <f t="shared" si="8"/>
        <v>11.050000000000002</v>
      </c>
      <c r="P31">
        <f t="shared" si="8"/>
        <v>11.050000000000002</v>
      </c>
      <c r="Q31">
        <f t="shared" si="8"/>
        <v>11.050000000000002</v>
      </c>
      <c r="R31">
        <f t="shared" si="8"/>
        <v>11.050000000000002</v>
      </c>
      <c r="S31">
        <f t="shared" si="8"/>
        <v>11.050000000000002</v>
      </c>
      <c r="T31">
        <f t="shared" si="8"/>
        <v>11.050000000000002</v>
      </c>
      <c r="U31">
        <f t="shared" si="8"/>
        <v>11.050000000000002</v>
      </c>
      <c r="V31">
        <f t="shared" si="8"/>
        <v>11.050000000000002</v>
      </c>
      <c r="W31">
        <f t="shared" si="8"/>
        <v>11.050000000000002</v>
      </c>
      <c r="X31">
        <f t="shared" si="9"/>
        <v>11.050000000000002</v>
      </c>
      <c r="Y31">
        <f t="shared" si="9"/>
        <v>11.050000000000002</v>
      </c>
      <c r="Z31">
        <f t="shared" si="9"/>
        <v>11.050000000000002</v>
      </c>
      <c r="AA31">
        <f t="shared" si="9"/>
        <v>11.050000000000002</v>
      </c>
      <c r="AB31">
        <f t="shared" si="9"/>
        <v>11.050000000000002</v>
      </c>
      <c r="AC31">
        <f t="shared" si="9"/>
        <v>11.050000000000002</v>
      </c>
      <c r="AD31">
        <f t="shared" si="9"/>
        <v>11.050000000000002</v>
      </c>
      <c r="AE31">
        <f t="shared" si="9"/>
        <v>11.050000000000002</v>
      </c>
      <c r="AF31">
        <f t="shared" si="9"/>
        <v>11.050000000000002</v>
      </c>
      <c r="AG31">
        <f t="shared" si="9"/>
        <v>11.050000000000002</v>
      </c>
      <c r="AH31">
        <f t="shared" si="10"/>
        <v>11.050000000000002</v>
      </c>
      <c r="AI31">
        <f t="shared" si="10"/>
        <v>11.050000000000002</v>
      </c>
      <c r="AJ31">
        <f t="shared" si="10"/>
        <v>11.050000000000002</v>
      </c>
      <c r="AK31">
        <f t="shared" si="10"/>
        <v>11.050000000000002</v>
      </c>
      <c r="AL31">
        <f t="shared" si="10"/>
        <v>11.050000000000002</v>
      </c>
      <c r="AM31">
        <f t="shared" si="10"/>
        <v>11.050000000000002</v>
      </c>
      <c r="AN31">
        <f t="shared" si="10"/>
        <v>11.050000000000002</v>
      </c>
      <c r="AO31">
        <f t="shared" si="10"/>
        <v>11.050000000000002</v>
      </c>
      <c r="AP31">
        <f t="shared" si="10"/>
        <v>11.050000000000002</v>
      </c>
      <c r="AQ31">
        <f t="shared" si="10"/>
        <v>11.050000000000002</v>
      </c>
      <c r="AR31">
        <f t="shared" si="11"/>
        <v>11.050000000000002</v>
      </c>
      <c r="AS31">
        <f t="shared" si="11"/>
        <v>11.050000000000002</v>
      </c>
      <c r="AT31">
        <f t="shared" si="11"/>
        <v>11.050000000000002</v>
      </c>
      <c r="AU31">
        <f t="shared" si="11"/>
        <v>11.050000000000002</v>
      </c>
      <c r="AV31">
        <f t="shared" si="11"/>
        <v>11.050000000000002</v>
      </c>
      <c r="AW31">
        <f t="shared" si="11"/>
        <v>11.050000000000002</v>
      </c>
      <c r="AX31">
        <f t="shared" si="11"/>
        <v>11.050000000000002</v>
      </c>
      <c r="AY31">
        <f t="shared" si="11"/>
        <v>11.050000000000002</v>
      </c>
      <c r="AZ31">
        <f t="shared" si="11"/>
        <v>11.050000000000002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10.395000000000003</v>
      </c>
      <c r="D32">
        <f t="shared" si="7"/>
        <v>10.395000000000003</v>
      </c>
      <c r="E32">
        <f t="shared" si="7"/>
        <v>10.395000000000003</v>
      </c>
      <c r="F32">
        <f t="shared" si="7"/>
        <v>10.395000000000003</v>
      </c>
      <c r="G32">
        <f t="shared" si="7"/>
        <v>10.395000000000003</v>
      </c>
      <c r="H32">
        <f t="shared" si="7"/>
        <v>10.395000000000003</v>
      </c>
      <c r="I32">
        <f t="shared" si="7"/>
        <v>10.395000000000003</v>
      </c>
      <c r="J32">
        <f t="shared" si="7"/>
        <v>10.395000000000003</v>
      </c>
      <c r="K32">
        <f t="shared" si="7"/>
        <v>10.395000000000003</v>
      </c>
      <c r="L32">
        <f t="shared" si="7"/>
        <v>10.395000000000003</v>
      </c>
      <c r="M32">
        <f t="shared" si="7"/>
        <v>10.395000000000003</v>
      </c>
      <c r="N32">
        <f t="shared" si="8"/>
        <v>10.395000000000003</v>
      </c>
      <c r="O32">
        <f t="shared" si="8"/>
        <v>10.395000000000003</v>
      </c>
      <c r="P32">
        <f t="shared" si="8"/>
        <v>10.395000000000003</v>
      </c>
      <c r="Q32">
        <f t="shared" si="8"/>
        <v>10.395000000000003</v>
      </c>
      <c r="R32">
        <f t="shared" si="8"/>
        <v>10.395000000000003</v>
      </c>
      <c r="S32">
        <f t="shared" si="8"/>
        <v>10.395000000000003</v>
      </c>
      <c r="T32">
        <f t="shared" si="8"/>
        <v>10.395000000000003</v>
      </c>
      <c r="U32">
        <f t="shared" si="8"/>
        <v>10.395000000000003</v>
      </c>
      <c r="V32">
        <f t="shared" si="8"/>
        <v>10.395000000000003</v>
      </c>
      <c r="W32">
        <f t="shared" si="8"/>
        <v>10.395000000000003</v>
      </c>
      <c r="X32">
        <f t="shared" si="9"/>
        <v>10.395000000000003</v>
      </c>
      <c r="Y32">
        <f t="shared" si="9"/>
        <v>10.395000000000003</v>
      </c>
      <c r="Z32">
        <f t="shared" si="9"/>
        <v>10.395000000000003</v>
      </c>
      <c r="AA32">
        <f t="shared" si="9"/>
        <v>10.395000000000003</v>
      </c>
      <c r="AB32">
        <f t="shared" si="9"/>
        <v>10.395000000000003</v>
      </c>
      <c r="AC32">
        <f t="shared" si="9"/>
        <v>10.395000000000003</v>
      </c>
      <c r="AD32">
        <f t="shared" si="9"/>
        <v>10.395000000000003</v>
      </c>
      <c r="AE32">
        <f t="shared" si="9"/>
        <v>10.395000000000003</v>
      </c>
      <c r="AF32">
        <f t="shared" si="9"/>
        <v>10.395000000000003</v>
      </c>
      <c r="AG32">
        <f t="shared" si="9"/>
        <v>10.395000000000003</v>
      </c>
      <c r="AH32">
        <f t="shared" si="10"/>
        <v>10.395000000000003</v>
      </c>
      <c r="AI32">
        <f t="shared" si="10"/>
        <v>10.395000000000003</v>
      </c>
      <c r="AJ32">
        <f t="shared" si="10"/>
        <v>10.395000000000003</v>
      </c>
      <c r="AK32">
        <f t="shared" si="10"/>
        <v>10.395000000000003</v>
      </c>
      <c r="AL32">
        <f t="shared" si="10"/>
        <v>10.395000000000003</v>
      </c>
      <c r="AM32">
        <f t="shared" si="10"/>
        <v>10.395000000000003</v>
      </c>
      <c r="AN32">
        <f t="shared" si="10"/>
        <v>10.395000000000003</v>
      </c>
      <c r="AO32">
        <f t="shared" si="10"/>
        <v>10.395000000000003</v>
      </c>
      <c r="AP32">
        <f t="shared" si="10"/>
        <v>10.395000000000003</v>
      </c>
      <c r="AQ32">
        <f t="shared" si="10"/>
        <v>10.395000000000003</v>
      </c>
      <c r="AR32">
        <f t="shared" si="11"/>
        <v>10.395000000000003</v>
      </c>
      <c r="AS32">
        <f t="shared" si="11"/>
        <v>10.395000000000003</v>
      </c>
      <c r="AT32">
        <f t="shared" si="11"/>
        <v>10.395000000000003</v>
      </c>
      <c r="AU32">
        <f t="shared" si="11"/>
        <v>10.395000000000003</v>
      </c>
      <c r="AV32">
        <f t="shared" si="11"/>
        <v>10.395000000000003</v>
      </c>
      <c r="AW32">
        <f t="shared" si="11"/>
        <v>10.395000000000003</v>
      </c>
      <c r="AX32">
        <f t="shared" si="11"/>
        <v>10.395000000000003</v>
      </c>
      <c r="AY32">
        <f t="shared" si="11"/>
        <v>10.395000000000003</v>
      </c>
      <c r="AZ32">
        <f t="shared" si="11"/>
        <v>10.395000000000003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9.7600000000000016</v>
      </c>
      <c r="D33">
        <f t="shared" si="7"/>
        <v>9.7600000000000016</v>
      </c>
      <c r="E33">
        <f t="shared" si="7"/>
        <v>9.7600000000000016</v>
      </c>
      <c r="F33">
        <f t="shared" si="7"/>
        <v>9.7600000000000016</v>
      </c>
      <c r="G33">
        <f t="shared" si="7"/>
        <v>9.7600000000000016</v>
      </c>
      <c r="H33">
        <f t="shared" si="7"/>
        <v>9.7600000000000016</v>
      </c>
      <c r="I33">
        <f t="shared" si="7"/>
        <v>9.7600000000000016</v>
      </c>
      <c r="J33">
        <f t="shared" si="7"/>
        <v>9.7600000000000016</v>
      </c>
      <c r="K33">
        <f t="shared" si="7"/>
        <v>9.7600000000000016</v>
      </c>
      <c r="L33">
        <f t="shared" si="7"/>
        <v>9.7600000000000016</v>
      </c>
      <c r="M33">
        <f t="shared" si="7"/>
        <v>9.7600000000000016</v>
      </c>
      <c r="N33">
        <f t="shared" si="8"/>
        <v>9.7600000000000016</v>
      </c>
      <c r="O33">
        <f t="shared" si="8"/>
        <v>9.7600000000000016</v>
      </c>
      <c r="P33">
        <f t="shared" si="8"/>
        <v>9.7600000000000016</v>
      </c>
      <c r="Q33">
        <f t="shared" si="8"/>
        <v>9.7600000000000016</v>
      </c>
      <c r="R33">
        <f t="shared" si="8"/>
        <v>9.7600000000000016</v>
      </c>
      <c r="S33">
        <f t="shared" si="8"/>
        <v>9.7600000000000016</v>
      </c>
      <c r="T33">
        <f t="shared" si="8"/>
        <v>9.7600000000000016</v>
      </c>
      <c r="U33">
        <f t="shared" si="8"/>
        <v>9.7600000000000016</v>
      </c>
      <c r="V33">
        <f t="shared" si="8"/>
        <v>9.7600000000000016</v>
      </c>
      <c r="W33">
        <f t="shared" si="8"/>
        <v>9.7600000000000016</v>
      </c>
      <c r="X33">
        <f t="shared" si="9"/>
        <v>9.7600000000000016</v>
      </c>
      <c r="Y33">
        <f t="shared" si="9"/>
        <v>9.7600000000000016</v>
      </c>
      <c r="Z33">
        <f t="shared" si="9"/>
        <v>9.7600000000000016</v>
      </c>
      <c r="AA33">
        <f t="shared" si="9"/>
        <v>9.7600000000000016</v>
      </c>
      <c r="AB33">
        <f t="shared" si="9"/>
        <v>9.7600000000000016</v>
      </c>
      <c r="AC33">
        <f t="shared" si="9"/>
        <v>9.7600000000000016</v>
      </c>
      <c r="AD33">
        <f t="shared" si="9"/>
        <v>9.7600000000000016</v>
      </c>
      <c r="AE33">
        <f t="shared" si="9"/>
        <v>9.7600000000000016</v>
      </c>
      <c r="AF33">
        <f t="shared" si="9"/>
        <v>9.7600000000000016</v>
      </c>
      <c r="AG33">
        <f t="shared" si="9"/>
        <v>9.7600000000000016</v>
      </c>
      <c r="AH33">
        <f t="shared" si="10"/>
        <v>9.7600000000000016</v>
      </c>
      <c r="AI33">
        <f t="shared" si="10"/>
        <v>9.7600000000000016</v>
      </c>
      <c r="AJ33">
        <f t="shared" si="10"/>
        <v>9.7600000000000016</v>
      </c>
      <c r="AK33">
        <f t="shared" si="10"/>
        <v>9.7600000000000016</v>
      </c>
      <c r="AL33">
        <f t="shared" si="10"/>
        <v>9.7600000000000016</v>
      </c>
      <c r="AM33">
        <f t="shared" si="10"/>
        <v>9.7600000000000016</v>
      </c>
      <c r="AN33">
        <f t="shared" si="10"/>
        <v>9.7600000000000016</v>
      </c>
      <c r="AO33">
        <f t="shared" si="10"/>
        <v>9.7600000000000016</v>
      </c>
      <c r="AP33">
        <f t="shared" si="10"/>
        <v>9.7600000000000016</v>
      </c>
      <c r="AQ33">
        <f t="shared" si="10"/>
        <v>9.7600000000000016</v>
      </c>
      <c r="AR33">
        <f t="shared" si="11"/>
        <v>9.7600000000000016</v>
      </c>
      <c r="AS33">
        <f t="shared" si="11"/>
        <v>9.7600000000000016</v>
      </c>
      <c r="AT33">
        <f t="shared" si="11"/>
        <v>9.7600000000000016</v>
      </c>
      <c r="AU33">
        <f t="shared" si="11"/>
        <v>9.7600000000000016</v>
      </c>
      <c r="AV33">
        <f t="shared" si="11"/>
        <v>9.7600000000000016</v>
      </c>
      <c r="AW33">
        <f t="shared" si="11"/>
        <v>9.7600000000000016</v>
      </c>
      <c r="AX33">
        <f t="shared" si="11"/>
        <v>9.7600000000000016</v>
      </c>
      <c r="AY33">
        <f t="shared" si="11"/>
        <v>9.7600000000000016</v>
      </c>
      <c r="AZ33">
        <f t="shared" si="11"/>
        <v>9.7600000000000016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9.1450000000000014</v>
      </c>
      <c r="D34">
        <f t="shared" si="7"/>
        <v>9.1450000000000014</v>
      </c>
      <c r="E34">
        <f t="shared" si="7"/>
        <v>9.1450000000000014</v>
      </c>
      <c r="F34">
        <f t="shared" si="7"/>
        <v>9.1450000000000014</v>
      </c>
      <c r="G34">
        <f t="shared" si="7"/>
        <v>9.1450000000000014</v>
      </c>
      <c r="H34">
        <f t="shared" si="7"/>
        <v>9.1450000000000014</v>
      </c>
      <c r="I34">
        <f t="shared" si="7"/>
        <v>9.1450000000000014</v>
      </c>
      <c r="J34">
        <f t="shared" si="7"/>
        <v>9.1450000000000014</v>
      </c>
      <c r="K34">
        <f t="shared" si="7"/>
        <v>9.1450000000000014</v>
      </c>
      <c r="L34">
        <f t="shared" si="7"/>
        <v>9.1450000000000014</v>
      </c>
      <c r="M34">
        <f t="shared" si="7"/>
        <v>9.1450000000000014</v>
      </c>
      <c r="N34">
        <f t="shared" si="8"/>
        <v>9.1450000000000014</v>
      </c>
      <c r="O34">
        <f t="shared" si="8"/>
        <v>9.1450000000000014</v>
      </c>
      <c r="P34">
        <f t="shared" si="8"/>
        <v>9.1450000000000014</v>
      </c>
      <c r="Q34">
        <f t="shared" si="8"/>
        <v>9.1450000000000014</v>
      </c>
      <c r="R34">
        <f t="shared" si="8"/>
        <v>9.1450000000000014</v>
      </c>
      <c r="S34">
        <f t="shared" si="8"/>
        <v>9.1450000000000014</v>
      </c>
      <c r="T34">
        <f t="shared" si="8"/>
        <v>9.1450000000000014</v>
      </c>
      <c r="U34">
        <f t="shared" si="8"/>
        <v>9.1450000000000014</v>
      </c>
      <c r="V34">
        <f t="shared" si="8"/>
        <v>9.1450000000000014</v>
      </c>
      <c r="W34">
        <f t="shared" si="8"/>
        <v>9.1450000000000014</v>
      </c>
      <c r="X34">
        <f t="shared" si="9"/>
        <v>9.1450000000000014</v>
      </c>
      <c r="Y34">
        <f t="shared" si="9"/>
        <v>9.1450000000000014</v>
      </c>
      <c r="Z34">
        <f t="shared" si="9"/>
        <v>9.1450000000000014</v>
      </c>
      <c r="AA34">
        <f t="shared" si="9"/>
        <v>9.1450000000000014</v>
      </c>
      <c r="AB34">
        <f t="shared" si="9"/>
        <v>9.1450000000000014</v>
      </c>
      <c r="AC34">
        <f t="shared" si="9"/>
        <v>9.1450000000000014</v>
      </c>
      <c r="AD34">
        <f t="shared" si="9"/>
        <v>9.1450000000000014</v>
      </c>
      <c r="AE34">
        <f t="shared" si="9"/>
        <v>9.1450000000000014</v>
      </c>
      <c r="AF34">
        <f t="shared" si="9"/>
        <v>9.1450000000000014</v>
      </c>
      <c r="AG34">
        <f t="shared" si="9"/>
        <v>9.1450000000000014</v>
      </c>
      <c r="AH34">
        <f t="shared" si="10"/>
        <v>9.1450000000000014</v>
      </c>
      <c r="AI34">
        <f t="shared" si="10"/>
        <v>9.1450000000000014</v>
      </c>
      <c r="AJ34">
        <f t="shared" si="10"/>
        <v>9.1450000000000014</v>
      </c>
      <c r="AK34">
        <f t="shared" si="10"/>
        <v>9.1450000000000014</v>
      </c>
      <c r="AL34">
        <f t="shared" si="10"/>
        <v>9.1450000000000014</v>
      </c>
      <c r="AM34">
        <f t="shared" si="10"/>
        <v>9.1450000000000014</v>
      </c>
      <c r="AN34">
        <f t="shared" si="10"/>
        <v>9.1450000000000014</v>
      </c>
      <c r="AO34">
        <f t="shared" si="10"/>
        <v>9.1450000000000014</v>
      </c>
      <c r="AP34">
        <f t="shared" si="10"/>
        <v>9.1450000000000014</v>
      </c>
      <c r="AQ34">
        <f t="shared" si="10"/>
        <v>9.1450000000000014</v>
      </c>
      <c r="AR34">
        <f t="shared" si="11"/>
        <v>9.1450000000000014</v>
      </c>
      <c r="AS34">
        <f t="shared" si="11"/>
        <v>9.1450000000000014</v>
      </c>
      <c r="AT34">
        <f t="shared" si="11"/>
        <v>9.1450000000000014</v>
      </c>
      <c r="AU34">
        <f t="shared" si="11"/>
        <v>9.1450000000000014</v>
      </c>
      <c r="AV34">
        <f t="shared" si="11"/>
        <v>9.1450000000000014</v>
      </c>
      <c r="AW34">
        <f t="shared" si="11"/>
        <v>9.1450000000000014</v>
      </c>
      <c r="AX34">
        <f t="shared" si="11"/>
        <v>9.1450000000000014</v>
      </c>
      <c r="AY34">
        <f t="shared" si="11"/>
        <v>9.1450000000000014</v>
      </c>
      <c r="AZ34">
        <f t="shared" si="11"/>
        <v>9.1450000000000014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8.5500000000000025</v>
      </c>
      <c r="D35">
        <f t="shared" si="7"/>
        <v>8.5500000000000025</v>
      </c>
      <c r="E35">
        <f t="shared" si="7"/>
        <v>8.5500000000000025</v>
      </c>
      <c r="F35">
        <f t="shared" si="7"/>
        <v>8.5500000000000025</v>
      </c>
      <c r="G35">
        <f t="shared" si="7"/>
        <v>8.5500000000000025</v>
      </c>
      <c r="H35">
        <f t="shared" si="7"/>
        <v>8.5500000000000025</v>
      </c>
      <c r="I35">
        <f t="shared" si="7"/>
        <v>8.5500000000000025</v>
      </c>
      <c r="J35">
        <f t="shared" si="7"/>
        <v>8.5500000000000025</v>
      </c>
      <c r="K35">
        <f t="shared" si="7"/>
        <v>8.5500000000000025</v>
      </c>
      <c r="L35">
        <f t="shared" si="7"/>
        <v>8.5500000000000025</v>
      </c>
      <c r="M35">
        <f t="shared" si="7"/>
        <v>8.5500000000000025</v>
      </c>
      <c r="N35">
        <f t="shared" si="8"/>
        <v>8.5500000000000025</v>
      </c>
      <c r="O35">
        <f t="shared" si="8"/>
        <v>8.5500000000000025</v>
      </c>
      <c r="P35">
        <f t="shared" si="8"/>
        <v>8.5500000000000025</v>
      </c>
      <c r="Q35">
        <f t="shared" si="8"/>
        <v>8.5500000000000025</v>
      </c>
      <c r="R35">
        <f t="shared" si="8"/>
        <v>8.5500000000000025</v>
      </c>
      <c r="S35">
        <f t="shared" si="8"/>
        <v>8.5500000000000025</v>
      </c>
      <c r="T35">
        <f t="shared" si="8"/>
        <v>8.5500000000000025</v>
      </c>
      <c r="U35">
        <f t="shared" si="8"/>
        <v>8.5500000000000025</v>
      </c>
      <c r="V35">
        <f t="shared" si="8"/>
        <v>8.5500000000000025</v>
      </c>
      <c r="W35">
        <f t="shared" si="8"/>
        <v>8.5500000000000025</v>
      </c>
      <c r="X35">
        <f t="shared" si="9"/>
        <v>8.5500000000000025</v>
      </c>
      <c r="Y35">
        <f t="shared" si="9"/>
        <v>8.5500000000000025</v>
      </c>
      <c r="Z35">
        <f t="shared" si="9"/>
        <v>8.5500000000000025</v>
      </c>
      <c r="AA35">
        <f t="shared" si="9"/>
        <v>8.5500000000000025</v>
      </c>
      <c r="AB35">
        <f t="shared" si="9"/>
        <v>8.5500000000000025</v>
      </c>
      <c r="AC35">
        <f t="shared" si="9"/>
        <v>8.5500000000000025</v>
      </c>
      <c r="AD35">
        <f t="shared" si="9"/>
        <v>8.5500000000000025</v>
      </c>
      <c r="AE35">
        <f t="shared" si="9"/>
        <v>8.5500000000000025</v>
      </c>
      <c r="AF35">
        <f t="shared" si="9"/>
        <v>8.5500000000000025</v>
      </c>
      <c r="AG35">
        <f t="shared" si="9"/>
        <v>8.5500000000000025</v>
      </c>
      <c r="AH35">
        <f t="shared" si="10"/>
        <v>8.5500000000000025</v>
      </c>
      <c r="AI35">
        <f t="shared" si="10"/>
        <v>8.5500000000000025</v>
      </c>
      <c r="AJ35">
        <f t="shared" si="10"/>
        <v>8.5500000000000025</v>
      </c>
      <c r="AK35">
        <f t="shared" si="10"/>
        <v>8.5500000000000025</v>
      </c>
      <c r="AL35">
        <f t="shared" si="10"/>
        <v>8.5500000000000025</v>
      </c>
      <c r="AM35">
        <f t="shared" si="10"/>
        <v>8.5500000000000025</v>
      </c>
      <c r="AN35">
        <f t="shared" si="10"/>
        <v>8.5500000000000025</v>
      </c>
      <c r="AO35">
        <f t="shared" si="10"/>
        <v>8.5500000000000025</v>
      </c>
      <c r="AP35">
        <f t="shared" si="10"/>
        <v>8.5500000000000025</v>
      </c>
      <c r="AQ35">
        <f t="shared" si="10"/>
        <v>8.5500000000000025</v>
      </c>
      <c r="AR35">
        <f t="shared" si="11"/>
        <v>8.5500000000000025</v>
      </c>
      <c r="AS35">
        <f t="shared" si="11"/>
        <v>8.5500000000000025</v>
      </c>
      <c r="AT35">
        <f t="shared" si="11"/>
        <v>8.5500000000000025</v>
      </c>
      <c r="AU35">
        <f t="shared" si="11"/>
        <v>8.5500000000000025</v>
      </c>
      <c r="AV35">
        <f t="shared" si="11"/>
        <v>8.5500000000000025</v>
      </c>
      <c r="AW35">
        <f t="shared" si="11"/>
        <v>8.5500000000000025</v>
      </c>
      <c r="AX35">
        <f t="shared" si="11"/>
        <v>8.5500000000000025</v>
      </c>
      <c r="AY35">
        <f t="shared" si="11"/>
        <v>8.5500000000000025</v>
      </c>
      <c r="AZ35">
        <f t="shared" si="11"/>
        <v>8.5500000000000025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M45" si="12">0.25*(sigma^2*$A36^2-(rate-d)*$A36)</f>
        <v>7.9750000000000023</v>
      </c>
      <c r="D36">
        <f t="shared" si="12"/>
        <v>7.9750000000000023</v>
      </c>
      <c r="E36">
        <f t="shared" si="12"/>
        <v>7.9750000000000023</v>
      </c>
      <c r="F36">
        <f t="shared" si="12"/>
        <v>7.9750000000000023</v>
      </c>
      <c r="G36">
        <f t="shared" si="12"/>
        <v>7.9750000000000023</v>
      </c>
      <c r="H36">
        <f t="shared" si="12"/>
        <v>7.9750000000000023</v>
      </c>
      <c r="I36">
        <f t="shared" si="12"/>
        <v>7.9750000000000023</v>
      </c>
      <c r="J36">
        <f t="shared" si="12"/>
        <v>7.9750000000000023</v>
      </c>
      <c r="K36">
        <f t="shared" si="12"/>
        <v>7.9750000000000023</v>
      </c>
      <c r="L36">
        <f t="shared" si="12"/>
        <v>7.9750000000000023</v>
      </c>
      <c r="M36">
        <f t="shared" si="12"/>
        <v>7.9750000000000023</v>
      </c>
      <c r="N36">
        <f t="shared" ref="N36:W45" si="13">0.25*(sigma^2*$A36^2-(rate-d)*$A36)</f>
        <v>7.9750000000000023</v>
      </c>
      <c r="O36">
        <f t="shared" si="13"/>
        <v>7.9750000000000023</v>
      </c>
      <c r="P36">
        <f t="shared" si="13"/>
        <v>7.9750000000000023</v>
      </c>
      <c r="Q36">
        <f t="shared" si="13"/>
        <v>7.9750000000000023</v>
      </c>
      <c r="R36">
        <f t="shared" si="13"/>
        <v>7.9750000000000023</v>
      </c>
      <c r="S36">
        <f t="shared" si="13"/>
        <v>7.9750000000000023</v>
      </c>
      <c r="T36">
        <f t="shared" si="13"/>
        <v>7.9750000000000023</v>
      </c>
      <c r="U36">
        <f t="shared" si="13"/>
        <v>7.9750000000000023</v>
      </c>
      <c r="V36">
        <f t="shared" si="13"/>
        <v>7.9750000000000023</v>
      </c>
      <c r="W36">
        <f t="shared" si="13"/>
        <v>7.9750000000000023</v>
      </c>
      <c r="X36">
        <f t="shared" ref="X36:AG45" si="14">0.25*(sigma^2*$A36^2-(rate-d)*$A36)</f>
        <v>7.9750000000000023</v>
      </c>
      <c r="Y36">
        <f t="shared" si="14"/>
        <v>7.9750000000000023</v>
      </c>
      <c r="Z36">
        <f t="shared" si="14"/>
        <v>7.9750000000000023</v>
      </c>
      <c r="AA36">
        <f t="shared" si="14"/>
        <v>7.9750000000000023</v>
      </c>
      <c r="AB36">
        <f t="shared" si="14"/>
        <v>7.9750000000000023</v>
      </c>
      <c r="AC36">
        <f t="shared" si="14"/>
        <v>7.9750000000000023</v>
      </c>
      <c r="AD36">
        <f t="shared" si="14"/>
        <v>7.9750000000000023</v>
      </c>
      <c r="AE36">
        <f t="shared" si="14"/>
        <v>7.9750000000000023</v>
      </c>
      <c r="AF36">
        <f t="shared" si="14"/>
        <v>7.9750000000000023</v>
      </c>
      <c r="AG36">
        <f t="shared" si="14"/>
        <v>7.9750000000000023</v>
      </c>
      <c r="AH36">
        <f t="shared" ref="AH36:AQ45" si="15">0.25*(sigma^2*$A36^2-(rate-d)*$A36)</f>
        <v>7.9750000000000023</v>
      </c>
      <c r="AI36">
        <f t="shared" si="15"/>
        <v>7.9750000000000023</v>
      </c>
      <c r="AJ36">
        <f t="shared" si="15"/>
        <v>7.9750000000000023</v>
      </c>
      <c r="AK36">
        <f t="shared" si="15"/>
        <v>7.9750000000000023</v>
      </c>
      <c r="AL36">
        <f t="shared" si="15"/>
        <v>7.9750000000000023</v>
      </c>
      <c r="AM36">
        <f t="shared" si="15"/>
        <v>7.9750000000000023</v>
      </c>
      <c r="AN36">
        <f t="shared" si="15"/>
        <v>7.9750000000000023</v>
      </c>
      <c r="AO36">
        <f t="shared" si="15"/>
        <v>7.9750000000000023</v>
      </c>
      <c r="AP36">
        <f t="shared" si="15"/>
        <v>7.9750000000000023</v>
      </c>
      <c r="AQ36">
        <f t="shared" si="15"/>
        <v>7.9750000000000023</v>
      </c>
      <c r="AR36">
        <f t="shared" ref="AR36:AZ45" si="16">0.25*(sigma^2*$A36^2-(rate-d)*$A36)</f>
        <v>7.9750000000000023</v>
      </c>
      <c r="AS36">
        <f t="shared" si="16"/>
        <v>7.9750000000000023</v>
      </c>
      <c r="AT36">
        <f t="shared" si="16"/>
        <v>7.9750000000000023</v>
      </c>
      <c r="AU36">
        <f t="shared" si="16"/>
        <v>7.9750000000000023</v>
      </c>
      <c r="AV36">
        <f t="shared" si="16"/>
        <v>7.9750000000000023</v>
      </c>
      <c r="AW36">
        <f t="shared" si="16"/>
        <v>7.9750000000000023</v>
      </c>
      <c r="AX36">
        <f t="shared" si="16"/>
        <v>7.9750000000000023</v>
      </c>
      <c r="AY36">
        <f t="shared" si="16"/>
        <v>7.9750000000000023</v>
      </c>
      <c r="AZ36">
        <f t="shared" si="16"/>
        <v>7.9750000000000023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7.4200000000000017</v>
      </c>
      <c r="D37">
        <f t="shared" si="12"/>
        <v>7.4200000000000017</v>
      </c>
      <c r="E37">
        <f t="shared" si="12"/>
        <v>7.4200000000000017</v>
      </c>
      <c r="F37">
        <f t="shared" si="12"/>
        <v>7.4200000000000017</v>
      </c>
      <c r="G37">
        <f t="shared" si="12"/>
        <v>7.4200000000000017</v>
      </c>
      <c r="H37">
        <f t="shared" si="12"/>
        <v>7.4200000000000017</v>
      </c>
      <c r="I37">
        <f t="shared" si="12"/>
        <v>7.4200000000000017</v>
      </c>
      <c r="J37">
        <f t="shared" si="12"/>
        <v>7.4200000000000017</v>
      </c>
      <c r="K37">
        <f t="shared" si="12"/>
        <v>7.4200000000000017</v>
      </c>
      <c r="L37">
        <f t="shared" si="12"/>
        <v>7.4200000000000017</v>
      </c>
      <c r="M37">
        <f t="shared" si="12"/>
        <v>7.4200000000000017</v>
      </c>
      <c r="N37">
        <f t="shared" si="13"/>
        <v>7.4200000000000017</v>
      </c>
      <c r="O37">
        <f t="shared" si="13"/>
        <v>7.4200000000000017</v>
      </c>
      <c r="P37">
        <f t="shared" si="13"/>
        <v>7.4200000000000017</v>
      </c>
      <c r="Q37">
        <f t="shared" si="13"/>
        <v>7.4200000000000017</v>
      </c>
      <c r="R37">
        <f t="shared" si="13"/>
        <v>7.4200000000000017</v>
      </c>
      <c r="S37">
        <f t="shared" si="13"/>
        <v>7.4200000000000017</v>
      </c>
      <c r="T37">
        <f t="shared" si="13"/>
        <v>7.4200000000000017</v>
      </c>
      <c r="U37">
        <f t="shared" si="13"/>
        <v>7.4200000000000017</v>
      </c>
      <c r="V37">
        <f t="shared" si="13"/>
        <v>7.4200000000000017</v>
      </c>
      <c r="W37">
        <f t="shared" si="13"/>
        <v>7.4200000000000017</v>
      </c>
      <c r="X37">
        <f t="shared" si="14"/>
        <v>7.4200000000000017</v>
      </c>
      <c r="Y37">
        <f t="shared" si="14"/>
        <v>7.4200000000000017</v>
      </c>
      <c r="Z37">
        <f t="shared" si="14"/>
        <v>7.4200000000000017</v>
      </c>
      <c r="AA37">
        <f t="shared" si="14"/>
        <v>7.4200000000000017</v>
      </c>
      <c r="AB37">
        <f t="shared" si="14"/>
        <v>7.4200000000000017</v>
      </c>
      <c r="AC37">
        <f t="shared" si="14"/>
        <v>7.4200000000000017</v>
      </c>
      <c r="AD37">
        <f t="shared" si="14"/>
        <v>7.4200000000000017</v>
      </c>
      <c r="AE37">
        <f t="shared" si="14"/>
        <v>7.4200000000000017</v>
      </c>
      <c r="AF37">
        <f t="shared" si="14"/>
        <v>7.4200000000000017</v>
      </c>
      <c r="AG37">
        <f t="shared" si="14"/>
        <v>7.4200000000000017</v>
      </c>
      <c r="AH37">
        <f t="shared" si="15"/>
        <v>7.4200000000000017</v>
      </c>
      <c r="AI37">
        <f t="shared" si="15"/>
        <v>7.4200000000000017</v>
      </c>
      <c r="AJ37">
        <f t="shared" si="15"/>
        <v>7.4200000000000017</v>
      </c>
      <c r="AK37">
        <f t="shared" si="15"/>
        <v>7.4200000000000017</v>
      </c>
      <c r="AL37">
        <f t="shared" si="15"/>
        <v>7.4200000000000017</v>
      </c>
      <c r="AM37">
        <f t="shared" si="15"/>
        <v>7.4200000000000017</v>
      </c>
      <c r="AN37">
        <f t="shared" si="15"/>
        <v>7.4200000000000017</v>
      </c>
      <c r="AO37">
        <f t="shared" si="15"/>
        <v>7.4200000000000017</v>
      </c>
      <c r="AP37">
        <f t="shared" si="15"/>
        <v>7.4200000000000017</v>
      </c>
      <c r="AQ37">
        <f t="shared" si="15"/>
        <v>7.4200000000000017</v>
      </c>
      <c r="AR37">
        <f t="shared" si="16"/>
        <v>7.4200000000000017</v>
      </c>
      <c r="AS37">
        <f t="shared" si="16"/>
        <v>7.4200000000000017</v>
      </c>
      <c r="AT37">
        <f t="shared" si="16"/>
        <v>7.4200000000000017</v>
      </c>
      <c r="AU37">
        <f t="shared" si="16"/>
        <v>7.4200000000000017</v>
      </c>
      <c r="AV37">
        <f t="shared" si="16"/>
        <v>7.4200000000000017</v>
      </c>
      <c r="AW37">
        <f t="shared" si="16"/>
        <v>7.4200000000000017</v>
      </c>
      <c r="AX37">
        <f t="shared" si="16"/>
        <v>7.4200000000000017</v>
      </c>
      <c r="AY37">
        <f t="shared" si="16"/>
        <v>7.4200000000000017</v>
      </c>
      <c r="AZ37">
        <f t="shared" si="16"/>
        <v>7.4200000000000017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6.8850000000000016</v>
      </c>
      <c r="D38">
        <f t="shared" si="12"/>
        <v>6.8850000000000016</v>
      </c>
      <c r="E38">
        <f t="shared" si="12"/>
        <v>6.8850000000000016</v>
      </c>
      <c r="F38">
        <f t="shared" si="12"/>
        <v>6.8850000000000016</v>
      </c>
      <c r="G38">
        <f t="shared" si="12"/>
        <v>6.8850000000000016</v>
      </c>
      <c r="H38">
        <f t="shared" si="12"/>
        <v>6.8850000000000016</v>
      </c>
      <c r="I38">
        <f t="shared" si="12"/>
        <v>6.8850000000000016</v>
      </c>
      <c r="J38">
        <f t="shared" si="12"/>
        <v>6.8850000000000016</v>
      </c>
      <c r="K38">
        <f t="shared" si="12"/>
        <v>6.8850000000000016</v>
      </c>
      <c r="L38">
        <f t="shared" si="12"/>
        <v>6.8850000000000016</v>
      </c>
      <c r="M38">
        <f t="shared" si="12"/>
        <v>6.8850000000000016</v>
      </c>
      <c r="N38">
        <f t="shared" si="13"/>
        <v>6.8850000000000016</v>
      </c>
      <c r="O38">
        <f t="shared" si="13"/>
        <v>6.8850000000000016</v>
      </c>
      <c r="P38">
        <f t="shared" si="13"/>
        <v>6.8850000000000016</v>
      </c>
      <c r="Q38">
        <f t="shared" si="13"/>
        <v>6.8850000000000016</v>
      </c>
      <c r="R38">
        <f t="shared" si="13"/>
        <v>6.8850000000000016</v>
      </c>
      <c r="S38">
        <f t="shared" si="13"/>
        <v>6.8850000000000016</v>
      </c>
      <c r="T38">
        <f t="shared" si="13"/>
        <v>6.8850000000000016</v>
      </c>
      <c r="U38">
        <f t="shared" si="13"/>
        <v>6.8850000000000016</v>
      </c>
      <c r="V38">
        <f t="shared" si="13"/>
        <v>6.8850000000000016</v>
      </c>
      <c r="W38">
        <f t="shared" si="13"/>
        <v>6.8850000000000016</v>
      </c>
      <c r="X38">
        <f t="shared" si="14"/>
        <v>6.8850000000000016</v>
      </c>
      <c r="Y38">
        <f t="shared" si="14"/>
        <v>6.8850000000000016</v>
      </c>
      <c r="Z38">
        <f t="shared" si="14"/>
        <v>6.8850000000000016</v>
      </c>
      <c r="AA38">
        <f t="shared" si="14"/>
        <v>6.8850000000000016</v>
      </c>
      <c r="AB38">
        <f t="shared" si="14"/>
        <v>6.8850000000000016</v>
      </c>
      <c r="AC38">
        <f t="shared" si="14"/>
        <v>6.8850000000000016</v>
      </c>
      <c r="AD38">
        <f t="shared" si="14"/>
        <v>6.8850000000000016</v>
      </c>
      <c r="AE38">
        <f t="shared" si="14"/>
        <v>6.8850000000000016</v>
      </c>
      <c r="AF38">
        <f t="shared" si="14"/>
        <v>6.8850000000000016</v>
      </c>
      <c r="AG38">
        <f t="shared" si="14"/>
        <v>6.8850000000000016</v>
      </c>
      <c r="AH38">
        <f t="shared" si="15"/>
        <v>6.8850000000000016</v>
      </c>
      <c r="AI38">
        <f t="shared" si="15"/>
        <v>6.8850000000000016</v>
      </c>
      <c r="AJ38">
        <f t="shared" si="15"/>
        <v>6.8850000000000016</v>
      </c>
      <c r="AK38">
        <f t="shared" si="15"/>
        <v>6.8850000000000016</v>
      </c>
      <c r="AL38">
        <f t="shared" si="15"/>
        <v>6.8850000000000016</v>
      </c>
      <c r="AM38">
        <f t="shared" si="15"/>
        <v>6.8850000000000016</v>
      </c>
      <c r="AN38">
        <f t="shared" si="15"/>
        <v>6.8850000000000016</v>
      </c>
      <c r="AO38">
        <f t="shared" si="15"/>
        <v>6.8850000000000016</v>
      </c>
      <c r="AP38">
        <f t="shared" si="15"/>
        <v>6.8850000000000016</v>
      </c>
      <c r="AQ38">
        <f t="shared" si="15"/>
        <v>6.8850000000000016</v>
      </c>
      <c r="AR38">
        <f t="shared" si="16"/>
        <v>6.8850000000000016</v>
      </c>
      <c r="AS38">
        <f t="shared" si="16"/>
        <v>6.8850000000000016</v>
      </c>
      <c r="AT38">
        <f t="shared" si="16"/>
        <v>6.8850000000000016</v>
      </c>
      <c r="AU38">
        <f t="shared" si="16"/>
        <v>6.8850000000000016</v>
      </c>
      <c r="AV38">
        <f t="shared" si="16"/>
        <v>6.8850000000000016</v>
      </c>
      <c r="AW38">
        <f t="shared" si="16"/>
        <v>6.8850000000000016</v>
      </c>
      <c r="AX38">
        <f t="shared" si="16"/>
        <v>6.8850000000000016</v>
      </c>
      <c r="AY38">
        <f t="shared" si="16"/>
        <v>6.8850000000000016</v>
      </c>
      <c r="AZ38">
        <f t="shared" si="16"/>
        <v>6.8850000000000016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6.3700000000000019</v>
      </c>
      <c r="D39">
        <f t="shared" si="12"/>
        <v>6.3700000000000019</v>
      </c>
      <c r="E39">
        <f t="shared" si="12"/>
        <v>6.3700000000000019</v>
      </c>
      <c r="F39">
        <f t="shared" si="12"/>
        <v>6.3700000000000019</v>
      </c>
      <c r="G39">
        <f t="shared" si="12"/>
        <v>6.3700000000000019</v>
      </c>
      <c r="H39">
        <f t="shared" si="12"/>
        <v>6.3700000000000019</v>
      </c>
      <c r="I39">
        <f t="shared" si="12"/>
        <v>6.3700000000000019</v>
      </c>
      <c r="J39">
        <f t="shared" si="12"/>
        <v>6.3700000000000019</v>
      </c>
      <c r="K39">
        <f t="shared" si="12"/>
        <v>6.3700000000000019</v>
      </c>
      <c r="L39">
        <f t="shared" si="12"/>
        <v>6.3700000000000019</v>
      </c>
      <c r="M39">
        <f t="shared" si="12"/>
        <v>6.3700000000000019</v>
      </c>
      <c r="N39">
        <f t="shared" si="13"/>
        <v>6.3700000000000019</v>
      </c>
      <c r="O39">
        <f t="shared" si="13"/>
        <v>6.3700000000000019</v>
      </c>
      <c r="P39">
        <f t="shared" si="13"/>
        <v>6.3700000000000019</v>
      </c>
      <c r="Q39">
        <f t="shared" si="13"/>
        <v>6.3700000000000019</v>
      </c>
      <c r="R39">
        <f t="shared" si="13"/>
        <v>6.3700000000000019</v>
      </c>
      <c r="S39">
        <f t="shared" si="13"/>
        <v>6.3700000000000019</v>
      </c>
      <c r="T39">
        <f t="shared" si="13"/>
        <v>6.3700000000000019</v>
      </c>
      <c r="U39">
        <f t="shared" si="13"/>
        <v>6.3700000000000019</v>
      </c>
      <c r="V39">
        <f t="shared" si="13"/>
        <v>6.3700000000000019</v>
      </c>
      <c r="W39">
        <f t="shared" si="13"/>
        <v>6.3700000000000019</v>
      </c>
      <c r="X39">
        <f t="shared" si="14"/>
        <v>6.3700000000000019</v>
      </c>
      <c r="Y39">
        <f t="shared" si="14"/>
        <v>6.3700000000000019</v>
      </c>
      <c r="Z39">
        <f t="shared" si="14"/>
        <v>6.3700000000000019</v>
      </c>
      <c r="AA39">
        <f t="shared" si="14"/>
        <v>6.3700000000000019</v>
      </c>
      <c r="AB39">
        <f t="shared" si="14"/>
        <v>6.3700000000000019</v>
      </c>
      <c r="AC39">
        <f t="shared" si="14"/>
        <v>6.3700000000000019</v>
      </c>
      <c r="AD39">
        <f t="shared" si="14"/>
        <v>6.3700000000000019</v>
      </c>
      <c r="AE39">
        <f t="shared" si="14"/>
        <v>6.3700000000000019</v>
      </c>
      <c r="AF39">
        <f t="shared" si="14"/>
        <v>6.3700000000000019</v>
      </c>
      <c r="AG39">
        <f t="shared" si="14"/>
        <v>6.3700000000000019</v>
      </c>
      <c r="AH39">
        <f t="shared" si="15"/>
        <v>6.3700000000000019</v>
      </c>
      <c r="AI39">
        <f t="shared" si="15"/>
        <v>6.3700000000000019</v>
      </c>
      <c r="AJ39">
        <f t="shared" si="15"/>
        <v>6.3700000000000019</v>
      </c>
      <c r="AK39">
        <f t="shared" si="15"/>
        <v>6.3700000000000019</v>
      </c>
      <c r="AL39">
        <f t="shared" si="15"/>
        <v>6.3700000000000019</v>
      </c>
      <c r="AM39">
        <f t="shared" si="15"/>
        <v>6.3700000000000019</v>
      </c>
      <c r="AN39">
        <f t="shared" si="15"/>
        <v>6.3700000000000019</v>
      </c>
      <c r="AO39">
        <f t="shared" si="15"/>
        <v>6.3700000000000019</v>
      </c>
      <c r="AP39">
        <f t="shared" si="15"/>
        <v>6.3700000000000019</v>
      </c>
      <c r="AQ39">
        <f t="shared" si="15"/>
        <v>6.3700000000000019</v>
      </c>
      <c r="AR39">
        <f t="shared" si="16"/>
        <v>6.3700000000000019</v>
      </c>
      <c r="AS39">
        <f t="shared" si="16"/>
        <v>6.3700000000000019</v>
      </c>
      <c r="AT39">
        <f t="shared" si="16"/>
        <v>6.3700000000000019</v>
      </c>
      <c r="AU39">
        <f t="shared" si="16"/>
        <v>6.3700000000000019</v>
      </c>
      <c r="AV39">
        <f t="shared" si="16"/>
        <v>6.3700000000000019</v>
      </c>
      <c r="AW39">
        <f t="shared" si="16"/>
        <v>6.3700000000000019</v>
      </c>
      <c r="AX39">
        <f t="shared" si="16"/>
        <v>6.3700000000000019</v>
      </c>
      <c r="AY39">
        <f t="shared" si="16"/>
        <v>6.3700000000000019</v>
      </c>
      <c r="AZ39">
        <f t="shared" si="16"/>
        <v>6.3700000000000019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5.8750000000000009</v>
      </c>
      <c r="D40">
        <f t="shared" si="12"/>
        <v>5.8750000000000009</v>
      </c>
      <c r="E40">
        <f t="shared" si="12"/>
        <v>5.8750000000000009</v>
      </c>
      <c r="F40">
        <f t="shared" si="12"/>
        <v>5.8750000000000009</v>
      </c>
      <c r="G40">
        <f t="shared" si="12"/>
        <v>5.8750000000000009</v>
      </c>
      <c r="H40">
        <f t="shared" si="12"/>
        <v>5.8750000000000009</v>
      </c>
      <c r="I40">
        <f t="shared" si="12"/>
        <v>5.8750000000000009</v>
      </c>
      <c r="J40">
        <f t="shared" si="12"/>
        <v>5.8750000000000009</v>
      </c>
      <c r="K40">
        <f t="shared" si="12"/>
        <v>5.8750000000000009</v>
      </c>
      <c r="L40">
        <f t="shared" si="12"/>
        <v>5.8750000000000009</v>
      </c>
      <c r="M40">
        <f t="shared" si="12"/>
        <v>5.8750000000000009</v>
      </c>
      <c r="N40">
        <f t="shared" si="13"/>
        <v>5.8750000000000009</v>
      </c>
      <c r="O40">
        <f t="shared" si="13"/>
        <v>5.8750000000000009</v>
      </c>
      <c r="P40">
        <f t="shared" si="13"/>
        <v>5.8750000000000009</v>
      </c>
      <c r="Q40">
        <f t="shared" si="13"/>
        <v>5.8750000000000009</v>
      </c>
      <c r="R40">
        <f t="shared" si="13"/>
        <v>5.8750000000000009</v>
      </c>
      <c r="S40">
        <f t="shared" si="13"/>
        <v>5.8750000000000009</v>
      </c>
      <c r="T40">
        <f t="shared" si="13"/>
        <v>5.8750000000000009</v>
      </c>
      <c r="U40">
        <f t="shared" si="13"/>
        <v>5.8750000000000009</v>
      </c>
      <c r="V40">
        <f t="shared" si="13"/>
        <v>5.8750000000000009</v>
      </c>
      <c r="W40">
        <f t="shared" si="13"/>
        <v>5.8750000000000009</v>
      </c>
      <c r="X40">
        <f t="shared" si="14"/>
        <v>5.8750000000000009</v>
      </c>
      <c r="Y40">
        <f t="shared" si="14"/>
        <v>5.8750000000000009</v>
      </c>
      <c r="Z40">
        <f t="shared" si="14"/>
        <v>5.8750000000000009</v>
      </c>
      <c r="AA40">
        <f t="shared" si="14"/>
        <v>5.8750000000000009</v>
      </c>
      <c r="AB40">
        <f t="shared" si="14"/>
        <v>5.8750000000000009</v>
      </c>
      <c r="AC40">
        <f t="shared" si="14"/>
        <v>5.8750000000000009</v>
      </c>
      <c r="AD40">
        <f t="shared" si="14"/>
        <v>5.8750000000000009</v>
      </c>
      <c r="AE40">
        <f t="shared" si="14"/>
        <v>5.8750000000000009</v>
      </c>
      <c r="AF40">
        <f t="shared" si="14"/>
        <v>5.8750000000000009</v>
      </c>
      <c r="AG40">
        <f t="shared" si="14"/>
        <v>5.8750000000000009</v>
      </c>
      <c r="AH40">
        <f t="shared" si="15"/>
        <v>5.8750000000000009</v>
      </c>
      <c r="AI40">
        <f t="shared" si="15"/>
        <v>5.8750000000000009</v>
      </c>
      <c r="AJ40">
        <f t="shared" si="15"/>
        <v>5.8750000000000009</v>
      </c>
      <c r="AK40">
        <f t="shared" si="15"/>
        <v>5.8750000000000009</v>
      </c>
      <c r="AL40">
        <f t="shared" si="15"/>
        <v>5.8750000000000009</v>
      </c>
      <c r="AM40">
        <f t="shared" si="15"/>
        <v>5.8750000000000009</v>
      </c>
      <c r="AN40">
        <f t="shared" si="15"/>
        <v>5.8750000000000009</v>
      </c>
      <c r="AO40">
        <f t="shared" si="15"/>
        <v>5.8750000000000009</v>
      </c>
      <c r="AP40">
        <f t="shared" si="15"/>
        <v>5.8750000000000009</v>
      </c>
      <c r="AQ40">
        <f t="shared" si="15"/>
        <v>5.8750000000000009</v>
      </c>
      <c r="AR40">
        <f t="shared" si="16"/>
        <v>5.8750000000000009</v>
      </c>
      <c r="AS40">
        <f t="shared" si="16"/>
        <v>5.8750000000000009</v>
      </c>
      <c r="AT40">
        <f t="shared" si="16"/>
        <v>5.8750000000000009</v>
      </c>
      <c r="AU40">
        <f t="shared" si="16"/>
        <v>5.8750000000000009</v>
      </c>
      <c r="AV40">
        <f t="shared" si="16"/>
        <v>5.8750000000000009</v>
      </c>
      <c r="AW40">
        <f t="shared" si="16"/>
        <v>5.8750000000000009</v>
      </c>
      <c r="AX40">
        <f t="shared" si="16"/>
        <v>5.8750000000000009</v>
      </c>
      <c r="AY40">
        <f t="shared" si="16"/>
        <v>5.8750000000000009</v>
      </c>
      <c r="AZ40">
        <f t="shared" si="16"/>
        <v>5.8750000000000009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5.4000000000000012</v>
      </c>
      <c r="D41">
        <f t="shared" si="12"/>
        <v>5.4000000000000012</v>
      </c>
      <c r="E41">
        <f t="shared" si="12"/>
        <v>5.4000000000000012</v>
      </c>
      <c r="F41">
        <f t="shared" si="12"/>
        <v>5.4000000000000012</v>
      </c>
      <c r="G41">
        <f t="shared" si="12"/>
        <v>5.4000000000000012</v>
      </c>
      <c r="H41">
        <f t="shared" si="12"/>
        <v>5.4000000000000012</v>
      </c>
      <c r="I41">
        <f t="shared" si="12"/>
        <v>5.4000000000000012</v>
      </c>
      <c r="J41">
        <f t="shared" si="12"/>
        <v>5.4000000000000012</v>
      </c>
      <c r="K41">
        <f t="shared" si="12"/>
        <v>5.4000000000000012</v>
      </c>
      <c r="L41">
        <f t="shared" si="12"/>
        <v>5.4000000000000012</v>
      </c>
      <c r="M41">
        <f t="shared" si="12"/>
        <v>5.4000000000000012</v>
      </c>
      <c r="N41">
        <f t="shared" si="13"/>
        <v>5.4000000000000012</v>
      </c>
      <c r="O41">
        <f t="shared" si="13"/>
        <v>5.4000000000000012</v>
      </c>
      <c r="P41">
        <f t="shared" si="13"/>
        <v>5.4000000000000012</v>
      </c>
      <c r="Q41">
        <f t="shared" si="13"/>
        <v>5.4000000000000012</v>
      </c>
      <c r="R41">
        <f t="shared" si="13"/>
        <v>5.4000000000000012</v>
      </c>
      <c r="S41">
        <f t="shared" si="13"/>
        <v>5.4000000000000012</v>
      </c>
      <c r="T41">
        <f t="shared" si="13"/>
        <v>5.4000000000000012</v>
      </c>
      <c r="U41">
        <f t="shared" si="13"/>
        <v>5.4000000000000012</v>
      </c>
      <c r="V41">
        <f t="shared" si="13"/>
        <v>5.4000000000000012</v>
      </c>
      <c r="W41">
        <f t="shared" si="13"/>
        <v>5.4000000000000012</v>
      </c>
      <c r="X41">
        <f t="shared" si="14"/>
        <v>5.4000000000000012</v>
      </c>
      <c r="Y41">
        <f t="shared" si="14"/>
        <v>5.4000000000000012</v>
      </c>
      <c r="Z41">
        <f t="shared" si="14"/>
        <v>5.4000000000000012</v>
      </c>
      <c r="AA41">
        <f t="shared" si="14"/>
        <v>5.4000000000000012</v>
      </c>
      <c r="AB41">
        <f t="shared" si="14"/>
        <v>5.4000000000000012</v>
      </c>
      <c r="AC41">
        <f t="shared" si="14"/>
        <v>5.4000000000000012</v>
      </c>
      <c r="AD41">
        <f t="shared" si="14"/>
        <v>5.4000000000000012</v>
      </c>
      <c r="AE41">
        <f t="shared" si="14"/>
        <v>5.4000000000000012</v>
      </c>
      <c r="AF41">
        <f t="shared" si="14"/>
        <v>5.4000000000000012</v>
      </c>
      <c r="AG41">
        <f t="shared" si="14"/>
        <v>5.4000000000000012</v>
      </c>
      <c r="AH41">
        <f t="shared" si="15"/>
        <v>5.4000000000000012</v>
      </c>
      <c r="AI41">
        <f t="shared" si="15"/>
        <v>5.4000000000000012</v>
      </c>
      <c r="AJ41">
        <f t="shared" si="15"/>
        <v>5.4000000000000012</v>
      </c>
      <c r="AK41">
        <f t="shared" si="15"/>
        <v>5.4000000000000012</v>
      </c>
      <c r="AL41">
        <f t="shared" si="15"/>
        <v>5.4000000000000012</v>
      </c>
      <c r="AM41">
        <f t="shared" si="15"/>
        <v>5.4000000000000012</v>
      </c>
      <c r="AN41">
        <f t="shared" si="15"/>
        <v>5.4000000000000012</v>
      </c>
      <c r="AO41">
        <f t="shared" si="15"/>
        <v>5.4000000000000012</v>
      </c>
      <c r="AP41">
        <f t="shared" si="15"/>
        <v>5.4000000000000012</v>
      </c>
      <c r="AQ41">
        <f t="shared" si="15"/>
        <v>5.4000000000000012</v>
      </c>
      <c r="AR41">
        <f t="shared" si="16"/>
        <v>5.4000000000000012</v>
      </c>
      <c r="AS41">
        <f t="shared" si="16"/>
        <v>5.4000000000000012</v>
      </c>
      <c r="AT41">
        <f t="shared" si="16"/>
        <v>5.4000000000000012</v>
      </c>
      <c r="AU41">
        <f t="shared" si="16"/>
        <v>5.4000000000000012</v>
      </c>
      <c r="AV41">
        <f t="shared" si="16"/>
        <v>5.4000000000000012</v>
      </c>
      <c r="AW41">
        <f t="shared" si="16"/>
        <v>5.4000000000000012</v>
      </c>
      <c r="AX41">
        <f t="shared" si="16"/>
        <v>5.4000000000000012</v>
      </c>
      <c r="AY41">
        <f t="shared" si="16"/>
        <v>5.4000000000000012</v>
      </c>
      <c r="AZ41">
        <f t="shared" si="16"/>
        <v>5.4000000000000012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4.9450000000000012</v>
      </c>
      <c r="D42">
        <f t="shared" si="12"/>
        <v>4.9450000000000012</v>
      </c>
      <c r="E42">
        <f t="shared" si="12"/>
        <v>4.9450000000000012</v>
      </c>
      <c r="F42">
        <f t="shared" si="12"/>
        <v>4.9450000000000012</v>
      </c>
      <c r="G42">
        <f t="shared" si="12"/>
        <v>4.9450000000000012</v>
      </c>
      <c r="H42">
        <f t="shared" si="12"/>
        <v>4.9450000000000012</v>
      </c>
      <c r="I42">
        <f t="shared" si="12"/>
        <v>4.9450000000000012</v>
      </c>
      <c r="J42">
        <f t="shared" si="12"/>
        <v>4.9450000000000012</v>
      </c>
      <c r="K42">
        <f t="shared" si="12"/>
        <v>4.9450000000000012</v>
      </c>
      <c r="L42">
        <f t="shared" si="12"/>
        <v>4.9450000000000012</v>
      </c>
      <c r="M42">
        <f t="shared" si="12"/>
        <v>4.9450000000000012</v>
      </c>
      <c r="N42">
        <f t="shared" si="13"/>
        <v>4.9450000000000012</v>
      </c>
      <c r="O42">
        <f t="shared" si="13"/>
        <v>4.9450000000000012</v>
      </c>
      <c r="P42">
        <f t="shared" si="13"/>
        <v>4.9450000000000012</v>
      </c>
      <c r="Q42">
        <f t="shared" si="13"/>
        <v>4.9450000000000012</v>
      </c>
      <c r="R42">
        <f t="shared" si="13"/>
        <v>4.9450000000000012</v>
      </c>
      <c r="S42">
        <f t="shared" si="13"/>
        <v>4.9450000000000012</v>
      </c>
      <c r="T42">
        <f t="shared" si="13"/>
        <v>4.9450000000000012</v>
      </c>
      <c r="U42">
        <f t="shared" si="13"/>
        <v>4.9450000000000012</v>
      </c>
      <c r="V42">
        <f t="shared" si="13"/>
        <v>4.9450000000000012</v>
      </c>
      <c r="W42">
        <f t="shared" si="13"/>
        <v>4.9450000000000012</v>
      </c>
      <c r="X42">
        <f t="shared" si="14"/>
        <v>4.9450000000000012</v>
      </c>
      <c r="Y42">
        <f t="shared" si="14"/>
        <v>4.9450000000000012</v>
      </c>
      <c r="Z42">
        <f t="shared" si="14"/>
        <v>4.9450000000000012</v>
      </c>
      <c r="AA42">
        <f t="shared" si="14"/>
        <v>4.9450000000000012</v>
      </c>
      <c r="AB42">
        <f t="shared" si="14"/>
        <v>4.9450000000000012</v>
      </c>
      <c r="AC42">
        <f t="shared" si="14"/>
        <v>4.9450000000000012</v>
      </c>
      <c r="AD42">
        <f t="shared" si="14"/>
        <v>4.9450000000000012</v>
      </c>
      <c r="AE42">
        <f t="shared" si="14"/>
        <v>4.9450000000000012</v>
      </c>
      <c r="AF42">
        <f t="shared" si="14"/>
        <v>4.9450000000000012</v>
      </c>
      <c r="AG42">
        <f t="shared" si="14"/>
        <v>4.9450000000000012</v>
      </c>
      <c r="AH42">
        <f t="shared" si="15"/>
        <v>4.9450000000000012</v>
      </c>
      <c r="AI42">
        <f t="shared" si="15"/>
        <v>4.9450000000000012</v>
      </c>
      <c r="AJ42">
        <f t="shared" si="15"/>
        <v>4.9450000000000012</v>
      </c>
      <c r="AK42">
        <f t="shared" si="15"/>
        <v>4.9450000000000012</v>
      </c>
      <c r="AL42">
        <f t="shared" si="15"/>
        <v>4.9450000000000012</v>
      </c>
      <c r="AM42">
        <f t="shared" si="15"/>
        <v>4.9450000000000012</v>
      </c>
      <c r="AN42">
        <f t="shared" si="15"/>
        <v>4.9450000000000012</v>
      </c>
      <c r="AO42">
        <f t="shared" si="15"/>
        <v>4.9450000000000012</v>
      </c>
      <c r="AP42">
        <f t="shared" si="15"/>
        <v>4.9450000000000012</v>
      </c>
      <c r="AQ42">
        <f t="shared" si="15"/>
        <v>4.9450000000000012</v>
      </c>
      <c r="AR42">
        <f t="shared" si="16"/>
        <v>4.9450000000000012</v>
      </c>
      <c r="AS42">
        <f t="shared" si="16"/>
        <v>4.9450000000000012</v>
      </c>
      <c r="AT42">
        <f t="shared" si="16"/>
        <v>4.9450000000000012</v>
      </c>
      <c r="AU42">
        <f t="shared" si="16"/>
        <v>4.9450000000000012</v>
      </c>
      <c r="AV42">
        <f t="shared" si="16"/>
        <v>4.9450000000000012</v>
      </c>
      <c r="AW42">
        <f t="shared" si="16"/>
        <v>4.9450000000000012</v>
      </c>
      <c r="AX42">
        <f t="shared" si="16"/>
        <v>4.9450000000000012</v>
      </c>
      <c r="AY42">
        <f t="shared" si="16"/>
        <v>4.9450000000000012</v>
      </c>
      <c r="AZ42">
        <f t="shared" si="16"/>
        <v>4.9450000000000012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4.5100000000000007</v>
      </c>
      <c r="D43">
        <f t="shared" si="12"/>
        <v>4.5100000000000007</v>
      </c>
      <c r="E43">
        <f t="shared" si="12"/>
        <v>4.5100000000000007</v>
      </c>
      <c r="F43">
        <f t="shared" si="12"/>
        <v>4.5100000000000007</v>
      </c>
      <c r="G43">
        <f t="shared" si="12"/>
        <v>4.5100000000000007</v>
      </c>
      <c r="H43">
        <f t="shared" si="12"/>
        <v>4.5100000000000007</v>
      </c>
      <c r="I43">
        <f t="shared" si="12"/>
        <v>4.5100000000000007</v>
      </c>
      <c r="J43">
        <f t="shared" si="12"/>
        <v>4.5100000000000007</v>
      </c>
      <c r="K43">
        <f t="shared" si="12"/>
        <v>4.5100000000000007</v>
      </c>
      <c r="L43">
        <f t="shared" si="12"/>
        <v>4.5100000000000007</v>
      </c>
      <c r="M43">
        <f t="shared" si="12"/>
        <v>4.5100000000000007</v>
      </c>
      <c r="N43">
        <f t="shared" si="13"/>
        <v>4.5100000000000007</v>
      </c>
      <c r="O43">
        <f t="shared" si="13"/>
        <v>4.5100000000000007</v>
      </c>
      <c r="P43">
        <f t="shared" si="13"/>
        <v>4.5100000000000007</v>
      </c>
      <c r="Q43">
        <f t="shared" si="13"/>
        <v>4.5100000000000007</v>
      </c>
      <c r="R43">
        <f t="shared" si="13"/>
        <v>4.5100000000000007</v>
      </c>
      <c r="S43">
        <f t="shared" si="13"/>
        <v>4.5100000000000007</v>
      </c>
      <c r="T43">
        <f t="shared" si="13"/>
        <v>4.5100000000000007</v>
      </c>
      <c r="U43">
        <f t="shared" si="13"/>
        <v>4.5100000000000007</v>
      </c>
      <c r="V43">
        <f t="shared" si="13"/>
        <v>4.5100000000000007</v>
      </c>
      <c r="W43">
        <f t="shared" si="13"/>
        <v>4.5100000000000007</v>
      </c>
      <c r="X43">
        <f t="shared" si="14"/>
        <v>4.5100000000000007</v>
      </c>
      <c r="Y43">
        <f t="shared" si="14"/>
        <v>4.5100000000000007</v>
      </c>
      <c r="Z43">
        <f t="shared" si="14"/>
        <v>4.5100000000000007</v>
      </c>
      <c r="AA43">
        <f t="shared" si="14"/>
        <v>4.5100000000000007</v>
      </c>
      <c r="AB43">
        <f t="shared" si="14"/>
        <v>4.5100000000000007</v>
      </c>
      <c r="AC43">
        <f t="shared" si="14"/>
        <v>4.5100000000000007</v>
      </c>
      <c r="AD43">
        <f t="shared" si="14"/>
        <v>4.5100000000000007</v>
      </c>
      <c r="AE43">
        <f t="shared" si="14"/>
        <v>4.5100000000000007</v>
      </c>
      <c r="AF43">
        <f t="shared" si="14"/>
        <v>4.5100000000000007</v>
      </c>
      <c r="AG43">
        <f t="shared" si="14"/>
        <v>4.5100000000000007</v>
      </c>
      <c r="AH43">
        <f t="shared" si="15"/>
        <v>4.5100000000000007</v>
      </c>
      <c r="AI43">
        <f t="shared" si="15"/>
        <v>4.5100000000000007</v>
      </c>
      <c r="AJ43">
        <f t="shared" si="15"/>
        <v>4.5100000000000007</v>
      </c>
      <c r="AK43">
        <f t="shared" si="15"/>
        <v>4.5100000000000007</v>
      </c>
      <c r="AL43">
        <f t="shared" si="15"/>
        <v>4.5100000000000007</v>
      </c>
      <c r="AM43">
        <f t="shared" si="15"/>
        <v>4.5100000000000007</v>
      </c>
      <c r="AN43">
        <f t="shared" si="15"/>
        <v>4.5100000000000007</v>
      </c>
      <c r="AO43">
        <f t="shared" si="15"/>
        <v>4.5100000000000007</v>
      </c>
      <c r="AP43">
        <f t="shared" si="15"/>
        <v>4.5100000000000007</v>
      </c>
      <c r="AQ43">
        <f t="shared" si="15"/>
        <v>4.5100000000000007</v>
      </c>
      <c r="AR43">
        <f t="shared" si="16"/>
        <v>4.5100000000000007</v>
      </c>
      <c r="AS43">
        <f t="shared" si="16"/>
        <v>4.5100000000000007</v>
      </c>
      <c r="AT43">
        <f t="shared" si="16"/>
        <v>4.5100000000000007</v>
      </c>
      <c r="AU43">
        <f t="shared" si="16"/>
        <v>4.5100000000000007</v>
      </c>
      <c r="AV43">
        <f t="shared" si="16"/>
        <v>4.5100000000000007</v>
      </c>
      <c r="AW43">
        <f t="shared" si="16"/>
        <v>4.5100000000000007</v>
      </c>
      <c r="AX43">
        <f t="shared" si="16"/>
        <v>4.5100000000000007</v>
      </c>
      <c r="AY43">
        <f t="shared" si="16"/>
        <v>4.5100000000000007</v>
      </c>
      <c r="AZ43">
        <f t="shared" si="16"/>
        <v>4.5100000000000007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4.0950000000000006</v>
      </c>
      <c r="D44">
        <f t="shared" si="12"/>
        <v>4.0950000000000006</v>
      </c>
      <c r="E44">
        <f t="shared" si="12"/>
        <v>4.0950000000000006</v>
      </c>
      <c r="F44">
        <f t="shared" si="12"/>
        <v>4.0950000000000006</v>
      </c>
      <c r="G44">
        <f t="shared" si="12"/>
        <v>4.0950000000000006</v>
      </c>
      <c r="H44">
        <f t="shared" si="12"/>
        <v>4.0950000000000006</v>
      </c>
      <c r="I44">
        <f t="shared" si="12"/>
        <v>4.0950000000000006</v>
      </c>
      <c r="J44">
        <f t="shared" si="12"/>
        <v>4.0950000000000006</v>
      </c>
      <c r="K44">
        <f t="shared" si="12"/>
        <v>4.0950000000000006</v>
      </c>
      <c r="L44">
        <f t="shared" si="12"/>
        <v>4.0950000000000006</v>
      </c>
      <c r="M44">
        <f t="shared" si="12"/>
        <v>4.0950000000000006</v>
      </c>
      <c r="N44">
        <f t="shared" si="13"/>
        <v>4.0950000000000006</v>
      </c>
      <c r="O44">
        <f t="shared" si="13"/>
        <v>4.0950000000000006</v>
      </c>
      <c r="P44">
        <f t="shared" si="13"/>
        <v>4.0950000000000006</v>
      </c>
      <c r="Q44">
        <f t="shared" si="13"/>
        <v>4.0950000000000006</v>
      </c>
      <c r="R44">
        <f t="shared" si="13"/>
        <v>4.0950000000000006</v>
      </c>
      <c r="S44">
        <f t="shared" si="13"/>
        <v>4.0950000000000006</v>
      </c>
      <c r="T44">
        <f t="shared" si="13"/>
        <v>4.0950000000000006</v>
      </c>
      <c r="U44">
        <f t="shared" si="13"/>
        <v>4.0950000000000006</v>
      </c>
      <c r="V44">
        <f t="shared" si="13"/>
        <v>4.0950000000000006</v>
      </c>
      <c r="W44">
        <f t="shared" si="13"/>
        <v>4.0950000000000006</v>
      </c>
      <c r="X44">
        <f t="shared" si="14"/>
        <v>4.0950000000000006</v>
      </c>
      <c r="Y44">
        <f t="shared" si="14"/>
        <v>4.0950000000000006</v>
      </c>
      <c r="Z44">
        <f t="shared" si="14"/>
        <v>4.0950000000000006</v>
      </c>
      <c r="AA44">
        <f t="shared" si="14"/>
        <v>4.0950000000000006</v>
      </c>
      <c r="AB44">
        <f t="shared" si="14"/>
        <v>4.0950000000000006</v>
      </c>
      <c r="AC44">
        <f t="shared" si="14"/>
        <v>4.0950000000000006</v>
      </c>
      <c r="AD44">
        <f t="shared" si="14"/>
        <v>4.0950000000000006</v>
      </c>
      <c r="AE44">
        <f t="shared" si="14"/>
        <v>4.0950000000000006</v>
      </c>
      <c r="AF44">
        <f t="shared" si="14"/>
        <v>4.0950000000000006</v>
      </c>
      <c r="AG44">
        <f t="shared" si="14"/>
        <v>4.0950000000000006</v>
      </c>
      <c r="AH44">
        <f t="shared" si="15"/>
        <v>4.0950000000000006</v>
      </c>
      <c r="AI44">
        <f t="shared" si="15"/>
        <v>4.0950000000000006</v>
      </c>
      <c r="AJ44">
        <f t="shared" si="15"/>
        <v>4.0950000000000006</v>
      </c>
      <c r="AK44">
        <f t="shared" si="15"/>
        <v>4.0950000000000006</v>
      </c>
      <c r="AL44">
        <f t="shared" si="15"/>
        <v>4.0950000000000006</v>
      </c>
      <c r="AM44">
        <f t="shared" si="15"/>
        <v>4.0950000000000006</v>
      </c>
      <c r="AN44">
        <f t="shared" si="15"/>
        <v>4.0950000000000006</v>
      </c>
      <c r="AO44">
        <f t="shared" si="15"/>
        <v>4.0950000000000006</v>
      </c>
      <c r="AP44">
        <f t="shared" si="15"/>
        <v>4.0950000000000006</v>
      </c>
      <c r="AQ44">
        <f t="shared" si="15"/>
        <v>4.0950000000000006</v>
      </c>
      <c r="AR44">
        <f t="shared" si="16"/>
        <v>4.0950000000000006</v>
      </c>
      <c r="AS44">
        <f t="shared" si="16"/>
        <v>4.0950000000000006</v>
      </c>
      <c r="AT44">
        <f t="shared" si="16"/>
        <v>4.0950000000000006</v>
      </c>
      <c r="AU44">
        <f t="shared" si="16"/>
        <v>4.0950000000000006</v>
      </c>
      <c r="AV44">
        <f t="shared" si="16"/>
        <v>4.0950000000000006</v>
      </c>
      <c r="AW44">
        <f t="shared" si="16"/>
        <v>4.0950000000000006</v>
      </c>
      <c r="AX44">
        <f t="shared" si="16"/>
        <v>4.0950000000000006</v>
      </c>
      <c r="AY44">
        <f t="shared" si="16"/>
        <v>4.0950000000000006</v>
      </c>
      <c r="AZ44">
        <f t="shared" si="16"/>
        <v>4.0950000000000006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3.7000000000000011</v>
      </c>
      <c r="D45">
        <f t="shared" si="12"/>
        <v>3.7000000000000011</v>
      </c>
      <c r="E45">
        <f t="shared" si="12"/>
        <v>3.7000000000000011</v>
      </c>
      <c r="F45">
        <f t="shared" si="12"/>
        <v>3.7000000000000011</v>
      </c>
      <c r="G45">
        <f t="shared" si="12"/>
        <v>3.7000000000000011</v>
      </c>
      <c r="H45">
        <f t="shared" si="12"/>
        <v>3.7000000000000011</v>
      </c>
      <c r="I45">
        <f t="shared" si="12"/>
        <v>3.7000000000000011</v>
      </c>
      <c r="J45">
        <f t="shared" si="12"/>
        <v>3.7000000000000011</v>
      </c>
      <c r="K45">
        <f t="shared" si="12"/>
        <v>3.7000000000000011</v>
      </c>
      <c r="L45">
        <f t="shared" si="12"/>
        <v>3.7000000000000011</v>
      </c>
      <c r="M45">
        <f t="shared" si="12"/>
        <v>3.7000000000000011</v>
      </c>
      <c r="N45">
        <f t="shared" si="13"/>
        <v>3.7000000000000011</v>
      </c>
      <c r="O45">
        <f t="shared" si="13"/>
        <v>3.7000000000000011</v>
      </c>
      <c r="P45">
        <f t="shared" si="13"/>
        <v>3.7000000000000011</v>
      </c>
      <c r="Q45">
        <f t="shared" si="13"/>
        <v>3.7000000000000011</v>
      </c>
      <c r="R45">
        <f t="shared" si="13"/>
        <v>3.7000000000000011</v>
      </c>
      <c r="S45">
        <f t="shared" si="13"/>
        <v>3.7000000000000011</v>
      </c>
      <c r="T45">
        <f t="shared" si="13"/>
        <v>3.7000000000000011</v>
      </c>
      <c r="U45">
        <f t="shared" si="13"/>
        <v>3.7000000000000011</v>
      </c>
      <c r="V45">
        <f t="shared" si="13"/>
        <v>3.7000000000000011</v>
      </c>
      <c r="W45">
        <f t="shared" si="13"/>
        <v>3.7000000000000011</v>
      </c>
      <c r="X45">
        <f t="shared" si="14"/>
        <v>3.7000000000000011</v>
      </c>
      <c r="Y45">
        <f t="shared" si="14"/>
        <v>3.7000000000000011</v>
      </c>
      <c r="Z45">
        <f t="shared" si="14"/>
        <v>3.7000000000000011</v>
      </c>
      <c r="AA45">
        <f t="shared" si="14"/>
        <v>3.7000000000000011</v>
      </c>
      <c r="AB45">
        <f t="shared" si="14"/>
        <v>3.7000000000000011</v>
      </c>
      <c r="AC45">
        <f t="shared" si="14"/>
        <v>3.7000000000000011</v>
      </c>
      <c r="AD45">
        <f t="shared" si="14"/>
        <v>3.7000000000000011</v>
      </c>
      <c r="AE45">
        <f t="shared" si="14"/>
        <v>3.7000000000000011</v>
      </c>
      <c r="AF45">
        <f t="shared" si="14"/>
        <v>3.7000000000000011</v>
      </c>
      <c r="AG45">
        <f t="shared" si="14"/>
        <v>3.7000000000000011</v>
      </c>
      <c r="AH45">
        <f t="shared" si="15"/>
        <v>3.7000000000000011</v>
      </c>
      <c r="AI45">
        <f t="shared" si="15"/>
        <v>3.7000000000000011</v>
      </c>
      <c r="AJ45">
        <f t="shared" si="15"/>
        <v>3.7000000000000011</v>
      </c>
      <c r="AK45">
        <f t="shared" si="15"/>
        <v>3.7000000000000011</v>
      </c>
      <c r="AL45">
        <f t="shared" si="15"/>
        <v>3.7000000000000011</v>
      </c>
      <c r="AM45">
        <f t="shared" si="15"/>
        <v>3.7000000000000011</v>
      </c>
      <c r="AN45">
        <f t="shared" si="15"/>
        <v>3.7000000000000011</v>
      </c>
      <c r="AO45">
        <f t="shared" si="15"/>
        <v>3.7000000000000011</v>
      </c>
      <c r="AP45">
        <f t="shared" si="15"/>
        <v>3.7000000000000011</v>
      </c>
      <c r="AQ45">
        <f t="shared" si="15"/>
        <v>3.7000000000000011</v>
      </c>
      <c r="AR45">
        <f t="shared" si="16"/>
        <v>3.7000000000000011</v>
      </c>
      <c r="AS45">
        <f t="shared" si="16"/>
        <v>3.7000000000000011</v>
      </c>
      <c r="AT45">
        <f t="shared" si="16"/>
        <v>3.7000000000000011</v>
      </c>
      <c r="AU45">
        <f t="shared" si="16"/>
        <v>3.7000000000000011</v>
      </c>
      <c r="AV45">
        <f t="shared" si="16"/>
        <v>3.7000000000000011</v>
      </c>
      <c r="AW45">
        <f t="shared" si="16"/>
        <v>3.7000000000000011</v>
      </c>
      <c r="AX45">
        <f t="shared" si="16"/>
        <v>3.7000000000000011</v>
      </c>
      <c r="AY45">
        <f t="shared" si="16"/>
        <v>3.7000000000000011</v>
      </c>
      <c r="AZ45">
        <f t="shared" si="16"/>
        <v>3.7000000000000011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M55" si="17">0.25*(sigma^2*$A46^2-(rate-d)*$A46)</f>
        <v>3.3250000000000006</v>
      </c>
      <c r="D46">
        <f t="shared" si="17"/>
        <v>3.3250000000000006</v>
      </c>
      <c r="E46">
        <f t="shared" si="17"/>
        <v>3.3250000000000006</v>
      </c>
      <c r="F46">
        <f t="shared" si="17"/>
        <v>3.3250000000000006</v>
      </c>
      <c r="G46">
        <f t="shared" si="17"/>
        <v>3.3250000000000006</v>
      </c>
      <c r="H46">
        <f t="shared" si="17"/>
        <v>3.3250000000000006</v>
      </c>
      <c r="I46">
        <f t="shared" si="17"/>
        <v>3.3250000000000006</v>
      </c>
      <c r="J46">
        <f t="shared" si="17"/>
        <v>3.3250000000000006</v>
      </c>
      <c r="K46">
        <f t="shared" si="17"/>
        <v>3.3250000000000006</v>
      </c>
      <c r="L46">
        <f t="shared" si="17"/>
        <v>3.3250000000000006</v>
      </c>
      <c r="M46">
        <f t="shared" si="17"/>
        <v>3.3250000000000006</v>
      </c>
      <c r="N46">
        <f t="shared" ref="N46:W55" si="18">0.25*(sigma^2*$A46^2-(rate-d)*$A46)</f>
        <v>3.3250000000000006</v>
      </c>
      <c r="O46">
        <f t="shared" si="18"/>
        <v>3.3250000000000006</v>
      </c>
      <c r="P46">
        <f t="shared" si="18"/>
        <v>3.3250000000000006</v>
      </c>
      <c r="Q46">
        <f t="shared" si="18"/>
        <v>3.3250000000000006</v>
      </c>
      <c r="R46">
        <f t="shared" si="18"/>
        <v>3.3250000000000006</v>
      </c>
      <c r="S46">
        <f t="shared" si="18"/>
        <v>3.3250000000000006</v>
      </c>
      <c r="T46">
        <f t="shared" si="18"/>
        <v>3.3250000000000006</v>
      </c>
      <c r="U46">
        <f t="shared" si="18"/>
        <v>3.3250000000000006</v>
      </c>
      <c r="V46">
        <f t="shared" si="18"/>
        <v>3.3250000000000006</v>
      </c>
      <c r="W46">
        <f t="shared" si="18"/>
        <v>3.3250000000000006</v>
      </c>
      <c r="X46">
        <f t="shared" ref="X46:AG55" si="19">0.25*(sigma^2*$A46^2-(rate-d)*$A46)</f>
        <v>3.3250000000000006</v>
      </c>
      <c r="Y46">
        <f t="shared" si="19"/>
        <v>3.3250000000000006</v>
      </c>
      <c r="Z46">
        <f t="shared" si="19"/>
        <v>3.3250000000000006</v>
      </c>
      <c r="AA46">
        <f t="shared" si="19"/>
        <v>3.3250000000000006</v>
      </c>
      <c r="AB46">
        <f t="shared" si="19"/>
        <v>3.3250000000000006</v>
      </c>
      <c r="AC46">
        <f t="shared" si="19"/>
        <v>3.3250000000000006</v>
      </c>
      <c r="AD46">
        <f t="shared" si="19"/>
        <v>3.3250000000000006</v>
      </c>
      <c r="AE46">
        <f t="shared" si="19"/>
        <v>3.3250000000000006</v>
      </c>
      <c r="AF46">
        <f t="shared" si="19"/>
        <v>3.3250000000000006</v>
      </c>
      <c r="AG46">
        <f t="shared" si="19"/>
        <v>3.3250000000000006</v>
      </c>
      <c r="AH46">
        <f t="shared" ref="AH46:AQ55" si="20">0.25*(sigma^2*$A46^2-(rate-d)*$A46)</f>
        <v>3.3250000000000006</v>
      </c>
      <c r="AI46">
        <f t="shared" si="20"/>
        <v>3.3250000000000006</v>
      </c>
      <c r="AJ46">
        <f t="shared" si="20"/>
        <v>3.3250000000000006</v>
      </c>
      <c r="AK46">
        <f t="shared" si="20"/>
        <v>3.3250000000000006</v>
      </c>
      <c r="AL46">
        <f t="shared" si="20"/>
        <v>3.3250000000000006</v>
      </c>
      <c r="AM46">
        <f t="shared" si="20"/>
        <v>3.3250000000000006</v>
      </c>
      <c r="AN46">
        <f t="shared" si="20"/>
        <v>3.3250000000000006</v>
      </c>
      <c r="AO46">
        <f t="shared" si="20"/>
        <v>3.3250000000000006</v>
      </c>
      <c r="AP46">
        <f t="shared" si="20"/>
        <v>3.3250000000000006</v>
      </c>
      <c r="AQ46">
        <f t="shared" si="20"/>
        <v>3.3250000000000006</v>
      </c>
      <c r="AR46">
        <f t="shared" ref="AR46:AZ55" si="21">0.25*(sigma^2*$A46^2-(rate-d)*$A46)</f>
        <v>3.3250000000000006</v>
      </c>
      <c r="AS46">
        <f t="shared" si="21"/>
        <v>3.3250000000000006</v>
      </c>
      <c r="AT46">
        <f t="shared" si="21"/>
        <v>3.3250000000000006</v>
      </c>
      <c r="AU46">
        <f t="shared" si="21"/>
        <v>3.3250000000000006</v>
      </c>
      <c r="AV46">
        <f t="shared" si="21"/>
        <v>3.3250000000000006</v>
      </c>
      <c r="AW46">
        <f t="shared" si="21"/>
        <v>3.3250000000000006</v>
      </c>
      <c r="AX46">
        <f t="shared" si="21"/>
        <v>3.3250000000000006</v>
      </c>
      <c r="AY46">
        <f t="shared" si="21"/>
        <v>3.3250000000000006</v>
      </c>
      <c r="AZ46">
        <f t="shared" si="21"/>
        <v>3.3250000000000006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2.9700000000000006</v>
      </c>
      <c r="D47">
        <f t="shared" si="17"/>
        <v>2.9700000000000006</v>
      </c>
      <c r="E47">
        <f t="shared" si="17"/>
        <v>2.9700000000000006</v>
      </c>
      <c r="F47">
        <f t="shared" si="17"/>
        <v>2.9700000000000006</v>
      </c>
      <c r="G47">
        <f t="shared" si="17"/>
        <v>2.9700000000000006</v>
      </c>
      <c r="H47">
        <f t="shared" si="17"/>
        <v>2.9700000000000006</v>
      </c>
      <c r="I47">
        <f t="shared" si="17"/>
        <v>2.9700000000000006</v>
      </c>
      <c r="J47">
        <f t="shared" si="17"/>
        <v>2.9700000000000006</v>
      </c>
      <c r="K47">
        <f t="shared" si="17"/>
        <v>2.9700000000000006</v>
      </c>
      <c r="L47">
        <f t="shared" si="17"/>
        <v>2.9700000000000006</v>
      </c>
      <c r="M47">
        <f t="shared" si="17"/>
        <v>2.9700000000000006</v>
      </c>
      <c r="N47">
        <f t="shared" si="18"/>
        <v>2.9700000000000006</v>
      </c>
      <c r="O47">
        <f t="shared" si="18"/>
        <v>2.9700000000000006</v>
      </c>
      <c r="P47">
        <f t="shared" si="18"/>
        <v>2.9700000000000006</v>
      </c>
      <c r="Q47">
        <f t="shared" si="18"/>
        <v>2.9700000000000006</v>
      </c>
      <c r="R47">
        <f t="shared" si="18"/>
        <v>2.9700000000000006</v>
      </c>
      <c r="S47">
        <f t="shared" si="18"/>
        <v>2.9700000000000006</v>
      </c>
      <c r="T47">
        <f t="shared" si="18"/>
        <v>2.9700000000000006</v>
      </c>
      <c r="U47">
        <f t="shared" si="18"/>
        <v>2.9700000000000006</v>
      </c>
      <c r="V47">
        <f t="shared" si="18"/>
        <v>2.9700000000000006</v>
      </c>
      <c r="W47">
        <f t="shared" si="18"/>
        <v>2.9700000000000006</v>
      </c>
      <c r="X47">
        <f t="shared" si="19"/>
        <v>2.9700000000000006</v>
      </c>
      <c r="Y47">
        <f t="shared" si="19"/>
        <v>2.9700000000000006</v>
      </c>
      <c r="Z47">
        <f t="shared" si="19"/>
        <v>2.9700000000000006</v>
      </c>
      <c r="AA47">
        <f t="shared" si="19"/>
        <v>2.9700000000000006</v>
      </c>
      <c r="AB47">
        <f t="shared" si="19"/>
        <v>2.9700000000000006</v>
      </c>
      <c r="AC47">
        <f t="shared" si="19"/>
        <v>2.9700000000000006</v>
      </c>
      <c r="AD47">
        <f t="shared" si="19"/>
        <v>2.9700000000000006</v>
      </c>
      <c r="AE47">
        <f t="shared" si="19"/>
        <v>2.9700000000000006</v>
      </c>
      <c r="AF47">
        <f t="shared" si="19"/>
        <v>2.9700000000000006</v>
      </c>
      <c r="AG47">
        <f t="shared" si="19"/>
        <v>2.9700000000000006</v>
      </c>
      <c r="AH47">
        <f t="shared" si="20"/>
        <v>2.9700000000000006</v>
      </c>
      <c r="AI47">
        <f t="shared" si="20"/>
        <v>2.9700000000000006</v>
      </c>
      <c r="AJ47">
        <f t="shared" si="20"/>
        <v>2.9700000000000006</v>
      </c>
      <c r="AK47">
        <f t="shared" si="20"/>
        <v>2.9700000000000006</v>
      </c>
      <c r="AL47">
        <f t="shared" si="20"/>
        <v>2.9700000000000006</v>
      </c>
      <c r="AM47">
        <f t="shared" si="20"/>
        <v>2.9700000000000006</v>
      </c>
      <c r="AN47">
        <f t="shared" si="20"/>
        <v>2.9700000000000006</v>
      </c>
      <c r="AO47">
        <f t="shared" si="20"/>
        <v>2.9700000000000006</v>
      </c>
      <c r="AP47">
        <f t="shared" si="20"/>
        <v>2.9700000000000006</v>
      </c>
      <c r="AQ47">
        <f t="shared" si="20"/>
        <v>2.9700000000000006</v>
      </c>
      <c r="AR47">
        <f t="shared" si="21"/>
        <v>2.9700000000000006</v>
      </c>
      <c r="AS47">
        <f t="shared" si="21"/>
        <v>2.9700000000000006</v>
      </c>
      <c r="AT47">
        <f t="shared" si="21"/>
        <v>2.9700000000000006</v>
      </c>
      <c r="AU47">
        <f t="shared" si="21"/>
        <v>2.9700000000000006</v>
      </c>
      <c r="AV47">
        <f t="shared" si="21"/>
        <v>2.9700000000000006</v>
      </c>
      <c r="AW47">
        <f t="shared" si="21"/>
        <v>2.9700000000000006</v>
      </c>
      <c r="AX47">
        <f t="shared" si="21"/>
        <v>2.9700000000000006</v>
      </c>
      <c r="AY47">
        <f t="shared" si="21"/>
        <v>2.9700000000000006</v>
      </c>
      <c r="AZ47">
        <f t="shared" si="21"/>
        <v>2.9700000000000006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2.6350000000000007</v>
      </c>
      <c r="D48">
        <f t="shared" si="17"/>
        <v>2.6350000000000007</v>
      </c>
      <c r="E48">
        <f t="shared" si="17"/>
        <v>2.6350000000000007</v>
      </c>
      <c r="F48">
        <f t="shared" si="17"/>
        <v>2.6350000000000007</v>
      </c>
      <c r="G48">
        <f t="shared" si="17"/>
        <v>2.6350000000000007</v>
      </c>
      <c r="H48">
        <f t="shared" si="17"/>
        <v>2.6350000000000007</v>
      </c>
      <c r="I48">
        <f t="shared" si="17"/>
        <v>2.6350000000000007</v>
      </c>
      <c r="J48">
        <f t="shared" si="17"/>
        <v>2.6350000000000007</v>
      </c>
      <c r="K48">
        <f t="shared" si="17"/>
        <v>2.6350000000000007</v>
      </c>
      <c r="L48">
        <f t="shared" si="17"/>
        <v>2.6350000000000007</v>
      </c>
      <c r="M48">
        <f t="shared" si="17"/>
        <v>2.6350000000000007</v>
      </c>
      <c r="N48">
        <f t="shared" si="18"/>
        <v>2.6350000000000007</v>
      </c>
      <c r="O48">
        <f t="shared" si="18"/>
        <v>2.6350000000000007</v>
      </c>
      <c r="P48">
        <f t="shared" si="18"/>
        <v>2.6350000000000007</v>
      </c>
      <c r="Q48">
        <f t="shared" si="18"/>
        <v>2.6350000000000007</v>
      </c>
      <c r="R48">
        <f t="shared" si="18"/>
        <v>2.6350000000000007</v>
      </c>
      <c r="S48">
        <f t="shared" si="18"/>
        <v>2.6350000000000007</v>
      </c>
      <c r="T48">
        <f t="shared" si="18"/>
        <v>2.6350000000000007</v>
      </c>
      <c r="U48">
        <f t="shared" si="18"/>
        <v>2.6350000000000007</v>
      </c>
      <c r="V48">
        <f t="shared" si="18"/>
        <v>2.6350000000000007</v>
      </c>
      <c r="W48">
        <f t="shared" si="18"/>
        <v>2.6350000000000007</v>
      </c>
      <c r="X48">
        <f t="shared" si="19"/>
        <v>2.6350000000000007</v>
      </c>
      <c r="Y48">
        <f t="shared" si="19"/>
        <v>2.6350000000000007</v>
      </c>
      <c r="Z48">
        <f t="shared" si="19"/>
        <v>2.6350000000000007</v>
      </c>
      <c r="AA48">
        <f t="shared" si="19"/>
        <v>2.6350000000000007</v>
      </c>
      <c r="AB48">
        <f t="shared" si="19"/>
        <v>2.6350000000000007</v>
      </c>
      <c r="AC48">
        <f t="shared" si="19"/>
        <v>2.6350000000000007</v>
      </c>
      <c r="AD48">
        <f t="shared" si="19"/>
        <v>2.6350000000000007</v>
      </c>
      <c r="AE48">
        <f t="shared" si="19"/>
        <v>2.6350000000000007</v>
      </c>
      <c r="AF48">
        <f t="shared" si="19"/>
        <v>2.6350000000000007</v>
      </c>
      <c r="AG48">
        <f t="shared" si="19"/>
        <v>2.6350000000000007</v>
      </c>
      <c r="AH48">
        <f t="shared" si="20"/>
        <v>2.6350000000000007</v>
      </c>
      <c r="AI48">
        <f t="shared" si="20"/>
        <v>2.6350000000000007</v>
      </c>
      <c r="AJ48">
        <f t="shared" si="20"/>
        <v>2.6350000000000007</v>
      </c>
      <c r="AK48">
        <f t="shared" si="20"/>
        <v>2.6350000000000007</v>
      </c>
      <c r="AL48">
        <f t="shared" si="20"/>
        <v>2.6350000000000007</v>
      </c>
      <c r="AM48">
        <f t="shared" si="20"/>
        <v>2.6350000000000007</v>
      </c>
      <c r="AN48">
        <f t="shared" si="20"/>
        <v>2.6350000000000007</v>
      </c>
      <c r="AO48">
        <f t="shared" si="20"/>
        <v>2.6350000000000007</v>
      </c>
      <c r="AP48">
        <f t="shared" si="20"/>
        <v>2.6350000000000007</v>
      </c>
      <c r="AQ48">
        <f t="shared" si="20"/>
        <v>2.6350000000000007</v>
      </c>
      <c r="AR48">
        <f t="shared" si="21"/>
        <v>2.6350000000000007</v>
      </c>
      <c r="AS48">
        <f t="shared" si="21"/>
        <v>2.6350000000000007</v>
      </c>
      <c r="AT48">
        <f t="shared" si="21"/>
        <v>2.6350000000000007</v>
      </c>
      <c r="AU48">
        <f t="shared" si="21"/>
        <v>2.6350000000000007</v>
      </c>
      <c r="AV48">
        <f t="shared" si="21"/>
        <v>2.6350000000000007</v>
      </c>
      <c r="AW48">
        <f t="shared" si="21"/>
        <v>2.6350000000000007</v>
      </c>
      <c r="AX48">
        <f t="shared" si="21"/>
        <v>2.6350000000000007</v>
      </c>
      <c r="AY48">
        <f t="shared" si="21"/>
        <v>2.6350000000000007</v>
      </c>
      <c r="AZ48">
        <f t="shared" si="21"/>
        <v>2.6350000000000007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2.3200000000000003</v>
      </c>
      <c r="D49">
        <f t="shared" si="17"/>
        <v>2.3200000000000003</v>
      </c>
      <c r="E49">
        <f t="shared" si="17"/>
        <v>2.3200000000000003</v>
      </c>
      <c r="F49">
        <f t="shared" si="17"/>
        <v>2.3200000000000003</v>
      </c>
      <c r="G49">
        <f t="shared" si="17"/>
        <v>2.3200000000000003</v>
      </c>
      <c r="H49">
        <f t="shared" si="17"/>
        <v>2.3200000000000003</v>
      </c>
      <c r="I49">
        <f t="shared" si="17"/>
        <v>2.3200000000000003</v>
      </c>
      <c r="J49">
        <f t="shared" si="17"/>
        <v>2.3200000000000003</v>
      </c>
      <c r="K49">
        <f t="shared" si="17"/>
        <v>2.3200000000000003</v>
      </c>
      <c r="L49">
        <f t="shared" si="17"/>
        <v>2.3200000000000003</v>
      </c>
      <c r="M49">
        <f t="shared" si="17"/>
        <v>2.3200000000000003</v>
      </c>
      <c r="N49">
        <f t="shared" si="18"/>
        <v>2.3200000000000003</v>
      </c>
      <c r="O49">
        <f t="shared" si="18"/>
        <v>2.3200000000000003</v>
      </c>
      <c r="P49">
        <f t="shared" si="18"/>
        <v>2.3200000000000003</v>
      </c>
      <c r="Q49">
        <f t="shared" si="18"/>
        <v>2.3200000000000003</v>
      </c>
      <c r="R49">
        <f t="shared" si="18"/>
        <v>2.3200000000000003</v>
      </c>
      <c r="S49">
        <f t="shared" si="18"/>
        <v>2.3200000000000003</v>
      </c>
      <c r="T49">
        <f t="shared" si="18"/>
        <v>2.3200000000000003</v>
      </c>
      <c r="U49">
        <f t="shared" si="18"/>
        <v>2.3200000000000003</v>
      </c>
      <c r="V49">
        <f t="shared" si="18"/>
        <v>2.3200000000000003</v>
      </c>
      <c r="W49">
        <f t="shared" si="18"/>
        <v>2.3200000000000003</v>
      </c>
      <c r="X49">
        <f t="shared" si="19"/>
        <v>2.3200000000000003</v>
      </c>
      <c r="Y49">
        <f t="shared" si="19"/>
        <v>2.3200000000000003</v>
      </c>
      <c r="Z49">
        <f t="shared" si="19"/>
        <v>2.3200000000000003</v>
      </c>
      <c r="AA49">
        <f t="shared" si="19"/>
        <v>2.3200000000000003</v>
      </c>
      <c r="AB49">
        <f t="shared" si="19"/>
        <v>2.3200000000000003</v>
      </c>
      <c r="AC49">
        <f t="shared" si="19"/>
        <v>2.3200000000000003</v>
      </c>
      <c r="AD49">
        <f t="shared" si="19"/>
        <v>2.3200000000000003</v>
      </c>
      <c r="AE49">
        <f t="shared" si="19"/>
        <v>2.3200000000000003</v>
      </c>
      <c r="AF49">
        <f t="shared" si="19"/>
        <v>2.3200000000000003</v>
      </c>
      <c r="AG49">
        <f t="shared" si="19"/>
        <v>2.3200000000000003</v>
      </c>
      <c r="AH49">
        <f t="shared" si="20"/>
        <v>2.3200000000000003</v>
      </c>
      <c r="AI49">
        <f t="shared" si="20"/>
        <v>2.3200000000000003</v>
      </c>
      <c r="AJ49">
        <f t="shared" si="20"/>
        <v>2.3200000000000003</v>
      </c>
      <c r="AK49">
        <f t="shared" si="20"/>
        <v>2.3200000000000003</v>
      </c>
      <c r="AL49">
        <f t="shared" si="20"/>
        <v>2.3200000000000003</v>
      </c>
      <c r="AM49">
        <f t="shared" si="20"/>
        <v>2.3200000000000003</v>
      </c>
      <c r="AN49">
        <f t="shared" si="20"/>
        <v>2.3200000000000003</v>
      </c>
      <c r="AO49">
        <f t="shared" si="20"/>
        <v>2.3200000000000003</v>
      </c>
      <c r="AP49">
        <f t="shared" si="20"/>
        <v>2.3200000000000003</v>
      </c>
      <c r="AQ49">
        <f t="shared" si="20"/>
        <v>2.3200000000000003</v>
      </c>
      <c r="AR49">
        <f t="shared" si="21"/>
        <v>2.3200000000000003</v>
      </c>
      <c r="AS49">
        <f t="shared" si="21"/>
        <v>2.3200000000000003</v>
      </c>
      <c r="AT49">
        <f t="shared" si="21"/>
        <v>2.3200000000000003</v>
      </c>
      <c r="AU49">
        <f t="shared" si="21"/>
        <v>2.3200000000000003</v>
      </c>
      <c r="AV49">
        <f t="shared" si="21"/>
        <v>2.3200000000000003</v>
      </c>
      <c r="AW49">
        <f t="shared" si="21"/>
        <v>2.3200000000000003</v>
      </c>
      <c r="AX49">
        <f t="shared" si="21"/>
        <v>2.3200000000000003</v>
      </c>
      <c r="AY49">
        <f t="shared" si="21"/>
        <v>2.3200000000000003</v>
      </c>
      <c r="AZ49">
        <f t="shared" si="21"/>
        <v>2.3200000000000003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2.0250000000000004</v>
      </c>
      <c r="D50">
        <f t="shared" si="17"/>
        <v>2.0250000000000004</v>
      </c>
      <c r="E50">
        <f t="shared" si="17"/>
        <v>2.0250000000000004</v>
      </c>
      <c r="F50">
        <f t="shared" si="17"/>
        <v>2.0250000000000004</v>
      </c>
      <c r="G50">
        <f t="shared" si="17"/>
        <v>2.0250000000000004</v>
      </c>
      <c r="H50">
        <f t="shared" si="17"/>
        <v>2.0250000000000004</v>
      </c>
      <c r="I50">
        <f t="shared" si="17"/>
        <v>2.0250000000000004</v>
      </c>
      <c r="J50">
        <f t="shared" si="17"/>
        <v>2.0250000000000004</v>
      </c>
      <c r="K50">
        <f t="shared" si="17"/>
        <v>2.0250000000000004</v>
      </c>
      <c r="L50">
        <f t="shared" si="17"/>
        <v>2.0250000000000004</v>
      </c>
      <c r="M50">
        <f t="shared" si="17"/>
        <v>2.0250000000000004</v>
      </c>
      <c r="N50">
        <f t="shared" si="18"/>
        <v>2.0250000000000004</v>
      </c>
      <c r="O50">
        <f t="shared" si="18"/>
        <v>2.0250000000000004</v>
      </c>
      <c r="P50">
        <f t="shared" si="18"/>
        <v>2.0250000000000004</v>
      </c>
      <c r="Q50">
        <f t="shared" si="18"/>
        <v>2.0250000000000004</v>
      </c>
      <c r="R50">
        <f t="shared" si="18"/>
        <v>2.0250000000000004</v>
      </c>
      <c r="S50">
        <f t="shared" si="18"/>
        <v>2.0250000000000004</v>
      </c>
      <c r="T50">
        <f t="shared" si="18"/>
        <v>2.0250000000000004</v>
      </c>
      <c r="U50">
        <f t="shared" si="18"/>
        <v>2.0250000000000004</v>
      </c>
      <c r="V50">
        <f t="shared" si="18"/>
        <v>2.0250000000000004</v>
      </c>
      <c r="W50">
        <f t="shared" si="18"/>
        <v>2.0250000000000004</v>
      </c>
      <c r="X50">
        <f t="shared" si="19"/>
        <v>2.0250000000000004</v>
      </c>
      <c r="Y50">
        <f t="shared" si="19"/>
        <v>2.0250000000000004</v>
      </c>
      <c r="Z50">
        <f t="shared" si="19"/>
        <v>2.0250000000000004</v>
      </c>
      <c r="AA50">
        <f t="shared" si="19"/>
        <v>2.0250000000000004</v>
      </c>
      <c r="AB50">
        <f t="shared" si="19"/>
        <v>2.0250000000000004</v>
      </c>
      <c r="AC50">
        <f t="shared" si="19"/>
        <v>2.0250000000000004</v>
      </c>
      <c r="AD50">
        <f t="shared" si="19"/>
        <v>2.0250000000000004</v>
      </c>
      <c r="AE50">
        <f t="shared" si="19"/>
        <v>2.0250000000000004</v>
      </c>
      <c r="AF50">
        <f t="shared" si="19"/>
        <v>2.0250000000000004</v>
      </c>
      <c r="AG50">
        <f t="shared" si="19"/>
        <v>2.0250000000000004</v>
      </c>
      <c r="AH50">
        <f t="shared" si="20"/>
        <v>2.0250000000000004</v>
      </c>
      <c r="AI50">
        <f t="shared" si="20"/>
        <v>2.0250000000000004</v>
      </c>
      <c r="AJ50">
        <f t="shared" si="20"/>
        <v>2.0250000000000004</v>
      </c>
      <c r="AK50">
        <f t="shared" si="20"/>
        <v>2.0250000000000004</v>
      </c>
      <c r="AL50">
        <f t="shared" si="20"/>
        <v>2.0250000000000004</v>
      </c>
      <c r="AM50">
        <f t="shared" si="20"/>
        <v>2.0250000000000004</v>
      </c>
      <c r="AN50">
        <f t="shared" si="20"/>
        <v>2.0250000000000004</v>
      </c>
      <c r="AO50">
        <f t="shared" si="20"/>
        <v>2.0250000000000004</v>
      </c>
      <c r="AP50">
        <f t="shared" si="20"/>
        <v>2.0250000000000004</v>
      </c>
      <c r="AQ50">
        <f t="shared" si="20"/>
        <v>2.0250000000000004</v>
      </c>
      <c r="AR50">
        <f t="shared" si="21"/>
        <v>2.0250000000000004</v>
      </c>
      <c r="AS50">
        <f t="shared" si="21"/>
        <v>2.0250000000000004</v>
      </c>
      <c r="AT50">
        <f t="shared" si="21"/>
        <v>2.0250000000000004</v>
      </c>
      <c r="AU50">
        <f t="shared" si="21"/>
        <v>2.0250000000000004</v>
      </c>
      <c r="AV50">
        <f t="shared" si="21"/>
        <v>2.0250000000000004</v>
      </c>
      <c r="AW50">
        <f t="shared" si="21"/>
        <v>2.0250000000000004</v>
      </c>
      <c r="AX50">
        <f t="shared" si="21"/>
        <v>2.0250000000000004</v>
      </c>
      <c r="AY50">
        <f t="shared" si="21"/>
        <v>2.0250000000000004</v>
      </c>
      <c r="AZ50">
        <f t="shared" si="21"/>
        <v>2.0250000000000004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1.7500000000000004</v>
      </c>
      <c r="D51">
        <f t="shared" si="17"/>
        <v>1.7500000000000004</v>
      </c>
      <c r="E51">
        <f t="shared" si="17"/>
        <v>1.7500000000000004</v>
      </c>
      <c r="F51">
        <f t="shared" si="17"/>
        <v>1.7500000000000004</v>
      </c>
      <c r="G51">
        <f t="shared" si="17"/>
        <v>1.7500000000000004</v>
      </c>
      <c r="H51">
        <f t="shared" si="17"/>
        <v>1.7500000000000004</v>
      </c>
      <c r="I51">
        <f t="shared" si="17"/>
        <v>1.7500000000000004</v>
      </c>
      <c r="J51">
        <f t="shared" si="17"/>
        <v>1.7500000000000004</v>
      </c>
      <c r="K51">
        <f t="shared" si="17"/>
        <v>1.7500000000000004</v>
      </c>
      <c r="L51">
        <f t="shared" si="17"/>
        <v>1.7500000000000004</v>
      </c>
      <c r="M51">
        <f t="shared" si="17"/>
        <v>1.7500000000000004</v>
      </c>
      <c r="N51">
        <f t="shared" si="18"/>
        <v>1.7500000000000004</v>
      </c>
      <c r="O51">
        <f t="shared" si="18"/>
        <v>1.7500000000000004</v>
      </c>
      <c r="P51">
        <f t="shared" si="18"/>
        <v>1.7500000000000004</v>
      </c>
      <c r="Q51">
        <f t="shared" si="18"/>
        <v>1.7500000000000004</v>
      </c>
      <c r="R51">
        <f t="shared" si="18"/>
        <v>1.7500000000000004</v>
      </c>
      <c r="S51">
        <f t="shared" si="18"/>
        <v>1.7500000000000004</v>
      </c>
      <c r="T51">
        <f t="shared" si="18"/>
        <v>1.7500000000000004</v>
      </c>
      <c r="U51">
        <f t="shared" si="18"/>
        <v>1.7500000000000004</v>
      </c>
      <c r="V51">
        <f t="shared" si="18"/>
        <v>1.7500000000000004</v>
      </c>
      <c r="W51">
        <f t="shared" si="18"/>
        <v>1.7500000000000004</v>
      </c>
      <c r="X51">
        <f t="shared" si="19"/>
        <v>1.7500000000000004</v>
      </c>
      <c r="Y51">
        <f t="shared" si="19"/>
        <v>1.7500000000000004</v>
      </c>
      <c r="Z51">
        <f t="shared" si="19"/>
        <v>1.7500000000000004</v>
      </c>
      <c r="AA51">
        <f t="shared" si="19"/>
        <v>1.7500000000000004</v>
      </c>
      <c r="AB51">
        <f t="shared" si="19"/>
        <v>1.7500000000000004</v>
      </c>
      <c r="AC51">
        <f t="shared" si="19"/>
        <v>1.7500000000000004</v>
      </c>
      <c r="AD51">
        <f t="shared" si="19"/>
        <v>1.7500000000000004</v>
      </c>
      <c r="AE51">
        <f t="shared" si="19"/>
        <v>1.7500000000000004</v>
      </c>
      <c r="AF51">
        <f t="shared" si="19"/>
        <v>1.7500000000000004</v>
      </c>
      <c r="AG51">
        <f t="shared" si="19"/>
        <v>1.7500000000000004</v>
      </c>
      <c r="AH51">
        <f t="shared" si="20"/>
        <v>1.7500000000000004</v>
      </c>
      <c r="AI51">
        <f t="shared" si="20"/>
        <v>1.7500000000000004</v>
      </c>
      <c r="AJ51">
        <f t="shared" si="20"/>
        <v>1.7500000000000004</v>
      </c>
      <c r="AK51">
        <f t="shared" si="20"/>
        <v>1.7500000000000004</v>
      </c>
      <c r="AL51">
        <f t="shared" si="20"/>
        <v>1.7500000000000004</v>
      </c>
      <c r="AM51">
        <f t="shared" si="20"/>
        <v>1.7500000000000004</v>
      </c>
      <c r="AN51">
        <f t="shared" si="20"/>
        <v>1.7500000000000004</v>
      </c>
      <c r="AO51">
        <f t="shared" si="20"/>
        <v>1.7500000000000004</v>
      </c>
      <c r="AP51">
        <f t="shared" si="20"/>
        <v>1.7500000000000004</v>
      </c>
      <c r="AQ51">
        <f t="shared" si="20"/>
        <v>1.7500000000000004</v>
      </c>
      <c r="AR51">
        <f t="shared" si="21"/>
        <v>1.7500000000000004</v>
      </c>
      <c r="AS51">
        <f t="shared" si="21"/>
        <v>1.7500000000000004</v>
      </c>
      <c r="AT51">
        <f t="shared" si="21"/>
        <v>1.7500000000000004</v>
      </c>
      <c r="AU51">
        <f t="shared" si="21"/>
        <v>1.7500000000000004</v>
      </c>
      <c r="AV51">
        <f t="shared" si="21"/>
        <v>1.7500000000000004</v>
      </c>
      <c r="AW51">
        <f t="shared" si="21"/>
        <v>1.7500000000000004</v>
      </c>
      <c r="AX51">
        <f t="shared" si="21"/>
        <v>1.7500000000000004</v>
      </c>
      <c r="AY51">
        <f t="shared" si="21"/>
        <v>1.7500000000000004</v>
      </c>
      <c r="AZ51">
        <f t="shared" si="21"/>
        <v>1.7500000000000004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1.4950000000000003</v>
      </c>
      <c r="D52">
        <f t="shared" si="17"/>
        <v>1.4950000000000003</v>
      </c>
      <c r="E52">
        <f t="shared" si="17"/>
        <v>1.4950000000000003</v>
      </c>
      <c r="F52">
        <f t="shared" si="17"/>
        <v>1.4950000000000003</v>
      </c>
      <c r="G52">
        <f t="shared" si="17"/>
        <v>1.4950000000000003</v>
      </c>
      <c r="H52">
        <f t="shared" si="17"/>
        <v>1.4950000000000003</v>
      </c>
      <c r="I52">
        <f t="shared" si="17"/>
        <v>1.4950000000000003</v>
      </c>
      <c r="J52">
        <f t="shared" si="17"/>
        <v>1.4950000000000003</v>
      </c>
      <c r="K52">
        <f t="shared" si="17"/>
        <v>1.4950000000000003</v>
      </c>
      <c r="L52">
        <f t="shared" si="17"/>
        <v>1.4950000000000003</v>
      </c>
      <c r="M52">
        <f t="shared" si="17"/>
        <v>1.4950000000000003</v>
      </c>
      <c r="N52">
        <f t="shared" si="18"/>
        <v>1.4950000000000003</v>
      </c>
      <c r="O52">
        <f t="shared" si="18"/>
        <v>1.4950000000000003</v>
      </c>
      <c r="P52">
        <f t="shared" si="18"/>
        <v>1.4950000000000003</v>
      </c>
      <c r="Q52">
        <f t="shared" si="18"/>
        <v>1.4950000000000003</v>
      </c>
      <c r="R52">
        <f t="shared" si="18"/>
        <v>1.4950000000000003</v>
      </c>
      <c r="S52">
        <f t="shared" si="18"/>
        <v>1.4950000000000003</v>
      </c>
      <c r="T52">
        <f t="shared" si="18"/>
        <v>1.4950000000000003</v>
      </c>
      <c r="U52">
        <f t="shared" si="18"/>
        <v>1.4950000000000003</v>
      </c>
      <c r="V52">
        <f t="shared" si="18"/>
        <v>1.4950000000000003</v>
      </c>
      <c r="W52">
        <f t="shared" si="18"/>
        <v>1.4950000000000003</v>
      </c>
      <c r="X52">
        <f t="shared" si="19"/>
        <v>1.4950000000000003</v>
      </c>
      <c r="Y52">
        <f t="shared" si="19"/>
        <v>1.4950000000000003</v>
      </c>
      <c r="Z52">
        <f t="shared" si="19"/>
        <v>1.4950000000000003</v>
      </c>
      <c r="AA52">
        <f t="shared" si="19"/>
        <v>1.4950000000000003</v>
      </c>
      <c r="AB52">
        <f t="shared" si="19"/>
        <v>1.4950000000000003</v>
      </c>
      <c r="AC52">
        <f t="shared" si="19"/>
        <v>1.4950000000000003</v>
      </c>
      <c r="AD52">
        <f t="shared" si="19"/>
        <v>1.4950000000000003</v>
      </c>
      <c r="AE52">
        <f t="shared" si="19"/>
        <v>1.4950000000000003</v>
      </c>
      <c r="AF52">
        <f t="shared" si="19"/>
        <v>1.4950000000000003</v>
      </c>
      <c r="AG52">
        <f t="shared" si="19"/>
        <v>1.4950000000000003</v>
      </c>
      <c r="AH52">
        <f t="shared" si="20"/>
        <v>1.4950000000000003</v>
      </c>
      <c r="AI52">
        <f t="shared" si="20"/>
        <v>1.4950000000000003</v>
      </c>
      <c r="AJ52">
        <f t="shared" si="20"/>
        <v>1.4950000000000003</v>
      </c>
      <c r="AK52">
        <f t="shared" si="20"/>
        <v>1.4950000000000003</v>
      </c>
      <c r="AL52">
        <f t="shared" si="20"/>
        <v>1.4950000000000003</v>
      </c>
      <c r="AM52">
        <f t="shared" si="20"/>
        <v>1.4950000000000003</v>
      </c>
      <c r="AN52">
        <f t="shared" si="20"/>
        <v>1.4950000000000003</v>
      </c>
      <c r="AO52">
        <f t="shared" si="20"/>
        <v>1.4950000000000003</v>
      </c>
      <c r="AP52">
        <f t="shared" si="20"/>
        <v>1.4950000000000003</v>
      </c>
      <c r="AQ52">
        <f t="shared" si="20"/>
        <v>1.4950000000000003</v>
      </c>
      <c r="AR52">
        <f t="shared" si="21"/>
        <v>1.4950000000000003</v>
      </c>
      <c r="AS52">
        <f t="shared" si="21"/>
        <v>1.4950000000000003</v>
      </c>
      <c r="AT52">
        <f t="shared" si="21"/>
        <v>1.4950000000000003</v>
      </c>
      <c r="AU52">
        <f t="shared" si="21"/>
        <v>1.4950000000000003</v>
      </c>
      <c r="AV52">
        <f t="shared" si="21"/>
        <v>1.4950000000000003</v>
      </c>
      <c r="AW52">
        <f t="shared" si="21"/>
        <v>1.4950000000000003</v>
      </c>
      <c r="AX52">
        <f t="shared" si="21"/>
        <v>1.4950000000000003</v>
      </c>
      <c r="AY52">
        <f t="shared" si="21"/>
        <v>1.4950000000000003</v>
      </c>
      <c r="AZ52">
        <f t="shared" si="21"/>
        <v>1.4950000000000003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1.2600000000000005</v>
      </c>
      <c r="D53">
        <f t="shared" si="17"/>
        <v>1.2600000000000005</v>
      </c>
      <c r="E53">
        <f t="shared" si="17"/>
        <v>1.2600000000000005</v>
      </c>
      <c r="F53">
        <f t="shared" si="17"/>
        <v>1.2600000000000005</v>
      </c>
      <c r="G53">
        <f t="shared" si="17"/>
        <v>1.2600000000000005</v>
      </c>
      <c r="H53">
        <f t="shared" si="17"/>
        <v>1.2600000000000005</v>
      </c>
      <c r="I53">
        <f t="shared" si="17"/>
        <v>1.2600000000000005</v>
      </c>
      <c r="J53">
        <f t="shared" si="17"/>
        <v>1.2600000000000005</v>
      </c>
      <c r="K53">
        <f t="shared" si="17"/>
        <v>1.2600000000000005</v>
      </c>
      <c r="L53">
        <f t="shared" si="17"/>
        <v>1.2600000000000005</v>
      </c>
      <c r="M53">
        <f t="shared" si="17"/>
        <v>1.2600000000000005</v>
      </c>
      <c r="N53">
        <f t="shared" si="18"/>
        <v>1.2600000000000005</v>
      </c>
      <c r="O53">
        <f t="shared" si="18"/>
        <v>1.2600000000000005</v>
      </c>
      <c r="P53">
        <f t="shared" si="18"/>
        <v>1.2600000000000005</v>
      </c>
      <c r="Q53">
        <f t="shared" si="18"/>
        <v>1.2600000000000005</v>
      </c>
      <c r="R53">
        <f t="shared" si="18"/>
        <v>1.2600000000000005</v>
      </c>
      <c r="S53">
        <f t="shared" si="18"/>
        <v>1.2600000000000005</v>
      </c>
      <c r="T53">
        <f t="shared" si="18"/>
        <v>1.2600000000000005</v>
      </c>
      <c r="U53">
        <f t="shared" si="18"/>
        <v>1.2600000000000005</v>
      </c>
      <c r="V53">
        <f t="shared" si="18"/>
        <v>1.2600000000000005</v>
      </c>
      <c r="W53">
        <f t="shared" si="18"/>
        <v>1.2600000000000005</v>
      </c>
      <c r="X53">
        <f t="shared" si="19"/>
        <v>1.2600000000000005</v>
      </c>
      <c r="Y53">
        <f t="shared" si="19"/>
        <v>1.2600000000000005</v>
      </c>
      <c r="Z53">
        <f t="shared" si="19"/>
        <v>1.2600000000000005</v>
      </c>
      <c r="AA53">
        <f t="shared" si="19"/>
        <v>1.2600000000000005</v>
      </c>
      <c r="AB53">
        <f t="shared" si="19"/>
        <v>1.2600000000000005</v>
      </c>
      <c r="AC53">
        <f t="shared" si="19"/>
        <v>1.2600000000000005</v>
      </c>
      <c r="AD53">
        <f t="shared" si="19"/>
        <v>1.2600000000000005</v>
      </c>
      <c r="AE53">
        <f t="shared" si="19"/>
        <v>1.2600000000000005</v>
      </c>
      <c r="AF53">
        <f t="shared" si="19"/>
        <v>1.2600000000000005</v>
      </c>
      <c r="AG53">
        <f t="shared" si="19"/>
        <v>1.2600000000000005</v>
      </c>
      <c r="AH53">
        <f t="shared" si="20"/>
        <v>1.2600000000000005</v>
      </c>
      <c r="AI53">
        <f t="shared" si="20"/>
        <v>1.2600000000000005</v>
      </c>
      <c r="AJ53">
        <f t="shared" si="20"/>
        <v>1.2600000000000005</v>
      </c>
      <c r="AK53">
        <f t="shared" si="20"/>
        <v>1.2600000000000005</v>
      </c>
      <c r="AL53">
        <f t="shared" si="20"/>
        <v>1.2600000000000005</v>
      </c>
      <c r="AM53">
        <f t="shared" si="20"/>
        <v>1.2600000000000005</v>
      </c>
      <c r="AN53">
        <f t="shared" si="20"/>
        <v>1.2600000000000005</v>
      </c>
      <c r="AO53">
        <f t="shared" si="20"/>
        <v>1.2600000000000005</v>
      </c>
      <c r="AP53">
        <f t="shared" si="20"/>
        <v>1.2600000000000005</v>
      </c>
      <c r="AQ53">
        <f t="shared" si="20"/>
        <v>1.2600000000000005</v>
      </c>
      <c r="AR53">
        <f t="shared" si="21"/>
        <v>1.2600000000000005</v>
      </c>
      <c r="AS53">
        <f t="shared" si="21"/>
        <v>1.2600000000000005</v>
      </c>
      <c r="AT53">
        <f t="shared" si="21"/>
        <v>1.2600000000000005</v>
      </c>
      <c r="AU53">
        <f t="shared" si="21"/>
        <v>1.2600000000000005</v>
      </c>
      <c r="AV53">
        <f t="shared" si="21"/>
        <v>1.2600000000000005</v>
      </c>
      <c r="AW53">
        <f t="shared" si="21"/>
        <v>1.2600000000000005</v>
      </c>
      <c r="AX53">
        <f t="shared" si="21"/>
        <v>1.2600000000000005</v>
      </c>
      <c r="AY53">
        <f t="shared" si="21"/>
        <v>1.2600000000000005</v>
      </c>
      <c r="AZ53">
        <f t="shared" si="21"/>
        <v>1.2600000000000005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1.0450000000000002</v>
      </c>
      <c r="D54">
        <f t="shared" si="17"/>
        <v>1.0450000000000002</v>
      </c>
      <c r="E54">
        <f t="shared" si="17"/>
        <v>1.0450000000000002</v>
      </c>
      <c r="F54">
        <f t="shared" si="17"/>
        <v>1.0450000000000002</v>
      </c>
      <c r="G54">
        <f t="shared" si="17"/>
        <v>1.0450000000000002</v>
      </c>
      <c r="H54">
        <f t="shared" si="17"/>
        <v>1.0450000000000002</v>
      </c>
      <c r="I54">
        <f t="shared" si="17"/>
        <v>1.0450000000000002</v>
      </c>
      <c r="J54">
        <f t="shared" si="17"/>
        <v>1.0450000000000002</v>
      </c>
      <c r="K54">
        <f t="shared" si="17"/>
        <v>1.0450000000000002</v>
      </c>
      <c r="L54">
        <f t="shared" si="17"/>
        <v>1.0450000000000002</v>
      </c>
      <c r="M54">
        <f t="shared" si="17"/>
        <v>1.0450000000000002</v>
      </c>
      <c r="N54">
        <f t="shared" si="18"/>
        <v>1.0450000000000002</v>
      </c>
      <c r="O54">
        <f t="shared" si="18"/>
        <v>1.0450000000000002</v>
      </c>
      <c r="P54">
        <f t="shared" si="18"/>
        <v>1.0450000000000002</v>
      </c>
      <c r="Q54">
        <f t="shared" si="18"/>
        <v>1.0450000000000002</v>
      </c>
      <c r="R54">
        <f t="shared" si="18"/>
        <v>1.0450000000000002</v>
      </c>
      <c r="S54">
        <f t="shared" si="18"/>
        <v>1.0450000000000002</v>
      </c>
      <c r="T54">
        <f t="shared" si="18"/>
        <v>1.0450000000000002</v>
      </c>
      <c r="U54">
        <f t="shared" si="18"/>
        <v>1.0450000000000002</v>
      </c>
      <c r="V54">
        <f t="shared" si="18"/>
        <v>1.0450000000000002</v>
      </c>
      <c r="W54">
        <f t="shared" si="18"/>
        <v>1.0450000000000002</v>
      </c>
      <c r="X54">
        <f t="shared" si="19"/>
        <v>1.0450000000000002</v>
      </c>
      <c r="Y54">
        <f t="shared" si="19"/>
        <v>1.0450000000000002</v>
      </c>
      <c r="Z54">
        <f t="shared" si="19"/>
        <v>1.0450000000000002</v>
      </c>
      <c r="AA54">
        <f t="shared" si="19"/>
        <v>1.0450000000000002</v>
      </c>
      <c r="AB54">
        <f t="shared" si="19"/>
        <v>1.0450000000000002</v>
      </c>
      <c r="AC54">
        <f t="shared" si="19"/>
        <v>1.0450000000000002</v>
      </c>
      <c r="AD54">
        <f t="shared" si="19"/>
        <v>1.0450000000000002</v>
      </c>
      <c r="AE54">
        <f t="shared" si="19"/>
        <v>1.0450000000000002</v>
      </c>
      <c r="AF54">
        <f t="shared" si="19"/>
        <v>1.0450000000000002</v>
      </c>
      <c r="AG54">
        <f t="shared" si="19"/>
        <v>1.0450000000000002</v>
      </c>
      <c r="AH54">
        <f t="shared" si="20"/>
        <v>1.0450000000000002</v>
      </c>
      <c r="AI54">
        <f t="shared" si="20"/>
        <v>1.0450000000000002</v>
      </c>
      <c r="AJ54">
        <f t="shared" si="20"/>
        <v>1.0450000000000002</v>
      </c>
      <c r="AK54">
        <f t="shared" si="20"/>
        <v>1.0450000000000002</v>
      </c>
      <c r="AL54">
        <f t="shared" si="20"/>
        <v>1.0450000000000002</v>
      </c>
      <c r="AM54">
        <f t="shared" si="20"/>
        <v>1.0450000000000002</v>
      </c>
      <c r="AN54">
        <f t="shared" si="20"/>
        <v>1.0450000000000002</v>
      </c>
      <c r="AO54">
        <f t="shared" si="20"/>
        <v>1.0450000000000002</v>
      </c>
      <c r="AP54">
        <f t="shared" si="20"/>
        <v>1.0450000000000002</v>
      </c>
      <c r="AQ54">
        <f t="shared" si="20"/>
        <v>1.0450000000000002</v>
      </c>
      <c r="AR54">
        <f t="shared" si="21"/>
        <v>1.0450000000000002</v>
      </c>
      <c r="AS54">
        <f t="shared" si="21"/>
        <v>1.0450000000000002</v>
      </c>
      <c r="AT54">
        <f t="shared" si="21"/>
        <v>1.0450000000000002</v>
      </c>
      <c r="AU54">
        <f t="shared" si="21"/>
        <v>1.0450000000000002</v>
      </c>
      <c r="AV54">
        <f t="shared" si="21"/>
        <v>1.0450000000000002</v>
      </c>
      <c r="AW54">
        <f t="shared" si="21"/>
        <v>1.0450000000000002</v>
      </c>
      <c r="AX54">
        <f t="shared" si="21"/>
        <v>1.0450000000000002</v>
      </c>
      <c r="AY54">
        <f t="shared" si="21"/>
        <v>1.0450000000000002</v>
      </c>
      <c r="AZ54">
        <f t="shared" si="21"/>
        <v>1.0450000000000002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0.8500000000000002</v>
      </c>
      <c r="D55">
        <f t="shared" si="17"/>
        <v>0.8500000000000002</v>
      </c>
      <c r="E55">
        <f t="shared" si="17"/>
        <v>0.8500000000000002</v>
      </c>
      <c r="F55">
        <f t="shared" si="17"/>
        <v>0.8500000000000002</v>
      </c>
      <c r="G55">
        <f t="shared" si="17"/>
        <v>0.8500000000000002</v>
      </c>
      <c r="H55">
        <f t="shared" si="17"/>
        <v>0.8500000000000002</v>
      </c>
      <c r="I55">
        <f t="shared" si="17"/>
        <v>0.8500000000000002</v>
      </c>
      <c r="J55">
        <f t="shared" si="17"/>
        <v>0.8500000000000002</v>
      </c>
      <c r="K55">
        <f t="shared" si="17"/>
        <v>0.8500000000000002</v>
      </c>
      <c r="L55">
        <f t="shared" si="17"/>
        <v>0.8500000000000002</v>
      </c>
      <c r="M55">
        <f t="shared" si="17"/>
        <v>0.8500000000000002</v>
      </c>
      <c r="N55">
        <f t="shared" si="18"/>
        <v>0.8500000000000002</v>
      </c>
      <c r="O55">
        <f t="shared" si="18"/>
        <v>0.8500000000000002</v>
      </c>
      <c r="P55">
        <f t="shared" si="18"/>
        <v>0.8500000000000002</v>
      </c>
      <c r="Q55">
        <f t="shared" si="18"/>
        <v>0.8500000000000002</v>
      </c>
      <c r="R55">
        <f t="shared" si="18"/>
        <v>0.8500000000000002</v>
      </c>
      <c r="S55">
        <f t="shared" si="18"/>
        <v>0.8500000000000002</v>
      </c>
      <c r="T55">
        <f t="shared" si="18"/>
        <v>0.8500000000000002</v>
      </c>
      <c r="U55">
        <f t="shared" si="18"/>
        <v>0.8500000000000002</v>
      </c>
      <c r="V55">
        <f t="shared" si="18"/>
        <v>0.8500000000000002</v>
      </c>
      <c r="W55">
        <f t="shared" si="18"/>
        <v>0.8500000000000002</v>
      </c>
      <c r="X55">
        <f t="shared" si="19"/>
        <v>0.8500000000000002</v>
      </c>
      <c r="Y55">
        <f t="shared" si="19"/>
        <v>0.8500000000000002</v>
      </c>
      <c r="Z55">
        <f t="shared" si="19"/>
        <v>0.8500000000000002</v>
      </c>
      <c r="AA55">
        <f t="shared" si="19"/>
        <v>0.8500000000000002</v>
      </c>
      <c r="AB55">
        <f t="shared" si="19"/>
        <v>0.8500000000000002</v>
      </c>
      <c r="AC55">
        <f t="shared" si="19"/>
        <v>0.8500000000000002</v>
      </c>
      <c r="AD55">
        <f t="shared" si="19"/>
        <v>0.8500000000000002</v>
      </c>
      <c r="AE55">
        <f t="shared" si="19"/>
        <v>0.8500000000000002</v>
      </c>
      <c r="AF55">
        <f t="shared" si="19"/>
        <v>0.8500000000000002</v>
      </c>
      <c r="AG55">
        <f t="shared" si="19"/>
        <v>0.8500000000000002</v>
      </c>
      <c r="AH55">
        <f t="shared" si="20"/>
        <v>0.8500000000000002</v>
      </c>
      <c r="AI55">
        <f t="shared" si="20"/>
        <v>0.8500000000000002</v>
      </c>
      <c r="AJ55">
        <f t="shared" si="20"/>
        <v>0.8500000000000002</v>
      </c>
      <c r="AK55">
        <f t="shared" si="20"/>
        <v>0.8500000000000002</v>
      </c>
      <c r="AL55">
        <f t="shared" si="20"/>
        <v>0.8500000000000002</v>
      </c>
      <c r="AM55">
        <f t="shared" si="20"/>
        <v>0.8500000000000002</v>
      </c>
      <c r="AN55">
        <f t="shared" si="20"/>
        <v>0.8500000000000002</v>
      </c>
      <c r="AO55">
        <f t="shared" si="20"/>
        <v>0.8500000000000002</v>
      </c>
      <c r="AP55">
        <f t="shared" si="20"/>
        <v>0.8500000000000002</v>
      </c>
      <c r="AQ55">
        <f t="shared" si="20"/>
        <v>0.8500000000000002</v>
      </c>
      <c r="AR55">
        <f t="shared" si="21"/>
        <v>0.8500000000000002</v>
      </c>
      <c r="AS55">
        <f t="shared" si="21"/>
        <v>0.8500000000000002</v>
      </c>
      <c r="AT55">
        <f t="shared" si="21"/>
        <v>0.8500000000000002</v>
      </c>
      <c r="AU55">
        <f t="shared" si="21"/>
        <v>0.8500000000000002</v>
      </c>
      <c r="AV55">
        <f t="shared" si="21"/>
        <v>0.8500000000000002</v>
      </c>
      <c r="AW55">
        <f t="shared" si="21"/>
        <v>0.8500000000000002</v>
      </c>
      <c r="AX55">
        <f t="shared" si="21"/>
        <v>0.8500000000000002</v>
      </c>
      <c r="AY55">
        <f t="shared" si="21"/>
        <v>0.8500000000000002</v>
      </c>
      <c r="AZ55">
        <f t="shared" si="21"/>
        <v>0.8500000000000002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M64" si="23">0.25*(sigma^2*$A56^2-(rate-d)*$A56)</f>
        <v>0.67500000000000016</v>
      </c>
      <c r="D56">
        <f t="shared" si="23"/>
        <v>0.67500000000000016</v>
      </c>
      <c r="E56">
        <f t="shared" si="23"/>
        <v>0.67500000000000016</v>
      </c>
      <c r="F56">
        <f t="shared" si="23"/>
        <v>0.67500000000000016</v>
      </c>
      <c r="G56">
        <f t="shared" si="23"/>
        <v>0.67500000000000016</v>
      </c>
      <c r="H56">
        <f t="shared" si="23"/>
        <v>0.67500000000000016</v>
      </c>
      <c r="I56">
        <f t="shared" si="23"/>
        <v>0.67500000000000016</v>
      </c>
      <c r="J56">
        <f t="shared" si="23"/>
        <v>0.67500000000000016</v>
      </c>
      <c r="K56">
        <f t="shared" si="23"/>
        <v>0.67500000000000016</v>
      </c>
      <c r="L56">
        <f t="shared" si="23"/>
        <v>0.67500000000000016</v>
      </c>
      <c r="M56">
        <f t="shared" si="23"/>
        <v>0.67500000000000016</v>
      </c>
      <c r="N56">
        <f t="shared" ref="N56:W64" si="24">0.25*(sigma^2*$A56^2-(rate-d)*$A56)</f>
        <v>0.67500000000000016</v>
      </c>
      <c r="O56">
        <f t="shared" si="24"/>
        <v>0.67500000000000016</v>
      </c>
      <c r="P56">
        <f t="shared" si="24"/>
        <v>0.67500000000000016</v>
      </c>
      <c r="Q56">
        <f t="shared" si="24"/>
        <v>0.67500000000000016</v>
      </c>
      <c r="R56">
        <f t="shared" si="24"/>
        <v>0.67500000000000016</v>
      </c>
      <c r="S56">
        <f t="shared" si="24"/>
        <v>0.67500000000000016</v>
      </c>
      <c r="T56">
        <f t="shared" si="24"/>
        <v>0.67500000000000016</v>
      </c>
      <c r="U56">
        <f t="shared" si="24"/>
        <v>0.67500000000000016</v>
      </c>
      <c r="V56">
        <f t="shared" si="24"/>
        <v>0.67500000000000016</v>
      </c>
      <c r="W56">
        <f t="shared" si="24"/>
        <v>0.67500000000000016</v>
      </c>
      <c r="X56">
        <f t="shared" ref="X56:AG64" si="25">0.25*(sigma^2*$A56^2-(rate-d)*$A56)</f>
        <v>0.67500000000000016</v>
      </c>
      <c r="Y56">
        <f t="shared" si="25"/>
        <v>0.67500000000000016</v>
      </c>
      <c r="Z56">
        <f t="shared" si="25"/>
        <v>0.67500000000000016</v>
      </c>
      <c r="AA56">
        <f t="shared" si="25"/>
        <v>0.67500000000000016</v>
      </c>
      <c r="AB56">
        <f t="shared" si="25"/>
        <v>0.67500000000000016</v>
      </c>
      <c r="AC56">
        <f t="shared" si="25"/>
        <v>0.67500000000000016</v>
      </c>
      <c r="AD56">
        <f t="shared" si="25"/>
        <v>0.67500000000000016</v>
      </c>
      <c r="AE56">
        <f t="shared" si="25"/>
        <v>0.67500000000000016</v>
      </c>
      <c r="AF56">
        <f t="shared" si="25"/>
        <v>0.67500000000000016</v>
      </c>
      <c r="AG56">
        <f t="shared" si="25"/>
        <v>0.67500000000000016</v>
      </c>
      <c r="AH56">
        <f t="shared" ref="AH56:AQ64" si="26">0.25*(sigma^2*$A56^2-(rate-d)*$A56)</f>
        <v>0.67500000000000016</v>
      </c>
      <c r="AI56">
        <f t="shared" si="26"/>
        <v>0.67500000000000016</v>
      </c>
      <c r="AJ56">
        <f t="shared" si="26"/>
        <v>0.67500000000000016</v>
      </c>
      <c r="AK56">
        <f t="shared" si="26"/>
        <v>0.67500000000000016</v>
      </c>
      <c r="AL56">
        <f t="shared" si="26"/>
        <v>0.67500000000000016</v>
      </c>
      <c r="AM56">
        <f t="shared" si="26"/>
        <v>0.67500000000000016</v>
      </c>
      <c r="AN56">
        <f t="shared" si="26"/>
        <v>0.67500000000000016</v>
      </c>
      <c r="AO56">
        <f t="shared" si="26"/>
        <v>0.67500000000000016</v>
      </c>
      <c r="AP56">
        <f t="shared" si="26"/>
        <v>0.67500000000000016</v>
      </c>
      <c r="AQ56">
        <f t="shared" si="26"/>
        <v>0.67500000000000016</v>
      </c>
      <c r="AR56">
        <f t="shared" ref="AR56:AZ64" si="27">0.25*(sigma^2*$A56^2-(rate-d)*$A56)</f>
        <v>0.67500000000000016</v>
      </c>
      <c r="AS56">
        <f t="shared" si="27"/>
        <v>0.67500000000000016</v>
      </c>
      <c r="AT56">
        <f t="shared" si="27"/>
        <v>0.67500000000000016</v>
      </c>
      <c r="AU56">
        <f t="shared" si="27"/>
        <v>0.67500000000000016</v>
      </c>
      <c r="AV56">
        <f t="shared" si="27"/>
        <v>0.67500000000000016</v>
      </c>
      <c r="AW56">
        <f t="shared" si="27"/>
        <v>0.67500000000000016</v>
      </c>
      <c r="AX56">
        <f t="shared" si="27"/>
        <v>0.67500000000000016</v>
      </c>
      <c r="AY56">
        <f t="shared" si="27"/>
        <v>0.67500000000000016</v>
      </c>
      <c r="AZ56">
        <f t="shared" si="27"/>
        <v>0.67500000000000016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0.52000000000000013</v>
      </c>
      <c r="D57">
        <f t="shared" si="23"/>
        <v>0.52000000000000013</v>
      </c>
      <c r="E57">
        <f t="shared" si="23"/>
        <v>0.52000000000000013</v>
      </c>
      <c r="F57">
        <f t="shared" si="23"/>
        <v>0.52000000000000013</v>
      </c>
      <c r="G57">
        <f t="shared" si="23"/>
        <v>0.52000000000000013</v>
      </c>
      <c r="H57">
        <f t="shared" si="23"/>
        <v>0.52000000000000013</v>
      </c>
      <c r="I57">
        <f t="shared" si="23"/>
        <v>0.52000000000000013</v>
      </c>
      <c r="J57">
        <f t="shared" si="23"/>
        <v>0.52000000000000013</v>
      </c>
      <c r="K57">
        <f t="shared" si="23"/>
        <v>0.52000000000000013</v>
      </c>
      <c r="L57">
        <f t="shared" si="23"/>
        <v>0.52000000000000013</v>
      </c>
      <c r="M57">
        <f t="shared" si="23"/>
        <v>0.52000000000000013</v>
      </c>
      <c r="N57">
        <f t="shared" si="24"/>
        <v>0.52000000000000013</v>
      </c>
      <c r="O57">
        <f t="shared" si="24"/>
        <v>0.52000000000000013</v>
      </c>
      <c r="P57">
        <f t="shared" si="24"/>
        <v>0.52000000000000013</v>
      </c>
      <c r="Q57">
        <f t="shared" si="24"/>
        <v>0.52000000000000013</v>
      </c>
      <c r="R57">
        <f t="shared" si="24"/>
        <v>0.52000000000000013</v>
      </c>
      <c r="S57">
        <f t="shared" si="24"/>
        <v>0.52000000000000013</v>
      </c>
      <c r="T57">
        <f t="shared" si="24"/>
        <v>0.52000000000000013</v>
      </c>
      <c r="U57">
        <f t="shared" si="24"/>
        <v>0.52000000000000013</v>
      </c>
      <c r="V57">
        <f t="shared" si="24"/>
        <v>0.52000000000000013</v>
      </c>
      <c r="W57">
        <f t="shared" si="24"/>
        <v>0.52000000000000013</v>
      </c>
      <c r="X57">
        <f t="shared" si="25"/>
        <v>0.52000000000000013</v>
      </c>
      <c r="Y57">
        <f t="shared" si="25"/>
        <v>0.52000000000000013</v>
      </c>
      <c r="Z57">
        <f t="shared" si="25"/>
        <v>0.52000000000000013</v>
      </c>
      <c r="AA57">
        <f t="shared" si="25"/>
        <v>0.52000000000000013</v>
      </c>
      <c r="AB57">
        <f t="shared" si="25"/>
        <v>0.52000000000000013</v>
      </c>
      <c r="AC57">
        <f t="shared" si="25"/>
        <v>0.52000000000000013</v>
      </c>
      <c r="AD57">
        <f t="shared" si="25"/>
        <v>0.52000000000000013</v>
      </c>
      <c r="AE57">
        <f t="shared" si="25"/>
        <v>0.52000000000000013</v>
      </c>
      <c r="AF57">
        <f t="shared" si="25"/>
        <v>0.52000000000000013</v>
      </c>
      <c r="AG57">
        <f t="shared" si="25"/>
        <v>0.52000000000000013</v>
      </c>
      <c r="AH57">
        <f t="shared" si="26"/>
        <v>0.52000000000000013</v>
      </c>
      <c r="AI57">
        <f t="shared" si="26"/>
        <v>0.52000000000000013</v>
      </c>
      <c r="AJ57">
        <f t="shared" si="26"/>
        <v>0.52000000000000013</v>
      </c>
      <c r="AK57">
        <f t="shared" si="26"/>
        <v>0.52000000000000013</v>
      </c>
      <c r="AL57">
        <f t="shared" si="26"/>
        <v>0.52000000000000013</v>
      </c>
      <c r="AM57">
        <f t="shared" si="26"/>
        <v>0.52000000000000013</v>
      </c>
      <c r="AN57">
        <f t="shared" si="26"/>
        <v>0.52000000000000013</v>
      </c>
      <c r="AO57">
        <f t="shared" si="26"/>
        <v>0.52000000000000013</v>
      </c>
      <c r="AP57">
        <f t="shared" si="26"/>
        <v>0.52000000000000013</v>
      </c>
      <c r="AQ57">
        <f t="shared" si="26"/>
        <v>0.52000000000000013</v>
      </c>
      <c r="AR57">
        <f t="shared" si="27"/>
        <v>0.52000000000000013</v>
      </c>
      <c r="AS57">
        <f t="shared" si="27"/>
        <v>0.52000000000000013</v>
      </c>
      <c r="AT57">
        <f t="shared" si="27"/>
        <v>0.52000000000000013</v>
      </c>
      <c r="AU57">
        <f t="shared" si="27"/>
        <v>0.52000000000000013</v>
      </c>
      <c r="AV57">
        <f t="shared" si="27"/>
        <v>0.52000000000000013</v>
      </c>
      <c r="AW57">
        <f t="shared" si="27"/>
        <v>0.52000000000000013</v>
      </c>
      <c r="AX57">
        <f t="shared" si="27"/>
        <v>0.52000000000000013</v>
      </c>
      <c r="AY57">
        <f t="shared" si="27"/>
        <v>0.52000000000000013</v>
      </c>
      <c r="AZ57">
        <f t="shared" si="27"/>
        <v>0.52000000000000013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0.38500000000000012</v>
      </c>
      <c r="D58">
        <f t="shared" si="23"/>
        <v>0.38500000000000012</v>
      </c>
      <c r="E58">
        <f t="shared" si="23"/>
        <v>0.38500000000000012</v>
      </c>
      <c r="F58">
        <f t="shared" si="23"/>
        <v>0.38500000000000012</v>
      </c>
      <c r="G58">
        <f t="shared" si="23"/>
        <v>0.38500000000000012</v>
      </c>
      <c r="H58">
        <f t="shared" si="23"/>
        <v>0.38500000000000012</v>
      </c>
      <c r="I58">
        <f t="shared" si="23"/>
        <v>0.38500000000000012</v>
      </c>
      <c r="J58">
        <f t="shared" si="23"/>
        <v>0.38500000000000012</v>
      </c>
      <c r="K58">
        <f t="shared" si="23"/>
        <v>0.38500000000000012</v>
      </c>
      <c r="L58">
        <f t="shared" si="23"/>
        <v>0.38500000000000012</v>
      </c>
      <c r="M58">
        <f t="shared" si="23"/>
        <v>0.38500000000000012</v>
      </c>
      <c r="N58">
        <f t="shared" si="24"/>
        <v>0.38500000000000012</v>
      </c>
      <c r="O58">
        <f t="shared" si="24"/>
        <v>0.38500000000000012</v>
      </c>
      <c r="P58">
        <f t="shared" si="24"/>
        <v>0.38500000000000012</v>
      </c>
      <c r="Q58">
        <f t="shared" si="24"/>
        <v>0.38500000000000012</v>
      </c>
      <c r="R58">
        <f t="shared" si="24"/>
        <v>0.38500000000000012</v>
      </c>
      <c r="S58">
        <f t="shared" si="24"/>
        <v>0.38500000000000012</v>
      </c>
      <c r="T58">
        <f t="shared" si="24"/>
        <v>0.38500000000000012</v>
      </c>
      <c r="U58">
        <f t="shared" si="24"/>
        <v>0.38500000000000012</v>
      </c>
      <c r="V58">
        <f t="shared" si="24"/>
        <v>0.38500000000000012</v>
      </c>
      <c r="W58">
        <f t="shared" si="24"/>
        <v>0.38500000000000012</v>
      </c>
      <c r="X58">
        <f t="shared" si="25"/>
        <v>0.38500000000000012</v>
      </c>
      <c r="Y58">
        <f t="shared" si="25"/>
        <v>0.38500000000000012</v>
      </c>
      <c r="Z58">
        <f t="shared" si="25"/>
        <v>0.38500000000000012</v>
      </c>
      <c r="AA58">
        <f t="shared" si="25"/>
        <v>0.38500000000000012</v>
      </c>
      <c r="AB58">
        <f t="shared" si="25"/>
        <v>0.38500000000000012</v>
      </c>
      <c r="AC58">
        <f t="shared" si="25"/>
        <v>0.38500000000000012</v>
      </c>
      <c r="AD58">
        <f t="shared" si="25"/>
        <v>0.38500000000000012</v>
      </c>
      <c r="AE58">
        <f t="shared" si="25"/>
        <v>0.38500000000000012</v>
      </c>
      <c r="AF58">
        <f t="shared" si="25"/>
        <v>0.38500000000000012</v>
      </c>
      <c r="AG58">
        <f t="shared" si="25"/>
        <v>0.38500000000000012</v>
      </c>
      <c r="AH58">
        <f t="shared" si="26"/>
        <v>0.38500000000000012</v>
      </c>
      <c r="AI58">
        <f t="shared" si="26"/>
        <v>0.38500000000000012</v>
      </c>
      <c r="AJ58">
        <f t="shared" si="26"/>
        <v>0.38500000000000012</v>
      </c>
      <c r="AK58">
        <f t="shared" si="26"/>
        <v>0.38500000000000012</v>
      </c>
      <c r="AL58">
        <f t="shared" si="26"/>
        <v>0.38500000000000012</v>
      </c>
      <c r="AM58">
        <f t="shared" si="26"/>
        <v>0.38500000000000012</v>
      </c>
      <c r="AN58">
        <f t="shared" si="26"/>
        <v>0.38500000000000012</v>
      </c>
      <c r="AO58">
        <f t="shared" si="26"/>
        <v>0.38500000000000012</v>
      </c>
      <c r="AP58">
        <f t="shared" si="26"/>
        <v>0.38500000000000012</v>
      </c>
      <c r="AQ58">
        <f t="shared" si="26"/>
        <v>0.38500000000000012</v>
      </c>
      <c r="AR58">
        <f t="shared" si="27"/>
        <v>0.38500000000000012</v>
      </c>
      <c r="AS58">
        <f t="shared" si="27"/>
        <v>0.38500000000000012</v>
      </c>
      <c r="AT58">
        <f t="shared" si="27"/>
        <v>0.38500000000000012</v>
      </c>
      <c r="AU58">
        <f t="shared" si="27"/>
        <v>0.38500000000000012</v>
      </c>
      <c r="AV58">
        <f t="shared" si="27"/>
        <v>0.38500000000000012</v>
      </c>
      <c r="AW58">
        <f t="shared" si="27"/>
        <v>0.38500000000000012</v>
      </c>
      <c r="AX58">
        <f t="shared" si="27"/>
        <v>0.38500000000000012</v>
      </c>
      <c r="AY58">
        <f t="shared" si="27"/>
        <v>0.38500000000000012</v>
      </c>
      <c r="AZ58">
        <f t="shared" si="27"/>
        <v>0.38500000000000012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0.27000000000000013</v>
      </c>
      <c r="D59">
        <f t="shared" si="23"/>
        <v>0.27000000000000013</v>
      </c>
      <c r="E59">
        <f t="shared" si="23"/>
        <v>0.27000000000000013</v>
      </c>
      <c r="F59">
        <f t="shared" si="23"/>
        <v>0.27000000000000013</v>
      </c>
      <c r="G59">
        <f t="shared" si="23"/>
        <v>0.27000000000000013</v>
      </c>
      <c r="H59">
        <f t="shared" si="23"/>
        <v>0.27000000000000013</v>
      </c>
      <c r="I59">
        <f t="shared" si="23"/>
        <v>0.27000000000000013</v>
      </c>
      <c r="J59">
        <f t="shared" si="23"/>
        <v>0.27000000000000013</v>
      </c>
      <c r="K59">
        <f t="shared" si="23"/>
        <v>0.27000000000000013</v>
      </c>
      <c r="L59">
        <f t="shared" si="23"/>
        <v>0.27000000000000013</v>
      </c>
      <c r="M59">
        <f t="shared" si="23"/>
        <v>0.27000000000000013</v>
      </c>
      <c r="N59">
        <f t="shared" si="24"/>
        <v>0.27000000000000013</v>
      </c>
      <c r="O59">
        <f t="shared" si="24"/>
        <v>0.27000000000000013</v>
      </c>
      <c r="P59">
        <f t="shared" si="24"/>
        <v>0.27000000000000013</v>
      </c>
      <c r="Q59">
        <f t="shared" si="24"/>
        <v>0.27000000000000013</v>
      </c>
      <c r="R59">
        <f t="shared" si="24"/>
        <v>0.27000000000000013</v>
      </c>
      <c r="S59">
        <f t="shared" si="24"/>
        <v>0.27000000000000013</v>
      </c>
      <c r="T59">
        <f t="shared" si="24"/>
        <v>0.27000000000000013</v>
      </c>
      <c r="U59">
        <f t="shared" si="24"/>
        <v>0.27000000000000013</v>
      </c>
      <c r="V59">
        <f t="shared" si="24"/>
        <v>0.27000000000000013</v>
      </c>
      <c r="W59">
        <f t="shared" si="24"/>
        <v>0.27000000000000013</v>
      </c>
      <c r="X59">
        <f t="shared" si="25"/>
        <v>0.27000000000000013</v>
      </c>
      <c r="Y59">
        <f t="shared" si="25"/>
        <v>0.27000000000000013</v>
      </c>
      <c r="Z59">
        <f t="shared" si="25"/>
        <v>0.27000000000000013</v>
      </c>
      <c r="AA59">
        <f t="shared" si="25"/>
        <v>0.27000000000000013</v>
      </c>
      <c r="AB59">
        <f t="shared" si="25"/>
        <v>0.27000000000000013</v>
      </c>
      <c r="AC59">
        <f t="shared" si="25"/>
        <v>0.27000000000000013</v>
      </c>
      <c r="AD59">
        <f t="shared" si="25"/>
        <v>0.27000000000000013</v>
      </c>
      <c r="AE59">
        <f t="shared" si="25"/>
        <v>0.27000000000000013</v>
      </c>
      <c r="AF59">
        <f t="shared" si="25"/>
        <v>0.27000000000000013</v>
      </c>
      <c r="AG59">
        <f t="shared" si="25"/>
        <v>0.27000000000000013</v>
      </c>
      <c r="AH59">
        <f t="shared" si="26"/>
        <v>0.27000000000000013</v>
      </c>
      <c r="AI59">
        <f t="shared" si="26"/>
        <v>0.27000000000000013</v>
      </c>
      <c r="AJ59">
        <f t="shared" si="26"/>
        <v>0.27000000000000013</v>
      </c>
      <c r="AK59">
        <f t="shared" si="26"/>
        <v>0.27000000000000013</v>
      </c>
      <c r="AL59">
        <f t="shared" si="26"/>
        <v>0.27000000000000013</v>
      </c>
      <c r="AM59">
        <f t="shared" si="26"/>
        <v>0.27000000000000013</v>
      </c>
      <c r="AN59">
        <f t="shared" si="26"/>
        <v>0.27000000000000013</v>
      </c>
      <c r="AO59">
        <f t="shared" si="26"/>
        <v>0.27000000000000013</v>
      </c>
      <c r="AP59">
        <f t="shared" si="26"/>
        <v>0.27000000000000013</v>
      </c>
      <c r="AQ59">
        <f t="shared" si="26"/>
        <v>0.27000000000000013</v>
      </c>
      <c r="AR59">
        <f t="shared" si="27"/>
        <v>0.27000000000000013</v>
      </c>
      <c r="AS59">
        <f t="shared" si="27"/>
        <v>0.27000000000000013</v>
      </c>
      <c r="AT59">
        <f t="shared" si="27"/>
        <v>0.27000000000000013</v>
      </c>
      <c r="AU59">
        <f t="shared" si="27"/>
        <v>0.27000000000000013</v>
      </c>
      <c r="AV59">
        <f t="shared" si="27"/>
        <v>0.27000000000000013</v>
      </c>
      <c r="AW59">
        <f t="shared" si="27"/>
        <v>0.27000000000000013</v>
      </c>
      <c r="AX59">
        <f t="shared" si="27"/>
        <v>0.27000000000000013</v>
      </c>
      <c r="AY59">
        <f t="shared" si="27"/>
        <v>0.27000000000000013</v>
      </c>
      <c r="AZ59">
        <f t="shared" si="27"/>
        <v>0.27000000000000013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0.17500000000000004</v>
      </c>
      <c r="D60">
        <f t="shared" si="23"/>
        <v>0.17500000000000004</v>
      </c>
      <c r="E60">
        <f t="shared" si="23"/>
        <v>0.17500000000000004</v>
      </c>
      <c r="F60">
        <f t="shared" si="23"/>
        <v>0.17500000000000004</v>
      </c>
      <c r="G60">
        <f t="shared" si="23"/>
        <v>0.17500000000000004</v>
      </c>
      <c r="H60">
        <f t="shared" si="23"/>
        <v>0.17500000000000004</v>
      </c>
      <c r="I60">
        <f t="shared" si="23"/>
        <v>0.17500000000000004</v>
      </c>
      <c r="J60">
        <f t="shared" si="23"/>
        <v>0.17500000000000004</v>
      </c>
      <c r="K60">
        <f t="shared" si="23"/>
        <v>0.17500000000000004</v>
      </c>
      <c r="L60">
        <f t="shared" si="23"/>
        <v>0.17500000000000004</v>
      </c>
      <c r="M60">
        <f t="shared" si="23"/>
        <v>0.17500000000000004</v>
      </c>
      <c r="N60">
        <f t="shared" si="24"/>
        <v>0.17500000000000004</v>
      </c>
      <c r="O60">
        <f t="shared" si="24"/>
        <v>0.17500000000000004</v>
      </c>
      <c r="P60">
        <f t="shared" si="24"/>
        <v>0.17500000000000004</v>
      </c>
      <c r="Q60">
        <f t="shared" si="24"/>
        <v>0.17500000000000004</v>
      </c>
      <c r="R60">
        <f t="shared" si="24"/>
        <v>0.17500000000000004</v>
      </c>
      <c r="S60">
        <f t="shared" si="24"/>
        <v>0.17500000000000004</v>
      </c>
      <c r="T60">
        <f t="shared" si="24"/>
        <v>0.17500000000000004</v>
      </c>
      <c r="U60">
        <f t="shared" si="24"/>
        <v>0.17500000000000004</v>
      </c>
      <c r="V60">
        <f t="shared" si="24"/>
        <v>0.17500000000000004</v>
      </c>
      <c r="W60">
        <f t="shared" si="24"/>
        <v>0.17500000000000004</v>
      </c>
      <c r="X60">
        <f t="shared" si="25"/>
        <v>0.17500000000000004</v>
      </c>
      <c r="Y60">
        <f t="shared" si="25"/>
        <v>0.17500000000000004</v>
      </c>
      <c r="Z60">
        <f t="shared" si="25"/>
        <v>0.17500000000000004</v>
      </c>
      <c r="AA60">
        <f t="shared" si="25"/>
        <v>0.17500000000000004</v>
      </c>
      <c r="AB60">
        <f t="shared" si="25"/>
        <v>0.17500000000000004</v>
      </c>
      <c r="AC60">
        <f t="shared" si="25"/>
        <v>0.17500000000000004</v>
      </c>
      <c r="AD60">
        <f t="shared" si="25"/>
        <v>0.17500000000000004</v>
      </c>
      <c r="AE60">
        <f t="shared" si="25"/>
        <v>0.17500000000000004</v>
      </c>
      <c r="AF60">
        <f t="shared" si="25"/>
        <v>0.17500000000000004</v>
      </c>
      <c r="AG60">
        <f t="shared" si="25"/>
        <v>0.17500000000000004</v>
      </c>
      <c r="AH60">
        <f t="shared" si="26"/>
        <v>0.17500000000000004</v>
      </c>
      <c r="AI60">
        <f t="shared" si="26"/>
        <v>0.17500000000000004</v>
      </c>
      <c r="AJ60">
        <f t="shared" si="26"/>
        <v>0.17500000000000004</v>
      </c>
      <c r="AK60">
        <f t="shared" si="26"/>
        <v>0.17500000000000004</v>
      </c>
      <c r="AL60">
        <f t="shared" si="26"/>
        <v>0.17500000000000004</v>
      </c>
      <c r="AM60">
        <f t="shared" si="26"/>
        <v>0.17500000000000004</v>
      </c>
      <c r="AN60">
        <f t="shared" si="26"/>
        <v>0.17500000000000004</v>
      </c>
      <c r="AO60">
        <f t="shared" si="26"/>
        <v>0.17500000000000004</v>
      </c>
      <c r="AP60">
        <f t="shared" si="26"/>
        <v>0.17500000000000004</v>
      </c>
      <c r="AQ60">
        <f t="shared" si="26"/>
        <v>0.17500000000000004</v>
      </c>
      <c r="AR60">
        <f t="shared" si="27"/>
        <v>0.17500000000000004</v>
      </c>
      <c r="AS60">
        <f t="shared" si="27"/>
        <v>0.17500000000000004</v>
      </c>
      <c r="AT60">
        <f t="shared" si="27"/>
        <v>0.17500000000000004</v>
      </c>
      <c r="AU60">
        <f t="shared" si="27"/>
        <v>0.17500000000000004</v>
      </c>
      <c r="AV60">
        <f t="shared" si="27"/>
        <v>0.17500000000000004</v>
      </c>
      <c r="AW60">
        <f t="shared" si="27"/>
        <v>0.17500000000000004</v>
      </c>
      <c r="AX60">
        <f t="shared" si="27"/>
        <v>0.17500000000000004</v>
      </c>
      <c r="AY60">
        <f t="shared" si="27"/>
        <v>0.17500000000000004</v>
      </c>
      <c r="AZ60">
        <f t="shared" si="27"/>
        <v>0.17500000000000004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0.10000000000000003</v>
      </c>
      <c r="D61">
        <f t="shared" si="23"/>
        <v>0.10000000000000003</v>
      </c>
      <c r="E61">
        <f t="shared" si="23"/>
        <v>0.10000000000000003</v>
      </c>
      <c r="F61">
        <f t="shared" si="23"/>
        <v>0.10000000000000003</v>
      </c>
      <c r="G61">
        <f t="shared" si="23"/>
        <v>0.10000000000000003</v>
      </c>
      <c r="H61">
        <f t="shared" si="23"/>
        <v>0.10000000000000003</v>
      </c>
      <c r="I61">
        <f t="shared" si="23"/>
        <v>0.10000000000000003</v>
      </c>
      <c r="J61">
        <f t="shared" si="23"/>
        <v>0.10000000000000003</v>
      </c>
      <c r="K61">
        <f t="shared" si="23"/>
        <v>0.10000000000000003</v>
      </c>
      <c r="L61">
        <f t="shared" si="23"/>
        <v>0.10000000000000003</v>
      </c>
      <c r="M61">
        <f t="shared" si="23"/>
        <v>0.10000000000000003</v>
      </c>
      <c r="N61">
        <f t="shared" si="24"/>
        <v>0.10000000000000003</v>
      </c>
      <c r="O61">
        <f t="shared" si="24"/>
        <v>0.10000000000000003</v>
      </c>
      <c r="P61">
        <f t="shared" si="24"/>
        <v>0.10000000000000003</v>
      </c>
      <c r="Q61">
        <f t="shared" si="24"/>
        <v>0.10000000000000003</v>
      </c>
      <c r="R61">
        <f t="shared" si="24"/>
        <v>0.10000000000000003</v>
      </c>
      <c r="S61">
        <f t="shared" si="24"/>
        <v>0.10000000000000003</v>
      </c>
      <c r="T61">
        <f t="shared" si="24"/>
        <v>0.10000000000000003</v>
      </c>
      <c r="U61">
        <f t="shared" si="24"/>
        <v>0.10000000000000003</v>
      </c>
      <c r="V61">
        <f t="shared" si="24"/>
        <v>0.10000000000000003</v>
      </c>
      <c r="W61">
        <f t="shared" si="24"/>
        <v>0.10000000000000003</v>
      </c>
      <c r="X61">
        <f t="shared" si="25"/>
        <v>0.10000000000000003</v>
      </c>
      <c r="Y61">
        <f t="shared" si="25"/>
        <v>0.10000000000000003</v>
      </c>
      <c r="Z61">
        <f t="shared" si="25"/>
        <v>0.10000000000000003</v>
      </c>
      <c r="AA61">
        <f t="shared" si="25"/>
        <v>0.10000000000000003</v>
      </c>
      <c r="AB61">
        <f t="shared" si="25"/>
        <v>0.10000000000000003</v>
      </c>
      <c r="AC61">
        <f t="shared" si="25"/>
        <v>0.10000000000000003</v>
      </c>
      <c r="AD61">
        <f t="shared" si="25"/>
        <v>0.10000000000000003</v>
      </c>
      <c r="AE61">
        <f t="shared" si="25"/>
        <v>0.10000000000000003</v>
      </c>
      <c r="AF61">
        <f t="shared" si="25"/>
        <v>0.10000000000000003</v>
      </c>
      <c r="AG61">
        <f t="shared" si="25"/>
        <v>0.10000000000000003</v>
      </c>
      <c r="AH61">
        <f t="shared" si="26"/>
        <v>0.10000000000000003</v>
      </c>
      <c r="AI61">
        <f t="shared" si="26"/>
        <v>0.10000000000000003</v>
      </c>
      <c r="AJ61">
        <f t="shared" si="26"/>
        <v>0.10000000000000003</v>
      </c>
      <c r="AK61">
        <f t="shared" si="26"/>
        <v>0.10000000000000003</v>
      </c>
      <c r="AL61">
        <f t="shared" si="26"/>
        <v>0.10000000000000003</v>
      </c>
      <c r="AM61">
        <f t="shared" si="26"/>
        <v>0.10000000000000003</v>
      </c>
      <c r="AN61">
        <f t="shared" si="26"/>
        <v>0.10000000000000003</v>
      </c>
      <c r="AO61">
        <f t="shared" si="26"/>
        <v>0.10000000000000003</v>
      </c>
      <c r="AP61">
        <f t="shared" si="26"/>
        <v>0.10000000000000003</v>
      </c>
      <c r="AQ61">
        <f t="shared" si="26"/>
        <v>0.10000000000000003</v>
      </c>
      <c r="AR61">
        <f t="shared" si="27"/>
        <v>0.10000000000000003</v>
      </c>
      <c r="AS61">
        <f t="shared" si="27"/>
        <v>0.10000000000000003</v>
      </c>
      <c r="AT61">
        <f t="shared" si="27"/>
        <v>0.10000000000000003</v>
      </c>
      <c r="AU61">
        <f t="shared" si="27"/>
        <v>0.10000000000000003</v>
      </c>
      <c r="AV61">
        <f t="shared" si="27"/>
        <v>0.10000000000000003</v>
      </c>
      <c r="AW61">
        <f t="shared" si="27"/>
        <v>0.10000000000000003</v>
      </c>
      <c r="AX61">
        <f t="shared" si="27"/>
        <v>0.10000000000000003</v>
      </c>
      <c r="AY61">
        <f t="shared" si="27"/>
        <v>0.10000000000000003</v>
      </c>
      <c r="AZ61">
        <f t="shared" si="27"/>
        <v>0.10000000000000003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4.5000000000000026E-2</v>
      </c>
      <c r="D62">
        <f t="shared" si="23"/>
        <v>4.5000000000000026E-2</v>
      </c>
      <c r="E62">
        <f t="shared" si="23"/>
        <v>4.5000000000000026E-2</v>
      </c>
      <c r="F62">
        <f t="shared" si="23"/>
        <v>4.5000000000000026E-2</v>
      </c>
      <c r="G62">
        <f t="shared" si="23"/>
        <v>4.5000000000000026E-2</v>
      </c>
      <c r="H62">
        <f t="shared" si="23"/>
        <v>4.5000000000000026E-2</v>
      </c>
      <c r="I62">
        <f t="shared" si="23"/>
        <v>4.5000000000000026E-2</v>
      </c>
      <c r="J62">
        <f t="shared" si="23"/>
        <v>4.5000000000000026E-2</v>
      </c>
      <c r="K62">
        <f t="shared" si="23"/>
        <v>4.5000000000000026E-2</v>
      </c>
      <c r="L62">
        <f t="shared" si="23"/>
        <v>4.5000000000000026E-2</v>
      </c>
      <c r="M62">
        <f t="shared" si="23"/>
        <v>4.5000000000000026E-2</v>
      </c>
      <c r="N62">
        <f t="shared" si="24"/>
        <v>4.5000000000000026E-2</v>
      </c>
      <c r="O62">
        <f t="shared" si="24"/>
        <v>4.5000000000000026E-2</v>
      </c>
      <c r="P62">
        <f t="shared" si="24"/>
        <v>4.5000000000000026E-2</v>
      </c>
      <c r="Q62">
        <f t="shared" si="24"/>
        <v>4.5000000000000026E-2</v>
      </c>
      <c r="R62">
        <f t="shared" si="24"/>
        <v>4.5000000000000026E-2</v>
      </c>
      <c r="S62">
        <f t="shared" si="24"/>
        <v>4.5000000000000026E-2</v>
      </c>
      <c r="T62">
        <f t="shared" si="24"/>
        <v>4.5000000000000026E-2</v>
      </c>
      <c r="U62">
        <f t="shared" si="24"/>
        <v>4.5000000000000026E-2</v>
      </c>
      <c r="V62">
        <f t="shared" si="24"/>
        <v>4.5000000000000026E-2</v>
      </c>
      <c r="W62">
        <f t="shared" si="24"/>
        <v>4.5000000000000026E-2</v>
      </c>
      <c r="X62">
        <f t="shared" si="25"/>
        <v>4.5000000000000026E-2</v>
      </c>
      <c r="Y62">
        <f t="shared" si="25"/>
        <v>4.5000000000000026E-2</v>
      </c>
      <c r="Z62">
        <f t="shared" si="25"/>
        <v>4.5000000000000026E-2</v>
      </c>
      <c r="AA62">
        <f t="shared" si="25"/>
        <v>4.5000000000000026E-2</v>
      </c>
      <c r="AB62">
        <f t="shared" si="25"/>
        <v>4.5000000000000026E-2</v>
      </c>
      <c r="AC62">
        <f t="shared" si="25"/>
        <v>4.5000000000000026E-2</v>
      </c>
      <c r="AD62">
        <f t="shared" si="25"/>
        <v>4.5000000000000026E-2</v>
      </c>
      <c r="AE62">
        <f t="shared" si="25"/>
        <v>4.5000000000000026E-2</v>
      </c>
      <c r="AF62">
        <f t="shared" si="25"/>
        <v>4.5000000000000026E-2</v>
      </c>
      <c r="AG62">
        <f t="shared" si="25"/>
        <v>4.5000000000000026E-2</v>
      </c>
      <c r="AH62">
        <f t="shared" si="26"/>
        <v>4.5000000000000026E-2</v>
      </c>
      <c r="AI62">
        <f t="shared" si="26"/>
        <v>4.5000000000000026E-2</v>
      </c>
      <c r="AJ62">
        <f t="shared" si="26"/>
        <v>4.5000000000000026E-2</v>
      </c>
      <c r="AK62">
        <f t="shared" si="26"/>
        <v>4.5000000000000026E-2</v>
      </c>
      <c r="AL62">
        <f t="shared" si="26"/>
        <v>4.5000000000000026E-2</v>
      </c>
      <c r="AM62">
        <f t="shared" si="26"/>
        <v>4.5000000000000026E-2</v>
      </c>
      <c r="AN62">
        <f t="shared" si="26"/>
        <v>4.5000000000000026E-2</v>
      </c>
      <c r="AO62">
        <f t="shared" si="26"/>
        <v>4.5000000000000026E-2</v>
      </c>
      <c r="AP62">
        <f t="shared" si="26"/>
        <v>4.5000000000000026E-2</v>
      </c>
      <c r="AQ62">
        <f t="shared" si="26"/>
        <v>4.5000000000000026E-2</v>
      </c>
      <c r="AR62">
        <f t="shared" si="27"/>
        <v>4.5000000000000026E-2</v>
      </c>
      <c r="AS62">
        <f t="shared" si="27"/>
        <v>4.5000000000000026E-2</v>
      </c>
      <c r="AT62">
        <f t="shared" si="27"/>
        <v>4.5000000000000026E-2</v>
      </c>
      <c r="AU62">
        <f t="shared" si="27"/>
        <v>4.5000000000000026E-2</v>
      </c>
      <c r="AV62">
        <f t="shared" si="27"/>
        <v>4.5000000000000026E-2</v>
      </c>
      <c r="AW62">
        <f t="shared" si="27"/>
        <v>4.5000000000000026E-2</v>
      </c>
      <c r="AX62">
        <f t="shared" si="27"/>
        <v>4.5000000000000026E-2</v>
      </c>
      <c r="AY62">
        <f t="shared" si="27"/>
        <v>4.5000000000000026E-2</v>
      </c>
      <c r="AZ62">
        <f t="shared" si="27"/>
        <v>4.5000000000000026E-2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1.0000000000000009E-2</v>
      </c>
      <c r="D63">
        <f t="shared" si="23"/>
        <v>1.0000000000000009E-2</v>
      </c>
      <c r="E63">
        <f t="shared" si="23"/>
        <v>1.0000000000000009E-2</v>
      </c>
      <c r="F63">
        <f t="shared" si="23"/>
        <v>1.0000000000000009E-2</v>
      </c>
      <c r="G63">
        <f t="shared" si="23"/>
        <v>1.0000000000000009E-2</v>
      </c>
      <c r="H63">
        <f t="shared" si="23"/>
        <v>1.0000000000000009E-2</v>
      </c>
      <c r="I63">
        <f t="shared" si="23"/>
        <v>1.0000000000000009E-2</v>
      </c>
      <c r="J63">
        <f t="shared" si="23"/>
        <v>1.0000000000000009E-2</v>
      </c>
      <c r="K63">
        <f t="shared" si="23"/>
        <v>1.0000000000000009E-2</v>
      </c>
      <c r="L63">
        <f t="shared" si="23"/>
        <v>1.0000000000000009E-2</v>
      </c>
      <c r="M63">
        <f t="shared" si="23"/>
        <v>1.0000000000000009E-2</v>
      </c>
      <c r="N63">
        <f t="shared" si="24"/>
        <v>1.0000000000000009E-2</v>
      </c>
      <c r="O63">
        <f t="shared" si="24"/>
        <v>1.0000000000000009E-2</v>
      </c>
      <c r="P63">
        <f t="shared" si="24"/>
        <v>1.0000000000000009E-2</v>
      </c>
      <c r="Q63">
        <f t="shared" si="24"/>
        <v>1.0000000000000009E-2</v>
      </c>
      <c r="R63">
        <f t="shared" si="24"/>
        <v>1.0000000000000009E-2</v>
      </c>
      <c r="S63">
        <f t="shared" si="24"/>
        <v>1.0000000000000009E-2</v>
      </c>
      <c r="T63">
        <f t="shared" si="24"/>
        <v>1.0000000000000009E-2</v>
      </c>
      <c r="U63">
        <f t="shared" si="24"/>
        <v>1.0000000000000009E-2</v>
      </c>
      <c r="V63">
        <f t="shared" si="24"/>
        <v>1.0000000000000009E-2</v>
      </c>
      <c r="W63">
        <f t="shared" si="24"/>
        <v>1.0000000000000009E-2</v>
      </c>
      <c r="X63">
        <f t="shared" si="25"/>
        <v>1.0000000000000009E-2</v>
      </c>
      <c r="Y63">
        <f t="shared" si="25"/>
        <v>1.0000000000000009E-2</v>
      </c>
      <c r="Z63">
        <f t="shared" si="25"/>
        <v>1.0000000000000009E-2</v>
      </c>
      <c r="AA63">
        <f t="shared" si="25"/>
        <v>1.0000000000000009E-2</v>
      </c>
      <c r="AB63">
        <f t="shared" si="25"/>
        <v>1.0000000000000009E-2</v>
      </c>
      <c r="AC63">
        <f t="shared" si="25"/>
        <v>1.0000000000000009E-2</v>
      </c>
      <c r="AD63">
        <f t="shared" si="25"/>
        <v>1.0000000000000009E-2</v>
      </c>
      <c r="AE63">
        <f t="shared" si="25"/>
        <v>1.0000000000000009E-2</v>
      </c>
      <c r="AF63">
        <f t="shared" si="25"/>
        <v>1.0000000000000009E-2</v>
      </c>
      <c r="AG63">
        <f t="shared" si="25"/>
        <v>1.0000000000000009E-2</v>
      </c>
      <c r="AH63">
        <f t="shared" si="26"/>
        <v>1.0000000000000009E-2</v>
      </c>
      <c r="AI63">
        <f t="shared" si="26"/>
        <v>1.0000000000000009E-2</v>
      </c>
      <c r="AJ63">
        <f t="shared" si="26"/>
        <v>1.0000000000000009E-2</v>
      </c>
      <c r="AK63">
        <f t="shared" si="26"/>
        <v>1.0000000000000009E-2</v>
      </c>
      <c r="AL63">
        <f t="shared" si="26"/>
        <v>1.0000000000000009E-2</v>
      </c>
      <c r="AM63">
        <f t="shared" si="26"/>
        <v>1.0000000000000009E-2</v>
      </c>
      <c r="AN63">
        <f t="shared" si="26"/>
        <v>1.0000000000000009E-2</v>
      </c>
      <c r="AO63">
        <f t="shared" si="26"/>
        <v>1.0000000000000009E-2</v>
      </c>
      <c r="AP63">
        <f t="shared" si="26"/>
        <v>1.0000000000000009E-2</v>
      </c>
      <c r="AQ63">
        <f t="shared" si="26"/>
        <v>1.0000000000000009E-2</v>
      </c>
      <c r="AR63">
        <f t="shared" si="27"/>
        <v>1.0000000000000009E-2</v>
      </c>
      <c r="AS63">
        <f t="shared" si="27"/>
        <v>1.0000000000000009E-2</v>
      </c>
      <c r="AT63">
        <f t="shared" si="27"/>
        <v>1.0000000000000009E-2</v>
      </c>
      <c r="AU63">
        <f t="shared" si="27"/>
        <v>1.0000000000000009E-2</v>
      </c>
      <c r="AV63">
        <f t="shared" si="27"/>
        <v>1.0000000000000009E-2</v>
      </c>
      <c r="AW63">
        <f t="shared" si="27"/>
        <v>1.0000000000000009E-2</v>
      </c>
      <c r="AX63">
        <f t="shared" si="27"/>
        <v>1.0000000000000009E-2</v>
      </c>
      <c r="AY63">
        <f t="shared" si="27"/>
        <v>1.0000000000000009E-2</v>
      </c>
      <c r="AZ63">
        <f t="shared" si="27"/>
        <v>1.0000000000000009E-2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-4.9999999999999975E-3</v>
      </c>
      <c r="D64">
        <f t="shared" si="23"/>
        <v>-4.9999999999999975E-3</v>
      </c>
      <c r="E64">
        <f t="shared" si="23"/>
        <v>-4.9999999999999975E-3</v>
      </c>
      <c r="F64">
        <f t="shared" si="23"/>
        <v>-4.9999999999999975E-3</v>
      </c>
      <c r="G64">
        <f t="shared" si="23"/>
        <v>-4.9999999999999975E-3</v>
      </c>
      <c r="H64">
        <f t="shared" si="23"/>
        <v>-4.9999999999999975E-3</v>
      </c>
      <c r="I64">
        <f t="shared" si="23"/>
        <v>-4.9999999999999975E-3</v>
      </c>
      <c r="J64">
        <f t="shared" si="23"/>
        <v>-4.9999999999999975E-3</v>
      </c>
      <c r="K64">
        <f t="shared" si="23"/>
        <v>-4.9999999999999975E-3</v>
      </c>
      <c r="L64">
        <f t="shared" si="23"/>
        <v>-4.9999999999999975E-3</v>
      </c>
      <c r="M64">
        <f t="shared" si="23"/>
        <v>-4.9999999999999975E-3</v>
      </c>
      <c r="N64">
        <f t="shared" si="24"/>
        <v>-4.9999999999999975E-3</v>
      </c>
      <c r="O64">
        <f t="shared" si="24"/>
        <v>-4.9999999999999975E-3</v>
      </c>
      <c r="P64">
        <f t="shared" si="24"/>
        <v>-4.9999999999999975E-3</v>
      </c>
      <c r="Q64">
        <f t="shared" si="24"/>
        <v>-4.9999999999999975E-3</v>
      </c>
      <c r="R64">
        <f t="shared" si="24"/>
        <v>-4.9999999999999975E-3</v>
      </c>
      <c r="S64">
        <f t="shared" si="24"/>
        <v>-4.9999999999999975E-3</v>
      </c>
      <c r="T64">
        <f t="shared" si="24"/>
        <v>-4.9999999999999975E-3</v>
      </c>
      <c r="U64">
        <f t="shared" si="24"/>
        <v>-4.9999999999999975E-3</v>
      </c>
      <c r="V64">
        <f t="shared" si="24"/>
        <v>-4.9999999999999975E-3</v>
      </c>
      <c r="W64">
        <f t="shared" si="24"/>
        <v>-4.9999999999999975E-3</v>
      </c>
      <c r="X64">
        <f t="shared" si="25"/>
        <v>-4.9999999999999975E-3</v>
      </c>
      <c r="Y64">
        <f t="shared" si="25"/>
        <v>-4.9999999999999975E-3</v>
      </c>
      <c r="Z64">
        <f t="shared" si="25"/>
        <v>-4.9999999999999975E-3</v>
      </c>
      <c r="AA64">
        <f t="shared" si="25"/>
        <v>-4.9999999999999975E-3</v>
      </c>
      <c r="AB64">
        <f t="shared" si="25"/>
        <v>-4.9999999999999975E-3</v>
      </c>
      <c r="AC64">
        <f t="shared" si="25"/>
        <v>-4.9999999999999975E-3</v>
      </c>
      <c r="AD64">
        <f t="shared" si="25"/>
        <v>-4.9999999999999975E-3</v>
      </c>
      <c r="AE64">
        <f t="shared" si="25"/>
        <v>-4.9999999999999975E-3</v>
      </c>
      <c r="AF64">
        <f t="shared" si="25"/>
        <v>-4.9999999999999975E-3</v>
      </c>
      <c r="AG64">
        <f t="shared" si="25"/>
        <v>-4.9999999999999975E-3</v>
      </c>
      <c r="AH64">
        <f t="shared" si="26"/>
        <v>-4.9999999999999975E-3</v>
      </c>
      <c r="AI64">
        <f t="shared" si="26"/>
        <v>-4.9999999999999975E-3</v>
      </c>
      <c r="AJ64">
        <f t="shared" si="26"/>
        <v>-4.9999999999999975E-3</v>
      </c>
      <c r="AK64">
        <f t="shared" si="26"/>
        <v>-4.9999999999999975E-3</v>
      </c>
      <c r="AL64">
        <f t="shared" si="26"/>
        <v>-4.9999999999999975E-3</v>
      </c>
      <c r="AM64">
        <f t="shared" si="26"/>
        <v>-4.9999999999999975E-3</v>
      </c>
      <c r="AN64">
        <f t="shared" si="26"/>
        <v>-4.9999999999999975E-3</v>
      </c>
      <c r="AO64">
        <f t="shared" si="26"/>
        <v>-4.9999999999999975E-3</v>
      </c>
      <c r="AP64">
        <f t="shared" si="26"/>
        <v>-4.9999999999999975E-3</v>
      </c>
      <c r="AQ64">
        <f t="shared" si="26"/>
        <v>-4.9999999999999975E-3</v>
      </c>
      <c r="AR64">
        <f t="shared" si="27"/>
        <v>-4.9999999999999975E-3</v>
      </c>
      <c r="AS64">
        <f t="shared" si="27"/>
        <v>-4.9999999999999975E-3</v>
      </c>
      <c r="AT64">
        <f t="shared" si="27"/>
        <v>-4.9999999999999975E-3</v>
      </c>
      <c r="AU64">
        <f t="shared" si="27"/>
        <v>-4.9999999999999975E-3</v>
      </c>
      <c r="AV64">
        <f t="shared" si="27"/>
        <v>-4.9999999999999975E-3</v>
      </c>
      <c r="AW64">
        <f t="shared" si="27"/>
        <v>-4.9999999999999975E-3</v>
      </c>
      <c r="AX64">
        <f t="shared" si="27"/>
        <v>-4.9999999999999975E-3</v>
      </c>
      <c r="AY64">
        <f t="shared" si="27"/>
        <v>-4.9999999999999975E-3</v>
      </c>
      <c r="AZ64">
        <f t="shared" si="27"/>
        <v>-4.9999999999999975E-3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4:BA67"/>
  <sheetViews>
    <sheetView topLeftCell="A37" workbookViewId="0">
      <selection activeCell="C26" sqref="C26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6">
        <v>1</v>
      </c>
      <c r="D15" s="6">
        <v>1</v>
      </c>
      <c r="E15" s="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6">
        <v>1</v>
      </c>
      <c r="AJ15" s="6">
        <v>1</v>
      </c>
      <c r="AK15" s="6">
        <v>1</v>
      </c>
      <c r="AL15" s="6">
        <v>1</v>
      </c>
      <c r="AM15" s="6">
        <v>1</v>
      </c>
      <c r="AN15" s="6">
        <v>1</v>
      </c>
      <c r="AO15" s="6">
        <v>1</v>
      </c>
      <c r="AP15" s="6">
        <v>1</v>
      </c>
      <c r="AQ15" s="6">
        <v>1</v>
      </c>
      <c r="AR15" s="6">
        <v>1</v>
      </c>
      <c r="AS15" s="6">
        <v>1</v>
      </c>
      <c r="AT15" s="6">
        <v>1</v>
      </c>
      <c r="AU15" s="6">
        <v>1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M25" si="1">-0.5*sigma^2*$A16^2-0.5*rate-1/dt</f>
        <v>-148.05000000000001</v>
      </c>
      <c r="D16">
        <f t="shared" si="1"/>
        <v>-148.05000000000001</v>
      </c>
      <c r="E16">
        <f t="shared" si="1"/>
        <v>-148.05000000000001</v>
      </c>
      <c r="F16">
        <f t="shared" si="1"/>
        <v>-148.05000000000001</v>
      </c>
      <c r="G16">
        <f t="shared" si="1"/>
        <v>-148.05000000000001</v>
      </c>
      <c r="H16">
        <f t="shared" si="1"/>
        <v>-148.05000000000001</v>
      </c>
      <c r="I16">
        <f t="shared" si="1"/>
        <v>-148.05000000000001</v>
      </c>
      <c r="J16">
        <f t="shared" si="1"/>
        <v>-148.05000000000001</v>
      </c>
      <c r="K16">
        <f t="shared" si="1"/>
        <v>-148.05000000000001</v>
      </c>
      <c r="L16">
        <f t="shared" si="1"/>
        <v>-148.05000000000001</v>
      </c>
      <c r="M16">
        <f t="shared" si="1"/>
        <v>-148.05000000000001</v>
      </c>
      <c r="N16">
        <f t="shared" ref="N16:W25" si="2">-0.5*sigma^2*$A16^2-0.5*rate-1/dt</f>
        <v>-148.05000000000001</v>
      </c>
      <c r="O16">
        <f t="shared" si="2"/>
        <v>-148.05000000000001</v>
      </c>
      <c r="P16">
        <f t="shared" si="2"/>
        <v>-148.05000000000001</v>
      </c>
      <c r="Q16">
        <f t="shared" si="2"/>
        <v>-148.05000000000001</v>
      </c>
      <c r="R16">
        <f t="shared" si="2"/>
        <v>-148.05000000000001</v>
      </c>
      <c r="S16">
        <f t="shared" si="2"/>
        <v>-148.05000000000001</v>
      </c>
      <c r="T16">
        <f t="shared" si="2"/>
        <v>-148.05000000000001</v>
      </c>
      <c r="U16">
        <f t="shared" si="2"/>
        <v>-148.05000000000001</v>
      </c>
      <c r="V16">
        <f t="shared" si="2"/>
        <v>-148.05000000000001</v>
      </c>
      <c r="W16">
        <f t="shared" si="2"/>
        <v>-148.05000000000001</v>
      </c>
      <c r="X16">
        <f t="shared" ref="X16:AG25" si="3">-0.5*sigma^2*$A16^2-0.5*rate-1/dt</f>
        <v>-148.05000000000001</v>
      </c>
      <c r="Y16">
        <f t="shared" si="3"/>
        <v>-148.05000000000001</v>
      </c>
      <c r="Z16">
        <f t="shared" si="3"/>
        <v>-148.05000000000001</v>
      </c>
      <c r="AA16">
        <f t="shared" si="3"/>
        <v>-148.05000000000001</v>
      </c>
      <c r="AB16">
        <f t="shared" si="3"/>
        <v>-148.05000000000001</v>
      </c>
      <c r="AC16">
        <f t="shared" si="3"/>
        <v>-148.05000000000001</v>
      </c>
      <c r="AD16">
        <f t="shared" si="3"/>
        <v>-148.05000000000001</v>
      </c>
      <c r="AE16">
        <f t="shared" si="3"/>
        <v>-148.05000000000001</v>
      </c>
      <c r="AF16">
        <f t="shared" si="3"/>
        <v>-148.05000000000001</v>
      </c>
      <c r="AG16">
        <f t="shared" si="3"/>
        <v>-148.05000000000001</v>
      </c>
      <c r="AH16">
        <f t="shared" ref="AH16:AQ25" si="4">-0.5*sigma^2*$A16^2-0.5*rate-1/dt</f>
        <v>-148.05000000000001</v>
      </c>
      <c r="AI16">
        <f t="shared" si="4"/>
        <v>-148.05000000000001</v>
      </c>
      <c r="AJ16">
        <f t="shared" si="4"/>
        <v>-148.05000000000001</v>
      </c>
      <c r="AK16">
        <f t="shared" si="4"/>
        <v>-148.05000000000001</v>
      </c>
      <c r="AL16">
        <f t="shared" si="4"/>
        <v>-148.05000000000001</v>
      </c>
      <c r="AM16">
        <f t="shared" si="4"/>
        <v>-148.05000000000001</v>
      </c>
      <c r="AN16">
        <f t="shared" si="4"/>
        <v>-148.05000000000001</v>
      </c>
      <c r="AO16">
        <f t="shared" si="4"/>
        <v>-148.05000000000001</v>
      </c>
      <c r="AP16">
        <f t="shared" si="4"/>
        <v>-148.05000000000001</v>
      </c>
      <c r="AQ16">
        <f t="shared" si="4"/>
        <v>-148.05000000000001</v>
      </c>
      <c r="AR16">
        <f t="shared" ref="AR16:AZ25" si="5">-0.5*sigma^2*$A16^2-0.5*rate-1/dt</f>
        <v>-148.05000000000001</v>
      </c>
      <c r="AS16">
        <f t="shared" si="5"/>
        <v>-148.05000000000001</v>
      </c>
      <c r="AT16">
        <f t="shared" si="5"/>
        <v>-148.05000000000001</v>
      </c>
      <c r="AU16">
        <f t="shared" si="5"/>
        <v>-148.05000000000001</v>
      </c>
      <c r="AV16">
        <f t="shared" si="5"/>
        <v>-148.05000000000001</v>
      </c>
      <c r="AW16">
        <f t="shared" si="5"/>
        <v>-148.05000000000001</v>
      </c>
      <c r="AX16">
        <f t="shared" si="5"/>
        <v>-148.05000000000001</v>
      </c>
      <c r="AY16">
        <f t="shared" si="5"/>
        <v>-148.05000000000001</v>
      </c>
      <c r="AZ16">
        <f t="shared" si="5"/>
        <v>-148.05000000000001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-146.11000000000001</v>
      </c>
      <c r="D17">
        <f t="shared" si="1"/>
        <v>-146.11000000000001</v>
      </c>
      <c r="E17">
        <f t="shared" si="1"/>
        <v>-146.11000000000001</v>
      </c>
      <c r="F17">
        <f t="shared" si="1"/>
        <v>-146.11000000000001</v>
      </c>
      <c r="G17">
        <f t="shared" si="1"/>
        <v>-146.11000000000001</v>
      </c>
      <c r="H17">
        <f t="shared" si="1"/>
        <v>-146.11000000000001</v>
      </c>
      <c r="I17">
        <f t="shared" si="1"/>
        <v>-146.11000000000001</v>
      </c>
      <c r="J17">
        <f t="shared" si="1"/>
        <v>-146.11000000000001</v>
      </c>
      <c r="K17">
        <f t="shared" si="1"/>
        <v>-146.11000000000001</v>
      </c>
      <c r="L17">
        <f t="shared" si="1"/>
        <v>-146.11000000000001</v>
      </c>
      <c r="M17">
        <f t="shared" si="1"/>
        <v>-146.11000000000001</v>
      </c>
      <c r="N17">
        <f t="shared" si="2"/>
        <v>-146.11000000000001</v>
      </c>
      <c r="O17">
        <f t="shared" si="2"/>
        <v>-146.11000000000001</v>
      </c>
      <c r="P17">
        <f t="shared" si="2"/>
        <v>-146.11000000000001</v>
      </c>
      <c r="Q17">
        <f t="shared" si="2"/>
        <v>-146.11000000000001</v>
      </c>
      <c r="R17">
        <f t="shared" si="2"/>
        <v>-146.11000000000001</v>
      </c>
      <c r="S17">
        <f t="shared" si="2"/>
        <v>-146.11000000000001</v>
      </c>
      <c r="T17">
        <f t="shared" si="2"/>
        <v>-146.11000000000001</v>
      </c>
      <c r="U17">
        <f t="shared" si="2"/>
        <v>-146.11000000000001</v>
      </c>
      <c r="V17">
        <f t="shared" si="2"/>
        <v>-146.11000000000001</v>
      </c>
      <c r="W17">
        <f t="shared" si="2"/>
        <v>-146.11000000000001</v>
      </c>
      <c r="X17">
        <f t="shared" si="3"/>
        <v>-146.11000000000001</v>
      </c>
      <c r="Y17">
        <f t="shared" si="3"/>
        <v>-146.11000000000001</v>
      </c>
      <c r="Z17">
        <f t="shared" si="3"/>
        <v>-146.11000000000001</v>
      </c>
      <c r="AA17">
        <f t="shared" si="3"/>
        <v>-146.11000000000001</v>
      </c>
      <c r="AB17">
        <f t="shared" si="3"/>
        <v>-146.11000000000001</v>
      </c>
      <c r="AC17">
        <f t="shared" si="3"/>
        <v>-146.11000000000001</v>
      </c>
      <c r="AD17">
        <f t="shared" si="3"/>
        <v>-146.11000000000001</v>
      </c>
      <c r="AE17">
        <f t="shared" si="3"/>
        <v>-146.11000000000001</v>
      </c>
      <c r="AF17">
        <f t="shared" si="3"/>
        <v>-146.11000000000001</v>
      </c>
      <c r="AG17">
        <f t="shared" si="3"/>
        <v>-146.11000000000001</v>
      </c>
      <c r="AH17">
        <f t="shared" si="4"/>
        <v>-146.11000000000001</v>
      </c>
      <c r="AI17">
        <f t="shared" si="4"/>
        <v>-146.11000000000001</v>
      </c>
      <c r="AJ17">
        <f t="shared" si="4"/>
        <v>-146.11000000000001</v>
      </c>
      <c r="AK17">
        <f t="shared" si="4"/>
        <v>-146.11000000000001</v>
      </c>
      <c r="AL17">
        <f t="shared" si="4"/>
        <v>-146.11000000000001</v>
      </c>
      <c r="AM17">
        <f t="shared" si="4"/>
        <v>-146.11000000000001</v>
      </c>
      <c r="AN17">
        <f t="shared" si="4"/>
        <v>-146.11000000000001</v>
      </c>
      <c r="AO17">
        <f t="shared" si="4"/>
        <v>-146.11000000000001</v>
      </c>
      <c r="AP17">
        <f t="shared" si="4"/>
        <v>-146.11000000000001</v>
      </c>
      <c r="AQ17">
        <f t="shared" si="4"/>
        <v>-146.11000000000001</v>
      </c>
      <c r="AR17">
        <f t="shared" si="5"/>
        <v>-146.11000000000001</v>
      </c>
      <c r="AS17">
        <f t="shared" si="5"/>
        <v>-146.11000000000001</v>
      </c>
      <c r="AT17">
        <f t="shared" si="5"/>
        <v>-146.11000000000001</v>
      </c>
      <c r="AU17">
        <f t="shared" si="5"/>
        <v>-146.11000000000001</v>
      </c>
      <c r="AV17">
        <f t="shared" si="5"/>
        <v>-146.11000000000001</v>
      </c>
      <c r="AW17">
        <f t="shared" si="5"/>
        <v>-146.11000000000001</v>
      </c>
      <c r="AX17">
        <f t="shared" si="5"/>
        <v>-146.11000000000001</v>
      </c>
      <c r="AY17">
        <f t="shared" si="5"/>
        <v>-146.11000000000001</v>
      </c>
      <c r="AZ17">
        <f t="shared" si="5"/>
        <v>-146.11000000000001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-144.21</v>
      </c>
      <c r="D18">
        <f t="shared" si="1"/>
        <v>-144.21</v>
      </c>
      <c r="E18">
        <f t="shared" si="1"/>
        <v>-144.21</v>
      </c>
      <c r="F18">
        <f t="shared" si="1"/>
        <v>-144.21</v>
      </c>
      <c r="G18">
        <f t="shared" si="1"/>
        <v>-144.21</v>
      </c>
      <c r="H18">
        <f t="shared" si="1"/>
        <v>-144.21</v>
      </c>
      <c r="I18">
        <f t="shared" si="1"/>
        <v>-144.21</v>
      </c>
      <c r="J18">
        <f t="shared" si="1"/>
        <v>-144.21</v>
      </c>
      <c r="K18">
        <f t="shared" si="1"/>
        <v>-144.21</v>
      </c>
      <c r="L18">
        <f t="shared" si="1"/>
        <v>-144.21</v>
      </c>
      <c r="M18">
        <f t="shared" si="1"/>
        <v>-144.21</v>
      </c>
      <c r="N18">
        <f t="shared" si="2"/>
        <v>-144.21</v>
      </c>
      <c r="O18">
        <f t="shared" si="2"/>
        <v>-144.21</v>
      </c>
      <c r="P18">
        <f t="shared" si="2"/>
        <v>-144.21</v>
      </c>
      <c r="Q18">
        <f t="shared" si="2"/>
        <v>-144.21</v>
      </c>
      <c r="R18">
        <f t="shared" si="2"/>
        <v>-144.21</v>
      </c>
      <c r="S18">
        <f t="shared" si="2"/>
        <v>-144.21</v>
      </c>
      <c r="T18">
        <f t="shared" si="2"/>
        <v>-144.21</v>
      </c>
      <c r="U18">
        <f t="shared" si="2"/>
        <v>-144.21</v>
      </c>
      <c r="V18">
        <f t="shared" si="2"/>
        <v>-144.21</v>
      </c>
      <c r="W18">
        <f t="shared" si="2"/>
        <v>-144.21</v>
      </c>
      <c r="X18">
        <f t="shared" si="3"/>
        <v>-144.21</v>
      </c>
      <c r="Y18">
        <f t="shared" si="3"/>
        <v>-144.21</v>
      </c>
      <c r="Z18">
        <f t="shared" si="3"/>
        <v>-144.21</v>
      </c>
      <c r="AA18">
        <f t="shared" si="3"/>
        <v>-144.21</v>
      </c>
      <c r="AB18">
        <f t="shared" si="3"/>
        <v>-144.21</v>
      </c>
      <c r="AC18">
        <f t="shared" si="3"/>
        <v>-144.21</v>
      </c>
      <c r="AD18">
        <f t="shared" si="3"/>
        <v>-144.21</v>
      </c>
      <c r="AE18">
        <f t="shared" si="3"/>
        <v>-144.21</v>
      </c>
      <c r="AF18">
        <f t="shared" si="3"/>
        <v>-144.21</v>
      </c>
      <c r="AG18">
        <f t="shared" si="3"/>
        <v>-144.21</v>
      </c>
      <c r="AH18">
        <f t="shared" si="4"/>
        <v>-144.21</v>
      </c>
      <c r="AI18">
        <f t="shared" si="4"/>
        <v>-144.21</v>
      </c>
      <c r="AJ18">
        <f t="shared" si="4"/>
        <v>-144.21</v>
      </c>
      <c r="AK18">
        <f t="shared" si="4"/>
        <v>-144.21</v>
      </c>
      <c r="AL18">
        <f t="shared" si="4"/>
        <v>-144.21</v>
      </c>
      <c r="AM18">
        <f t="shared" si="4"/>
        <v>-144.21</v>
      </c>
      <c r="AN18">
        <f t="shared" si="4"/>
        <v>-144.21</v>
      </c>
      <c r="AO18">
        <f t="shared" si="4"/>
        <v>-144.21</v>
      </c>
      <c r="AP18">
        <f t="shared" si="4"/>
        <v>-144.21</v>
      </c>
      <c r="AQ18">
        <f t="shared" si="4"/>
        <v>-144.21</v>
      </c>
      <c r="AR18">
        <f t="shared" si="5"/>
        <v>-144.21</v>
      </c>
      <c r="AS18">
        <f t="shared" si="5"/>
        <v>-144.21</v>
      </c>
      <c r="AT18">
        <f t="shared" si="5"/>
        <v>-144.21</v>
      </c>
      <c r="AU18">
        <f t="shared" si="5"/>
        <v>-144.21</v>
      </c>
      <c r="AV18">
        <f t="shared" si="5"/>
        <v>-144.21</v>
      </c>
      <c r="AW18">
        <f t="shared" si="5"/>
        <v>-144.21</v>
      </c>
      <c r="AX18">
        <f t="shared" si="5"/>
        <v>-144.21</v>
      </c>
      <c r="AY18">
        <f t="shared" si="5"/>
        <v>-144.21</v>
      </c>
      <c r="AZ18">
        <f t="shared" si="5"/>
        <v>-144.21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-142.35000000000002</v>
      </c>
      <c r="D19">
        <f t="shared" si="1"/>
        <v>-142.35000000000002</v>
      </c>
      <c r="E19">
        <f t="shared" si="1"/>
        <v>-142.35000000000002</v>
      </c>
      <c r="F19">
        <f t="shared" si="1"/>
        <v>-142.35000000000002</v>
      </c>
      <c r="G19">
        <f t="shared" si="1"/>
        <v>-142.35000000000002</v>
      </c>
      <c r="H19">
        <f t="shared" si="1"/>
        <v>-142.35000000000002</v>
      </c>
      <c r="I19">
        <f t="shared" si="1"/>
        <v>-142.35000000000002</v>
      </c>
      <c r="J19">
        <f t="shared" si="1"/>
        <v>-142.35000000000002</v>
      </c>
      <c r="K19">
        <f t="shared" si="1"/>
        <v>-142.35000000000002</v>
      </c>
      <c r="L19">
        <f t="shared" si="1"/>
        <v>-142.35000000000002</v>
      </c>
      <c r="M19">
        <f t="shared" si="1"/>
        <v>-142.35000000000002</v>
      </c>
      <c r="N19">
        <f t="shared" si="2"/>
        <v>-142.35000000000002</v>
      </c>
      <c r="O19">
        <f t="shared" si="2"/>
        <v>-142.35000000000002</v>
      </c>
      <c r="P19">
        <f t="shared" si="2"/>
        <v>-142.35000000000002</v>
      </c>
      <c r="Q19">
        <f t="shared" si="2"/>
        <v>-142.35000000000002</v>
      </c>
      <c r="R19">
        <f t="shared" si="2"/>
        <v>-142.35000000000002</v>
      </c>
      <c r="S19">
        <f t="shared" si="2"/>
        <v>-142.35000000000002</v>
      </c>
      <c r="T19">
        <f t="shared" si="2"/>
        <v>-142.35000000000002</v>
      </c>
      <c r="U19">
        <f t="shared" si="2"/>
        <v>-142.35000000000002</v>
      </c>
      <c r="V19">
        <f t="shared" si="2"/>
        <v>-142.35000000000002</v>
      </c>
      <c r="W19">
        <f t="shared" si="2"/>
        <v>-142.35000000000002</v>
      </c>
      <c r="X19">
        <f t="shared" si="3"/>
        <v>-142.35000000000002</v>
      </c>
      <c r="Y19">
        <f t="shared" si="3"/>
        <v>-142.35000000000002</v>
      </c>
      <c r="Z19">
        <f t="shared" si="3"/>
        <v>-142.35000000000002</v>
      </c>
      <c r="AA19">
        <f t="shared" si="3"/>
        <v>-142.35000000000002</v>
      </c>
      <c r="AB19">
        <f t="shared" si="3"/>
        <v>-142.35000000000002</v>
      </c>
      <c r="AC19">
        <f t="shared" si="3"/>
        <v>-142.35000000000002</v>
      </c>
      <c r="AD19">
        <f t="shared" si="3"/>
        <v>-142.35000000000002</v>
      </c>
      <c r="AE19">
        <f t="shared" si="3"/>
        <v>-142.35000000000002</v>
      </c>
      <c r="AF19">
        <f t="shared" si="3"/>
        <v>-142.35000000000002</v>
      </c>
      <c r="AG19">
        <f t="shared" si="3"/>
        <v>-142.35000000000002</v>
      </c>
      <c r="AH19">
        <f t="shared" si="4"/>
        <v>-142.35000000000002</v>
      </c>
      <c r="AI19">
        <f t="shared" si="4"/>
        <v>-142.35000000000002</v>
      </c>
      <c r="AJ19">
        <f t="shared" si="4"/>
        <v>-142.35000000000002</v>
      </c>
      <c r="AK19">
        <f t="shared" si="4"/>
        <v>-142.35000000000002</v>
      </c>
      <c r="AL19">
        <f t="shared" si="4"/>
        <v>-142.35000000000002</v>
      </c>
      <c r="AM19">
        <f t="shared" si="4"/>
        <v>-142.35000000000002</v>
      </c>
      <c r="AN19">
        <f t="shared" si="4"/>
        <v>-142.35000000000002</v>
      </c>
      <c r="AO19">
        <f t="shared" si="4"/>
        <v>-142.35000000000002</v>
      </c>
      <c r="AP19">
        <f t="shared" si="4"/>
        <v>-142.35000000000002</v>
      </c>
      <c r="AQ19">
        <f t="shared" si="4"/>
        <v>-142.35000000000002</v>
      </c>
      <c r="AR19">
        <f t="shared" si="5"/>
        <v>-142.35000000000002</v>
      </c>
      <c r="AS19">
        <f t="shared" si="5"/>
        <v>-142.35000000000002</v>
      </c>
      <c r="AT19">
        <f t="shared" si="5"/>
        <v>-142.35000000000002</v>
      </c>
      <c r="AU19">
        <f t="shared" si="5"/>
        <v>-142.35000000000002</v>
      </c>
      <c r="AV19">
        <f t="shared" si="5"/>
        <v>-142.35000000000002</v>
      </c>
      <c r="AW19">
        <f t="shared" si="5"/>
        <v>-142.35000000000002</v>
      </c>
      <c r="AX19">
        <f t="shared" si="5"/>
        <v>-142.35000000000002</v>
      </c>
      <c r="AY19">
        <f t="shared" si="5"/>
        <v>-142.35000000000002</v>
      </c>
      <c r="AZ19">
        <f t="shared" si="5"/>
        <v>-142.35000000000002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-140.53</v>
      </c>
      <c r="D20">
        <f t="shared" si="1"/>
        <v>-140.53</v>
      </c>
      <c r="E20">
        <f t="shared" si="1"/>
        <v>-140.53</v>
      </c>
      <c r="F20">
        <f t="shared" si="1"/>
        <v>-140.53</v>
      </c>
      <c r="G20">
        <f t="shared" si="1"/>
        <v>-140.53</v>
      </c>
      <c r="H20">
        <f t="shared" si="1"/>
        <v>-140.53</v>
      </c>
      <c r="I20">
        <f t="shared" si="1"/>
        <v>-140.53</v>
      </c>
      <c r="J20">
        <f t="shared" si="1"/>
        <v>-140.53</v>
      </c>
      <c r="K20">
        <f t="shared" si="1"/>
        <v>-140.53</v>
      </c>
      <c r="L20">
        <f t="shared" si="1"/>
        <v>-140.53</v>
      </c>
      <c r="M20">
        <f t="shared" si="1"/>
        <v>-140.53</v>
      </c>
      <c r="N20">
        <f t="shared" si="2"/>
        <v>-140.53</v>
      </c>
      <c r="O20">
        <f t="shared" si="2"/>
        <v>-140.53</v>
      </c>
      <c r="P20">
        <f t="shared" si="2"/>
        <v>-140.53</v>
      </c>
      <c r="Q20">
        <f t="shared" si="2"/>
        <v>-140.53</v>
      </c>
      <c r="R20">
        <f t="shared" si="2"/>
        <v>-140.53</v>
      </c>
      <c r="S20">
        <f t="shared" si="2"/>
        <v>-140.53</v>
      </c>
      <c r="T20">
        <f t="shared" si="2"/>
        <v>-140.53</v>
      </c>
      <c r="U20">
        <f t="shared" si="2"/>
        <v>-140.53</v>
      </c>
      <c r="V20">
        <f t="shared" si="2"/>
        <v>-140.53</v>
      </c>
      <c r="W20">
        <f t="shared" si="2"/>
        <v>-140.53</v>
      </c>
      <c r="X20">
        <f t="shared" si="3"/>
        <v>-140.53</v>
      </c>
      <c r="Y20">
        <f t="shared" si="3"/>
        <v>-140.53</v>
      </c>
      <c r="Z20">
        <f t="shared" si="3"/>
        <v>-140.53</v>
      </c>
      <c r="AA20">
        <f t="shared" si="3"/>
        <v>-140.53</v>
      </c>
      <c r="AB20">
        <f t="shared" si="3"/>
        <v>-140.53</v>
      </c>
      <c r="AC20">
        <f t="shared" si="3"/>
        <v>-140.53</v>
      </c>
      <c r="AD20">
        <f t="shared" si="3"/>
        <v>-140.53</v>
      </c>
      <c r="AE20">
        <f t="shared" si="3"/>
        <v>-140.53</v>
      </c>
      <c r="AF20">
        <f t="shared" si="3"/>
        <v>-140.53</v>
      </c>
      <c r="AG20">
        <f t="shared" si="3"/>
        <v>-140.53</v>
      </c>
      <c r="AH20">
        <f t="shared" si="4"/>
        <v>-140.53</v>
      </c>
      <c r="AI20">
        <f t="shared" si="4"/>
        <v>-140.53</v>
      </c>
      <c r="AJ20">
        <f t="shared" si="4"/>
        <v>-140.53</v>
      </c>
      <c r="AK20">
        <f t="shared" si="4"/>
        <v>-140.53</v>
      </c>
      <c r="AL20">
        <f t="shared" si="4"/>
        <v>-140.53</v>
      </c>
      <c r="AM20">
        <f t="shared" si="4"/>
        <v>-140.53</v>
      </c>
      <c r="AN20">
        <f t="shared" si="4"/>
        <v>-140.53</v>
      </c>
      <c r="AO20">
        <f t="shared" si="4"/>
        <v>-140.53</v>
      </c>
      <c r="AP20">
        <f t="shared" si="4"/>
        <v>-140.53</v>
      </c>
      <c r="AQ20">
        <f t="shared" si="4"/>
        <v>-140.53</v>
      </c>
      <c r="AR20">
        <f t="shared" si="5"/>
        <v>-140.53</v>
      </c>
      <c r="AS20">
        <f t="shared" si="5"/>
        <v>-140.53</v>
      </c>
      <c r="AT20">
        <f t="shared" si="5"/>
        <v>-140.53</v>
      </c>
      <c r="AU20">
        <f t="shared" si="5"/>
        <v>-140.53</v>
      </c>
      <c r="AV20">
        <f t="shared" si="5"/>
        <v>-140.53</v>
      </c>
      <c r="AW20">
        <f t="shared" si="5"/>
        <v>-140.53</v>
      </c>
      <c r="AX20">
        <f t="shared" si="5"/>
        <v>-140.53</v>
      </c>
      <c r="AY20">
        <f t="shared" si="5"/>
        <v>-140.53</v>
      </c>
      <c r="AZ20">
        <f t="shared" si="5"/>
        <v>-140.53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-138.75</v>
      </c>
      <c r="D21">
        <f t="shared" si="1"/>
        <v>-138.75</v>
      </c>
      <c r="E21">
        <f t="shared" si="1"/>
        <v>-138.75</v>
      </c>
      <c r="F21">
        <f t="shared" si="1"/>
        <v>-138.75</v>
      </c>
      <c r="G21">
        <f t="shared" si="1"/>
        <v>-138.75</v>
      </c>
      <c r="H21">
        <f t="shared" si="1"/>
        <v>-138.75</v>
      </c>
      <c r="I21">
        <f t="shared" si="1"/>
        <v>-138.75</v>
      </c>
      <c r="J21">
        <f t="shared" si="1"/>
        <v>-138.75</v>
      </c>
      <c r="K21">
        <f t="shared" si="1"/>
        <v>-138.75</v>
      </c>
      <c r="L21">
        <f t="shared" si="1"/>
        <v>-138.75</v>
      </c>
      <c r="M21">
        <f t="shared" si="1"/>
        <v>-138.75</v>
      </c>
      <c r="N21">
        <f t="shared" si="2"/>
        <v>-138.75</v>
      </c>
      <c r="O21">
        <f t="shared" si="2"/>
        <v>-138.75</v>
      </c>
      <c r="P21">
        <f t="shared" si="2"/>
        <v>-138.75</v>
      </c>
      <c r="Q21">
        <f t="shared" si="2"/>
        <v>-138.75</v>
      </c>
      <c r="R21">
        <f t="shared" si="2"/>
        <v>-138.75</v>
      </c>
      <c r="S21">
        <f t="shared" si="2"/>
        <v>-138.75</v>
      </c>
      <c r="T21">
        <f t="shared" si="2"/>
        <v>-138.75</v>
      </c>
      <c r="U21">
        <f t="shared" si="2"/>
        <v>-138.75</v>
      </c>
      <c r="V21">
        <f t="shared" si="2"/>
        <v>-138.75</v>
      </c>
      <c r="W21">
        <f t="shared" si="2"/>
        <v>-138.75</v>
      </c>
      <c r="X21">
        <f t="shared" si="3"/>
        <v>-138.75</v>
      </c>
      <c r="Y21">
        <f t="shared" si="3"/>
        <v>-138.75</v>
      </c>
      <c r="Z21">
        <f t="shared" si="3"/>
        <v>-138.75</v>
      </c>
      <c r="AA21">
        <f t="shared" si="3"/>
        <v>-138.75</v>
      </c>
      <c r="AB21">
        <f t="shared" si="3"/>
        <v>-138.75</v>
      </c>
      <c r="AC21">
        <f t="shared" si="3"/>
        <v>-138.75</v>
      </c>
      <c r="AD21">
        <f t="shared" si="3"/>
        <v>-138.75</v>
      </c>
      <c r="AE21">
        <f t="shared" si="3"/>
        <v>-138.75</v>
      </c>
      <c r="AF21">
        <f t="shared" si="3"/>
        <v>-138.75</v>
      </c>
      <c r="AG21">
        <f t="shared" si="3"/>
        <v>-138.75</v>
      </c>
      <c r="AH21">
        <f t="shared" si="4"/>
        <v>-138.75</v>
      </c>
      <c r="AI21">
        <f t="shared" si="4"/>
        <v>-138.75</v>
      </c>
      <c r="AJ21">
        <f t="shared" si="4"/>
        <v>-138.75</v>
      </c>
      <c r="AK21">
        <f t="shared" si="4"/>
        <v>-138.75</v>
      </c>
      <c r="AL21">
        <f t="shared" si="4"/>
        <v>-138.75</v>
      </c>
      <c r="AM21">
        <f t="shared" si="4"/>
        <v>-138.75</v>
      </c>
      <c r="AN21">
        <f t="shared" si="4"/>
        <v>-138.75</v>
      </c>
      <c r="AO21">
        <f t="shared" si="4"/>
        <v>-138.75</v>
      </c>
      <c r="AP21">
        <f t="shared" si="4"/>
        <v>-138.75</v>
      </c>
      <c r="AQ21">
        <f t="shared" si="4"/>
        <v>-138.75</v>
      </c>
      <c r="AR21">
        <f t="shared" si="5"/>
        <v>-138.75</v>
      </c>
      <c r="AS21">
        <f t="shared" si="5"/>
        <v>-138.75</v>
      </c>
      <c r="AT21">
        <f t="shared" si="5"/>
        <v>-138.75</v>
      </c>
      <c r="AU21">
        <f t="shared" si="5"/>
        <v>-138.75</v>
      </c>
      <c r="AV21">
        <f t="shared" si="5"/>
        <v>-138.75</v>
      </c>
      <c r="AW21">
        <f t="shared" si="5"/>
        <v>-138.75</v>
      </c>
      <c r="AX21">
        <f t="shared" si="5"/>
        <v>-138.75</v>
      </c>
      <c r="AY21">
        <f t="shared" si="5"/>
        <v>-138.75</v>
      </c>
      <c r="AZ21">
        <f t="shared" si="5"/>
        <v>-138.75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-137.01</v>
      </c>
      <c r="D22">
        <f t="shared" si="1"/>
        <v>-137.01</v>
      </c>
      <c r="E22">
        <f t="shared" si="1"/>
        <v>-137.01</v>
      </c>
      <c r="F22">
        <f t="shared" si="1"/>
        <v>-137.01</v>
      </c>
      <c r="G22">
        <f t="shared" si="1"/>
        <v>-137.01</v>
      </c>
      <c r="H22">
        <f t="shared" si="1"/>
        <v>-137.01</v>
      </c>
      <c r="I22">
        <f t="shared" si="1"/>
        <v>-137.01</v>
      </c>
      <c r="J22">
        <f t="shared" si="1"/>
        <v>-137.01</v>
      </c>
      <c r="K22">
        <f t="shared" si="1"/>
        <v>-137.01</v>
      </c>
      <c r="L22">
        <f t="shared" si="1"/>
        <v>-137.01</v>
      </c>
      <c r="M22">
        <f t="shared" si="1"/>
        <v>-137.01</v>
      </c>
      <c r="N22">
        <f t="shared" si="2"/>
        <v>-137.01</v>
      </c>
      <c r="O22">
        <f t="shared" si="2"/>
        <v>-137.01</v>
      </c>
      <c r="P22">
        <f t="shared" si="2"/>
        <v>-137.01</v>
      </c>
      <c r="Q22">
        <f t="shared" si="2"/>
        <v>-137.01</v>
      </c>
      <c r="R22">
        <f t="shared" si="2"/>
        <v>-137.01</v>
      </c>
      <c r="S22">
        <f t="shared" si="2"/>
        <v>-137.01</v>
      </c>
      <c r="T22">
        <f t="shared" si="2"/>
        <v>-137.01</v>
      </c>
      <c r="U22">
        <f t="shared" si="2"/>
        <v>-137.01</v>
      </c>
      <c r="V22">
        <f t="shared" si="2"/>
        <v>-137.01</v>
      </c>
      <c r="W22">
        <f t="shared" si="2"/>
        <v>-137.01</v>
      </c>
      <c r="X22">
        <f t="shared" si="3"/>
        <v>-137.01</v>
      </c>
      <c r="Y22">
        <f t="shared" si="3"/>
        <v>-137.01</v>
      </c>
      <c r="Z22">
        <f t="shared" si="3"/>
        <v>-137.01</v>
      </c>
      <c r="AA22">
        <f t="shared" si="3"/>
        <v>-137.01</v>
      </c>
      <c r="AB22">
        <f t="shared" si="3"/>
        <v>-137.01</v>
      </c>
      <c r="AC22">
        <f t="shared" si="3"/>
        <v>-137.01</v>
      </c>
      <c r="AD22">
        <f t="shared" si="3"/>
        <v>-137.01</v>
      </c>
      <c r="AE22">
        <f t="shared" si="3"/>
        <v>-137.01</v>
      </c>
      <c r="AF22">
        <f t="shared" si="3"/>
        <v>-137.01</v>
      </c>
      <c r="AG22">
        <f t="shared" si="3"/>
        <v>-137.01</v>
      </c>
      <c r="AH22">
        <f t="shared" si="4"/>
        <v>-137.01</v>
      </c>
      <c r="AI22">
        <f t="shared" si="4"/>
        <v>-137.01</v>
      </c>
      <c r="AJ22">
        <f t="shared" si="4"/>
        <v>-137.01</v>
      </c>
      <c r="AK22">
        <f t="shared" si="4"/>
        <v>-137.01</v>
      </c>
      <c r="AL22">
        <f t="shared" si="4"/>
        <v>-137.01</v>
      </c>
      <c r="AM22">
        <f t="shared" si="4"/>
        <v>-137.01</v>
      </c>
      <c r="AN22">
        <f t="shared" si="4"/>
        <v>-137.01</v>
      </c>
      <c r="AO22">
        <f t="shared" si="4"/>
        <v>-137.01</v>
      </c>
      <c r="AP22">
        <f t="shared" si="4"/>
        <v>-137.01</v>
      </c>
      <c r="AQ22">
        <f t="shared" si="4"/>
        <v>-137.01</v>
      </c>
      <c r="AR22">
        <f t="shared" si="5"/>
        <v>-137.01</v>
      </c>
      <c r="AS22">
        <f t="shared" si="5"/>
        <v>-137.01</v>
      </c>
      <c r="AT22">
        <f t="shared" si="5"/>
        <v>-137.01</v>
      </c>
      <c r="AU22">
        <f t="shared" si="5"/>
        <v>-137.01</v>
      </c>
      <c r="AV22">
        <f t="shared" si="5"/>
        <v>-137.01</v>
      </c>
      <c r="AW22">
        <f t="shared" si="5"/>
        <v>-137.01</v>
      </c>
      <c r="AX22">
        <f t="shared" si="5"/>
        <v>-137.01</v>
      </c>
      <c r="AY22">
        <f t="shared" si="5"/>
        <v>-137.01</v>
      </c>
      <c r="AZ22">
        <f t="shared" si="5"/>
        <v>-137.01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-135.31</v>
      </c>
      <c r="D23">
        <f t="shared" si="1"/>
        <v>-135.31</v>
      </c>
      <c r="E23">
        <f t="shared" si="1"/>
        <v>-135.31</v>
      </c>
      <c r="F23">
        <f t="shared" si="1"/>
        <v>-135.31</v>
      </c>
      <c r="G23">
        <f t="shared" si="1"/>
        <v>-135.31</v>
      </c>
      <c r="H23">
        <f t="shared" si="1"/>
        <v>-135.31</v>
      </c>
      <c r="I23">
        <f t="shared" si="1"/>
        <v>-135.31</v>
      </c>
      <c r="J23">
        <f t="shared" si="1"/>
        <v>-135.31</v>
      </c>
      <c r="K23">
        <f t="shared" si="1"/>
        <v>-135.31</v>
      </c>
      <c r="L23">
        <f t="shared" si="1"/>
        <v>-135.31</v>
      </c>
      <c r="M23">
        <f t="shared" si="1"/>
        <v>-135.31</v>
      </c>
      <c r="N23">
        <f t="shared" si="2"/>
        <v>-135.31</v>
      </c>
      <c r="O23">
        <f t="shared" si="2"/>
        <v>-135.31</v>
      </c>
      <c r="P23">
        <f t="shared" si="2"/>
        <v>-135.31</v>
      </c>
      <c r="Q23">
        <f t="shared" si="2"/>
        <v>-135.31</v>
      </c>
      <c r="R23">
        <f t="shared" si="2"/>
        <v>-135.31</v>
      </c>
      <c r="S23">
        <f t="shared" si="2"/>
        <v>-135.31</v>
      </c>
      <c r="T23">
        <f t="shared" si="2"/>
        <v>-135.31</v>
      </c>
      <c r="U23">
        <f t="shared" si="2"/>
        <v>-135.31</v>
      </c>
      <c r="V23">
        <f t="shared" si="2"/>
        <v>-135.31</v>
      </c>
      <c r="W23">
        <f t="shared" si="2"/>
        <v>-135.31</v>
      </c>
      <c r="X23">
        <f t="shared" si="3"/>
        <v>-135.31</v>
      </c>
      <c r="Y23">
        <f t="shared" si="3"/>
        <v>-135.31</v>
      </c>
      <c r="Z23">
        <f t="shared" si="3"/>
        <v>-135.31</v>
      </c>
      <c r="AA23">
        <f t="shared" si="3"/>
        <v>-135.31</v>
      </c>
      <c r="AB23">
        <f t="shared" si="3"/>
        <v>-135.31</v>
      </c>
      <c r="AC23">
        <f t="shared" si="3"/>
        <v>-135.31</v>
      </c>
      <c r="AD23">
        <f t="shared" si="3"/>
        <v>-135.31</v>
      </c>
      <c r="AE23">
        <f t="shared" si="3"/>
        <v>-135.31</v>
      </c>
      <c r="AF23">
        <f t="shared" si="3"/>
        <v>-135.31</v>
      </c>
      <c r="AG23">
        <f t="shared" si="3"/>
        <v>-135.31</v>
      </c>
      <c r="AH23">
        <f t="shared" si="4"/>
        <v>-135.31</v>
      </c>
      <c r="AI23">
        <f t="shared" si="4"/>
        <v>-135.31</v>
      </c>
      <c r="AJ23">
        <f t="shared" si="4"/>
        <v>-135.31</v>
      </c>
      <c r="AK23">
        <f t="shared" si="4"/>
        <v>-135.31</v>
      </c>
      <c r="AL23">
        <f t="shared" si="4"/>
        <v>-135.31</v>
      </c>
      <c r="AM23">
        <f t="shared" si="4"/>
        <v>-135.31</v>
      </c>
      <c r="AN23">
        <f t="shared" si="4"/>
        <v>-135.31</v>
      </c>
      <c r="AO23">
        <f t="shared" si="4"/>
        <v>-135.31</v>
      </c>
      <c r="AP23">
        <f t="shared" si="4"/>
        <v>-135.31</v>
      </c>
      <c r="AQ23">
        <f t="shared" si="4"/>
        <v>-135.31</v>
      </c>
      <c r="AR23">
        <f t="shared" si="5"/>
        <v>-135.31</v>
      </c>
      <c r="AS23">
        <f t="shared" si="5"/>
        <v>-135.31</v>
      </c>
      <c r="AT23">
        <f t="shared" si="5"/>
        <v>-135.31</v>
      </c>
      <c r="AU23">
        <f t="shared" si="5"/>
        <v>-135.31</v>
      </c>
      <c r="AV23">
        <f t="shared" si="5"/>
        <v>-135.31</v>
      </c>
      <c r="AW23">
        <f t="shared" si="5"/>
        <v>-135.31</v>
      </c>
      <c r="AX23">
        <f t="shared" si="5"/>
        <v>-135.31</v>
      </c>
      <c r="AY23">
        <f t="shared" si="5"/>
        <v>-135.31</v>
      </c>
      <c r="AZ23">
        <f t="shared" si="5"/>
        <v>-135.31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-133.65</v>
      </c>
      <c r="D24">
        <f t="shared" si="1"/>
        <v>-133.65</v>
      </c>
      <c r="E24">
        <f t="shared" si="1"/>
        <v>-133.65</v>
      </c>
      <c r="F24">
        <f t="shared" si="1"/>
        <v>-133.65</v>
      </c>
      <c r="G24">
        <f t="shared" si="1"/>
        <v>-133.65</v>
      </c>
      <c r="H24">
        <f t="shared" si="1"/>
        <v>-133.65</v>
      </c>
      <c r="I24">
        <f t="shared" si="1"/>
        <v>-133.65</v>
      </c>
      <c r="J24">
        <f t="shared" si="1"/>
        <v>-133.65</v>
      </c>
      <c r="K24">
        <f t="shared" si="1"/>
        <v>-133.65</v>
      </c>
      <c r="L24">
        <f t="shared" si="1"/>
        <v>-133.65</v>
      </c>
      <c r="M24">
        <f t="shared" si="1"/>
        <v>-133.65</v>
      </c>
      <c r="N24">
        <f t="shared" si="2"/>
        <v>-133.65</v>
      </c>
      <c r="O24">
        <f t="shared" si="2"/>
        <v>-133.65</v>
      </c>
      <c r="P24">
        <f t="shared" si="2"/>
        <v>-133.65</v>
      </c>
      <c r="Q24">
        <f t="shared" si="2"/>
        <v>-133.65</v>
      </c>
      <c r="R24">
        <f t="shared" si="2"/>
        <v>-133.65</v>
      </c>
      <c r="S24">
        <f t="shared" si="2"/>
        <v>-133.65</v>
      </c>
      <c r="T24">
        <f t="shared" si="2"/>
        <v>-133.65</v>
      </c>
      <c r="U24">
        <f t="shared" si="2"/>
        <v>-133.65</v>
      </c>
      <c r="V24">
        <f t="shared" si="2"/>
        <v>-133.65</v>
      </c>
      <c r="W24">
        <f t="shared" si="2"/>
        <v>-133.65</v>
      </c>
      <c r="X24">
        <f t="shared" si="3"/>
        <v>-133.65</v>
      </c>
      <c r="Y24">
        <f t="shared" si="3"/>
        <v>-133.65</v>
      </c>
      <c r="Z24">
        <f t="shared" si="3"/>
        <v>-133.65</v>
      </c>
      <c r="AA24">
        <f t="shared" si="3"/>
        <v>-133.65</v>
      </c>
      <c r="AB24">
        <f t="shared" si="3"/>
        <v>-133.65</v>
      </c>
      <c r="AC24">
        <f t="shared" si="3"/>
        <v>-133.65</v>
      </c>
      <c r="AD24">
        <f t="shared" si="3"/>
        <v>-133.65</v>
      </c>
      <c r="AE24">
        <f t="shared" si="3"/>
        <v>-133.65</v>
      </c>
      <c r="AF24">
        <f t="shared" si="3"/>
        <v>-133.65</v>
      </c>
      <c r="AG24">
        <f t="shared" si="3"/>
        <v>-133.65</v>
      </c>
      <c r="AH24">
        <f t="shared" si="4"/>
        <v>-133.65</v>
      </c>
      <c r="AI24">
        <f t="shared" si="4"/>
        <v>-133.65</v>
      </c>
      <c r="AJ24">
        <f t="shared" si="4"/>
        <v>-133.65</v>
      </c>
      <c r="AK24">
        <f t="shared" si="4"/>
        <v>-133.65</v>
      </c>
      <c r="AL24">
        <f t="shared" si="4"/>
        <v>-133.65</v>
      </c>
      <c r="AM24">
        <f t="shared" si="4"/>
        <v>-133.65</v>
      </c>
      <c r="AN24">
        <f t="shared" si="4"/>
        <v>-133.65</v>
      </c>
      <c r="AO24">
        <f t="shared" si="4"/>
        <v>-133.65</v>
      </c>
      <c r="AP24">
        <f t="shared" si="4"/>
        <v>-133.65</v>
      </c>
      <c r="AQ24">
        <f t="shared" si="4"/>
        <v>-133.65</v>
      </c>
      <c r="AR24">
        <f t="shared" si="5"/>
        <v>-133.65</v>
      </c>
      <c r="AS24">
        <f t="shared" si="5"/>
        <v>-133.65</v>
      </c>
      <c r="AT24">
        <f t="shared" si="5"/>
        <v>-133.65</v>
      </c>
      <c r="AU24">
        <f t="shared" si="5"/>
        <v>-133.65</v>
      </c>
      <c r="AV24">
        <f t="shared" si="5"/>
        <v>-133.65</v>
      </c>
      <c r="AW24">
        <f t="shared" si="5"/>
        <v>-133.65</v>
      </c>
      <c r="AX24">
        <f t="shared" si="5"/>
        <v>-133.65</v>
      </c>
      <c r="AY24">
        <f t="shared" si="5"/>
        <v>-133.65</v>
      </c>
      <c r="AZ24">
        <f t="shared" si="5"/>
        <v>-133.65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-132.03</v>
      </c>
      <c r="D25">
        <f t="shared" si="1"/>
        <v>-132.03</v>
      </c>
      <c r="E25">
        <f t="shared" si="1"/>
        <v>-132.03</v>
      </c>
      <c r="F25">
        <f t="shared" si="1"/>
        <v>-132.03</v>
      </c>
      <c r="G25">
        <f t="shared" si="1"/>
        <v>-132.03</v>
      </c>
      <c r="H25">
        <f t="shared" si="1"/>
        <v>-132.03</v>
      </c>
      <c r="I25">
        <f t="shared" si="1"/>
        <v>-132.03</v>
      </c>
      <c r="J25">
        <f t="shared" si="1"/>
        <v>-132.03</v>
      </c>
      <c r="K25">
        <f t="shared" si="1"/>
        <v>-132.03</v>
      </c>
      <c r="L25">
        <f t="shared" si="1"/>
        <v>-132.03</v>
      </c>
      <c r="M25">
        <f t="shared" si="1"/>
        <v>-132.03</v>
      </c>
      <c r="N25">
        <f t="shared" si="2"/>
        <v>-132.03</v>
      </c>
      <c r="O25">
        <f t="shared" si="2"/>
        <v>-132.03</v>
      </c>
      <c r="P25">
        <f t="shared" si="2"/>
        <v>-132.03</v>
      </c>
      <c r="Q25">
        <f t="shared" si="2"/>
        <v>-132.03</v>
      </c>
      <c r="R25">
        <f t="shared" si="2"/>
        <v>-132.03</v>
      </c>
      <c r="S25">
        <f t="shared" si="2"/>
        <v>-132.03</v>
      </c>
      <c r="T25">
        <f t="shared" si="2"/>
        <v>-132.03</v>
      </c>
      <c r="U25">
        <f t="shared" si="2"/>
        <v>-132.03</v>
      </c>
      <c r="V25">
        <f t="shared" si="2"/>
        <v>-132.03</v>
      </c>
      <c r="W25">
        <f t="shared" si="2"/>
        <v>-132.03</v>
      </c>
      <c r="X25">
        <f t="shared" si="3"/>
        <v>-132.03</v>
      </c>
      <c r="Y25">
        <f t="shared" si="3"/>
        <v>-132.03</v>
      </c>
      <c r="Z25">
        <f t="shared" si="3"/>
        <v>-132.03</v>
      </c>
      <c r="AA25">
        <f t="shared" si="3"/>
        <v>-132.03</v>
      </c>
      <c r="AB25">
        <f t="shared" si="3"/>
        <v>-132.03</v>
      </c>
      <c r="AC25">
        <f t="shared" si="3"/>
        <v>-132.03</v>
      </c>
      <c r="AD25">
        <f t="shared" si="3"/>
        <v>-132.03</v>
      </c>
      <c r="AE25">
        <f t="shared" si="3"/>
        <v>-132.03</v>
      </c>
      <c r="AF25">
        <f t="shared" si="3"/>
        <v>-132.03</v>
      </c>
      <c r="AG25">
        <f t="shared" si="3"/>
        <v>-132.03</v>
      </c>
      <c r="AH25">
        <f t="shared" si="4"/>
        <v>-132.03</v>
      </c>
      <c r="AI25">
        <f t="shared" si="4"/>
        <v>-132.03</v>
      </c>
      <c r="AJ25">
        <f t="shared" si="4"/>
        <v>-132.03</v>
      </c>
      <c r="AK25">
        <f t="shared" si="4"/>
        <v>-132.03</v>
      </c>
      <c r="AL25">
        <f t="shared" si="4"/>
        <v>-132.03</v>
      </c>
      <c r="AM25">
        <f t="shared" si="4"/>
        <v>-132.03</v>
      </c>
      <c r="AN25">
        <f t="shared" si="4"/>
        <v>-132.03</v>
      </c>
      <c r="AO25">
        <f t="shared" si="4"/>
        <v>-132.03</v>
      </c>
      <c r="AP25">
        <f t="shared" si="4"/>
        <v>-132.03</v>
      </c>
      <c r="AQ25">
        <f t="shared" si="4"/>
        <v>-132.03</v>
      </c>
      <c r="AR25">
        <f t="shared" si="5"/>
        <v>-132.03</v>
      </c>
      <c r="AS25">
        <f t="shared" si="5"/>
        <v>-132.03</v>
      </c>
      <c r="AT25">
        <f t="shared" si="5"/>
        <v>-132.03</v>
      </c>
      <c r="AU25">
        <f t="shared" si="5"/>
        <v>-132.03</v>
      </c>
      <c r="AV25">
        <f t="shared" si="5"/>
        <v>-132.03</v>
      </c>
      <c r="AW25">
        <f t="shared" si="5"/>
        <v>-132.03</v>
      </c>
      <c r="AX25">
        <f t="shared" si="5"/>
        <v>-132.03</v>
      </c>
      <c r="AY25">
        <f t="shared" si="5"/>
        <v>-132.03</v>
      </c>
      <c r="AZ25">
        <f t="shared" si="5"/>
        <v>-132.03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M35" si="7">-0.5*sigma^2*$A26^2-0.5*rate-1/dt</f>
        <v>-130.45000000000002</v>
      </c>
      <c r="D26">
        <f t="shared" si="7"/>
        <v>-130.45000000000002</v>
      </c>
      <c r="E26">
        <f t="shared" si="7"/>
        <v>-130.45000000000002</v>
      </c>
      <c r="F26">
        <f t="shared" si="7"/>
        <v>-130.45000000000002</v>
      </c>
      <c r="G26">
        <f t="shared" si="7"/>
        <v>-130.45000000000002</v>
      </c>
      <c r="H26">
        <f t="shared" si="7"/>
        <v>-130.45000000000002</v>
      </c>
      <c r="I26">
        <f t="shared" si="7"/>
        <v>-130.45000000000002</v>
      </c>
      <c r="J26">
        <f t="shared" si="7"/>
        <v>-130.45000000000002</v>
      </c>
      <c r="K26">
        <f t="shared" si="7"/>
        <v>-130.45000000000002</v>
      </c>
      <c r="L26">
        <f t="shared" si="7"/>
        <v>-130.45000000000002</v>
      </c>
      <c r="M26">
        <f t="shared" si="7"/>
        <v>-130.45000000000002</v>
      </c>
      <c r="N26">
        <f t="shared" ref="N26:W35" si="8">-0.5*sigma^2*$A26^2-0.5*rate-1/dt</f>
        <v>-130.45000000000002</v>
      </c>
      <c r="O26">
        <f t="shared" si="8"/>
        <v>-130.45000000000002</v>
      </c>
      <c r="P26">
        <f t="shared" si="8"/>
        <v>-130.45000000000002</v>
      </c>
      <c r="Q26">
        <f t="shared" si="8"/>
        <v>-130.45000000000002</v>
      </c>
      <c r="R26">
        <f t="shared" si="8"/>
        <v>-130.45000000000002</v>
      </c>
      <c r="S26">
        <f t="shared" si="8"/>
        <v>-130.45000000000002</v>
      </c>
      <c r="T26">
        <f t="shared" si="8"/>
        <v>-130.45000000000002</v>
      </c>
      <c r="U26">
        <f t="shared" si="8"/>
        <v>-130.45000000000002</v>
      </c>
      <c r="V26">
        <f t="shared" si="8"/>
        <v>-130.45000000000002</v>
      </c>
      <c r="W26">
        <f t="shared" si="8"/>
        <v>-130.45000000000002</v>
      </c>
      <c r="X26">
        <f t="shared" ref="X26:AG35" si="9">-0.5*sigma^2*$A26^2-0.5*rate-1/dt</f>
        <v>-130.45000000000002</v>
      </c>
      <c r="Y26">
        <f t="shared" si="9"/>
        <v>-130.45000000000002</v>
      </c>
      <c r="Z26">
        <f t="shared" si="9"/>
        <v>-130.45000000000002</v>
      </c>
      <c r="AA26">
        <f t="shared" si="9"/>
        <v>-130.45000000000002</v>
      </c>
      <c r="AB26">
        <f t="shared" si="9"/>
        <v>-130.45000000000002</v>
      </c>
      <c r="AC26">
        <f t="shared" si="9"/>
        <v>-130.45000000000002</v>
      </c>
      <c r="AD26">
        <f t="shared" si="9"/>
        <v>-130.45000000000002</v>
      </c>
      <c r="AE26">
        <f t="shared" si="9"/>
        <v>-130.45000000000002</v>
      </c>
      <c r="AF26">
        <f t="shared" si="9"/>
        <v>-130.45000000000002</v>
      </c>
      <c r="AG26">
        <f t="shared" si="9"/>
        <v>-130.45000000000002</v>
      </c>
      <c r="AH26">
        <f t="shared" ref="AH26:AQ35" si="10">-0.5*sigma^2*$A26^2-0.5*rate-1/dt</f>
        <v>-130.45000000000002</v>
      </c>
      <c r="AI26">
        <f t="shared" si="10"/>
        <v>-130.45000000000002</v>
      </c>
      <c r="AJ26">
        <f t="shared" si="10"/>
        <v>-130.45000000000002</v>
      </c>
      <c r="AK26">
        <f t="shared" si="10"/>
        <v>-130.45000000000002</v>
      </c>
      <c r="AL26">
        <f t="shared" si="10"/>
        <v>-130.45000000000002</v>
      </c>
      <c r="AM26">
        <f t="shared" si="10"/>
        <v>-130.45000000000002</v>
      </c>
      <c r="AN26">
        <f t="shared" si="10"/>
        <v>-130.45000000000002</v>
      </c>
      <c r="AO26">
        <f t="shared" si="10"/>
        <v>-130.45000000000002</v>
      </c>
      <c r="AP26">
        <f t="shared" si="10"/>
        <v>-130.45000000000002</v>
      </c>
      <c r="AQ26">
        <f t="shared" si="10"/>
        <v>-130.45000000000002</v>
      </c>
      <c r="AR26">
        <f t="shared" ref="AR26:AZ35" si="11">-0.5*sigma^2*$A26^2-0.5*rate-1/dt</f>
        <v>-130.45000000000002</v>
      </c>
      <c r="AS26">
        <f t="shared" si="11"/>
        <v>-130.45000000000002</v>
      </c>
      <c r="AT26">
        <f t="shared" si="11"/>
        <v>-130.45000000000002</v>
      </c>
      <c r="AU26">
        <f t="shared" si="11"/>
        <v>-130.45000000000002</v>
      </c>
      <c r="AV26">
        <f t="shared" si="11"/>
        <v>-130.45000000000002</v>
      </c>
      <c r="AW26">
        <f t="shared" si="11"/>
        <v>-130.45000000000002</v>
      </c>
      <c r="AX26">
        <f t="shared" si="11"/>
        <v>-130.45000000000002</v>
      </c>
      <c r="AY26">
        <f t="shared" si="11"/>
        <v>-130.45000000000002</v>
      </c>
      <c r="AZ26">
        <f t="shared" si="11"/>
        <v>-130.45000000000002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-128.91</v>
      </c>
      <c r="D27">
        <f t="shared" si="7"/>
        <v>-128.91</v>
      </c>
      <c r="E27">
        <f t="shared" si="7"/>
        <v>-128.91</v>
      </c>
      <c r="F27">
        <f t="shared" si="7"/>
        <v>-128.91</v>
      </c>
      <c r="G27">
        <f t="shared" si="7"/>
        <v>-128.91</v>
      </c>
      <c r="H27">
        <f t="shared" si="7"/>
        <v>-128.91</v>
      </c>
      <c r="I27">
        <f t="shared" si="7"/>
        <v>-128.91</v>
      </c>
      <c r="J27">
        <f t="shared" si="7"/>
        <v>-128.91</v>
      </c>
      <c r="K27">
        <f t="shared" si="7"/>
        <v>-128.91</v>
      </c>
      <c r="L27">
        <f t="shared" si="7"/>
        <v>-128.91</v>
      </c>
      <c r="M27">
        <f t="shared" si="7"/>
        <v>-128.91</v>
      </c>
      <c r="N27">
        <f t="shared" si="8"/>
        <v>-128.91</v>
      </c>
      <c r="O27">
        <f t="shared" si="8"/>
        <v>-128.91</v>
      </c>
      <c r="P27">
        <f t="shared" si="8"/>
        <v>-128.91</v>
      </c>
      <c r="Q27">
        <f t="shared" si="8"/>
        <v>-128.91</v>
      </c>
      <c r="R27">
        <f t="shared" si="8"/>
        <v>-128.91</v>
      </c>
      <c r="S27">
        <f t="shared" si="8"/>
        <v>-128.91</v>
      </c>
      <c r="T27">
        <f t="shared" si="8"/>
        <v>-128.91</v>
      </c>
      <c r="U27">
        <f t="shared" si="8"/>
        <v>-128.91</v>
      </c>
      <c r="V27">
        <f t="shared" si="8"/>
        <v>-128.91</v>
      </c>
      <c r="W27">
        <f t="shared" si="8"/>
        <v>-128.91</v>
      </c>
      <c r="X27">
        <f t="shared" si="9"/>
        <v>-128.91</v>
      </c>
      <c r="Y27">
        <f t="shared" si="9"/>
        <v>-128.91</v>
      </c>
      <c r="Z27">
        <f t="shared" si="9"/>
        <v>-128.91</v>
      </c>
      <c r="AA27">
        <f t="shared" si="9"/>
        <v>-128.91</v>
      </c>
      <c r="AB27">
        <f t="shared" si="9"/>
        <v>-128.91</v>
      </c>
      <c r="AC27">
        <f t="shared" si="9"/>
        <v>-128.91</v>
      </c>
      <c r="AD27">
        <f t="shared" si="9"/>
        <v>-128.91</v>
      </c>
      <c r="AE27">
        <f t="shared" si="9"/>
        <v>-128.91</v>
      </c>
      <c r="AF27">
        <f t="shared" si="9"/>
        <v>-128.91</v>
      </c>
      <c r="AG27">
        <f t="shared" si="9"/>
        <v>-128.91</v>
      </c>
      <c r="AH27">
        <f t="shared" si="10"/>
        <v>-128.91</v>
      </c>
      <c r="AI27">
        <f t="shared" si="10"/>
        <v>-128.91</v>
      </c>
      <c r="AJ27">
        <f t="shared" si="10"/>
        <v>-128.91</v>
      </c>
      <c r="AK27">
        <f t="shared" si="10"/>
        <v>-128.91</v>
      </c>
      <c r="AL27">
        <f t="shared" si="10"/>
        <v>-128.91</v>
      </c>
      <c r="AM27">
        <f t="shared" si="10"/>
        <v>-128.91</v>
      </c>
      <c r="AN27">
        <f t="shared" si="10"/>
        <v>-128.91</v>
      </c>
      <c r="AO27">
        <f t="shared" si="10"/>
        <v>-128.91</v>
      </c>
      <c r="AP27">
        <f t="shared" si="10"/>
        <v>-128.91</v>
      </c>
      <c r="AQ27">
        <f t="shared" si="10"/>
        <v>-128.91</v>
      </c>
      <c r="AR27">
        <f t="shared" si="11"/>
        <v>-128.91</v>
      </c>
      <c r="AS27">
        <f t="shared" si="11"/>
        <v>-128.91</v>
      </c>
      <c r="AT27">
        <f t="shared" si="11"/>
        <v>-128.91</v>
      </c>
      <c r="AU27">
        <f t="shared" si="11"/>
        <v>-128.91</v>
      </c>
      <c r="AV27">
        <f t="shared" si="11"/>
        <v>-128.91</v>
      </c>
      <c r="AW27">
        <f t="shared" si="11"/>
        <v>-128.91</v>
      </c>
      <c r="AX27">
        <f t="shared" si="11"/>
        <v>-128.91</v>
      </c>
      <c r="AY27">
        <f t="shared" si="11"/>
        <v>-128.91</v>
      </c>
      <c r="AZ27">
        <f t="shared" si="11"/>
        <v>-128.91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-127.41000000000001</v>
      </c>
      <c r="D28">
        <f t="shared" si="7"/>
        <v>-127.41000000000001</v>
      </c>
      <c r="E28">
        <f t="shared" si="7"/>
        <v>-127.41000000000001</v>
      </c>
      <c r="F28">
        <f t="shared" si="7"/>
        <v>-127.41000000000001</v>
      </c>
      <c r="G28">
        <f t="shared" si="7"/>
        <v>-127.41000000000001</v>
      </c>
      <c r="H28">
        <f t="shared" si="7"/>
        <v>-127.41000000000001</v>
      </c>
      <c r="I28">
        <f t="shared" si="7"/>
        <v>-127.41000000000001</v>
      </c>
      <c r="J28">
        <f t="shared" si="7"/>
        <v>-127.41000000000001</v>
      </c>
      <c r="K28">
        <f t="shared" si="7"/>
        <v>-127.41000000000001</v>
      </c>
      <c r="L28">
        <f t="shared" si="7"/>
        <v>-127.41000000000001</v>
      </c>
      <c r="M28">
        <f t="shared" si="7"/>
        <v>-127.41000000000001</v>
      </c>
      <c r="N28">
        <f t="shared" si="8"/>
        <v>-127.41000000000001</v>
      </c>
      <c r="O28">
        <f t="shared" si="8"/>
        <v>-127.41000000000001</v>
      </c>
      <c r="P28">
        <f t="shared" si="8"/>
        <v>-127.41000000000001</v>
      </c>
      <c r="Q28">
        <f t="shared" si="8"/>
        <v>-127.41000000000001</v>
      </c>
      <c r="R28">
        <f t="shared" si="8"/>
        <v>-127.41000000000001</v>
      </c>
      <c r="S28">
        <f t="shared" si="8"/>
        <v>-127.41000000000001</v>
      </c>
      <c r="T28">
        <f t="shared" si="8"/>
        <v>-127.41000000000001</v>
      </c>
      <c r="U28">
        <f t="shared" si="8"/>
        <v>-127.41000000000001</v>
      </c>
      <c r="V28">
        <f t="shared" si="8"/>
        <v>-127.41000000000001</v>
      </c>
      <c r="W28">
        <f t="shared" si="8"/>
        <v>-127.41000000000001</v>
      </c>
      <c r="X28">
        <f t="shared" si="9"/>
        <v>-127.41000000000001</v>
      </c>
      <c r="Y28">
        <f t="shared" si="9"/>
        <v>-127.41000000000001</v>
      </c>
      <c r="Z28">
        <f t="shared" si="9"/>
        <v>-127.41000000000001</v>
      </c>
      <c r="AA28">
        <f t="shared" si="9"/>
        <v>-127.41000000000001</v>
      </c>
      <c r="AB28">
        <f t="shared" si="9"/>
        <v>-127.41000000000001</v>
      </c>
      <c r="AC28">
        <f t="shared" si="9"/>
        <v>-127.41000000000001</v>
      </c>
      <c r="AD28">
        <f t="shared" si="9"/>
        <v>-127.41000000000001</v>
      </c>
      <c r="AE28">
        <f t="shared" si="9"/>
        <v>-127.41000000000001</v>
      </c>
      <c r="AF28">
        <f t="shared" si="9"/>
        <v>-127.41000000000001</v>
      </c>
      <c r="AG28">
        <f t="shared" si="9"/>
        <v>-127.41000000000001</v>
      </c>
      <c r="AH28">
        <f t="shared" si="10"/>
        <v>-127.41000000000001</v>
      </c>
      <c r="AI28">
        <f t="shared" si="10"/>
        <v>-127.41000000000001</v>
      </c>
      <c r="AJ28">
        <f t="shared" si="10"/>
        <v>-127.41000000000001</v>
      </c>
      <c r="AK28">
        <f t="shared" si="10"/>
        <v>-127.41000000000001</v>
      </c>
      <c r="AL28">
        <f t="shared" si="10"/>
        <v>-127.41000000000001</v>
      </c>
      <c r="AM28">
        <f t="shared" si="10"/>
        <v>-127.41000000000001</v>
      </c>
      <c r="AN28">
        <f t="shared" si="10"/>
        <v>-127.41000000000001</v>
      </c>
      <c r="AO28">
        <f t="shared" si="10"/>
        <v>-127.41000000000001</v>
      </c>
      <c r="AP28">
        <f t="shared" si="10"/>
        <v>-127.41000000000001</v>
      </c>
      <c r="AQ28">
        <f t="shared" si="10"/>
        <v>-127.41000000000001</v>
      </c>
      <c r="AR28">
        <f t="shared" si="11"/>
        <v>-127.41000000000001</v>
      </c>
      <c r="AS28">
        <f t="shared" si="11"/>
        <v>-127.41000000000001</v>
      </c>
      <c r="AT28">
        <f t="shared" si="11"/>
        <v>-127.41000000000001</v>
      </c>
      <c r="AU28">
        <f t="shared" si="11"/>
        <v>-127.41000000000001</v>
      </c>
      <c r="AV28">
        <f t="shared" si="11"/>
        <v>-127.41000000000001</v>
      </c>
      <c r="AW28">
        <f t="shared" si="11"/>
        <v>-127.41000000000001</v>
      </c>
      <c r="AX28">
        <f t="shared" si="11"/>
        <v>-127.41000000000001</v>
      </c>
      <c r="AY28">
        <f t="shared" si="11"/>
        <v>-127.41000000000001</v>
      </c>
      <c r="AZ28">
        <f t="shared" si="11"/>
        <v>-127.41000000000001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-125.95</v>
      </c>
      <c r="D29">
        <f t="shared" si="7"/>
        <v>-125.95</v>
      </c>
      <c r="E29">
        <f t="shared" si="7"/>
        <v>-125.95</v>
      </c>
      <c r="F29">
        <f t="shared" si="7"/>
        <v>-125.95</v>
      </c>
      <c r="G29">
        <f t="shared" si="7"/>
        <v>-125.95</v>
      </c>
      <c r="H29">
        <f t="shared" si="7"/>
        <v>-125.95</v>
      </c>
      <c r="I29">
        <f t="shared" si="7"/>
        <v>-125.95</v>
      </c>
      <c r="J29">
        <f t="shared" si="7"/>
        <v>-125.95</v>
      </c>
      <c r="K29">
        <f t="shared" si="7"/>
        <v>-125.95</v>
      </c>
      <c r="L29">
        <f t="shared" si="7"/>
        <v>-125.95</v>
      </c>
      <c r="M29">
        <f t="shared" si="7"/>
        <v>-125.95</v>
      </c>
      <c r="N29">
        <f t="shared" si="8"/>
        <v>-125.95</v>
      </c>
      <c r="O29">
        <f t="shared" si="8"/>
        <v>-125.95</v>
      </c>
      <c r="P29">
        <f t="shared" si="8"/>
        <v>-125.95</v>
      </c>
      <c r="Q29">
        <f t="shared" si="8"/>
        <v>-125.95</v>
      </c>
      <c r="R29">
        <f t="shared" si="8"/>
        <v>-125.95</v>
      </c>
      <c r="S29">
        <f t="shared" si="8"/>
        <v>-125.95</v>
      </c>
      <c r="T29">
        <f t="shared" si="8"/>
        <v>-125.95</v>
      </c>
      <c r="U29">
        <f t="shared" si="8"/>
        <v>-125.95</v>
      </c>
      <c r="V29">
        <f t="shared" si="8"/>
        <v>-125.95</v>
      </c>
      <c r="W29">
        <f t="shared" si="8"/>
        <v>-125.95</v>
      </c>
      <c r="X29">
        <f t="shared" si="9"/>
        <v>-125.95</v>
      </c>
      <c r="Y29">
        <f t="shared" si="9"/>
        <v>-125.95</v>
      </c>
      <c r="Z29">
        <f t="shared" si="9"/>
        <v>-125.95</v>
      </c>
      <c r="AA29">
        <f t="shared" si="9"/>
        <v>-125.95</v>
      </c>
      <c r="AB29">
        <f t="shared" si="9"/>
        <v>-125.95</v>
      </c>
      <c r="AC29">
        <f t="shared" si="9"/>
        <v>-125.95</v>
      </c>
      <c r="AD29">
        <f t="shared" si="9"/>
        <v>-125.95</v>
      </c>
      <c r="AE29">
        <f t="shared" si="9"/>
        <v>-125.95</v>
      </c>
      <c r="AF29">
        <f t="shared" si="9"/>
        <v>-125.95</v>
      </c>
      <c r="AG29">
        <f t="shared" si="9"/>
        <v>-125.95</v>
      </c>
      <c r="AH29">
        <f t="shared" si="10"/>
        <v>-125.95</v>
      </c>
      <c r="AI29">
        <f t="shared" si="10"/>
        <v>-125.95</v>
      </c>
      <c r="AJ29">
        <f t="shared" si="10"/>
        <v>-125.95</v>
      </c>
      <c r="AK29">
        <f t="shared" si="10"/>
        <v>-125.95</v>
      </c>
      <c r="AL29">
        <f t="shared" si="10"/>
        <v>-125.95</v>
      </c>
      <c r="AM29">
        <f t="shared" si="10"/>
        <v>-125.95</v>
      </c>
      <c r="AN29">
        <f t="shared" si="10"/>
        <v>-125.95</v>
      </c>
      <c r="AO29">
        <f t="shared" si="10"/>
        <v>-125.95</v>
      </c>
      <c r="AP29">
        <f t="shared" si="10"/>
        <v>-125.95</v>
      </c>
      <c r="AQ29">
        <f t="shared" si="10"/>
        <v>-125.95</v>
      </c>
      <c r="AR29">
        <f t="shared" si="11"/>
        <v>-125.95</v>
      </c>
      <c r="AS29">
        <f t="shared" si="11"/>
        <v>-125.95</v>
      </c>
      <c r="AT29">
        <f t="shared" si="11"/>
        <v>-125.95</v>
      </c>
      <c r="AU29">
        <f t="shared" si="11"/>
        <v>-125.95</v>
      </c>
      <c r="AV29">
        <f t="shared" si="11"/>
        <v>-125.95</v>
      </c>
      <c r="AW29">
        <f t="shared" si="11"/>
        <v>-125.95</v>
      </c>
      <c r="AX29">
        <f t="shared" si="11"/>
        <v>-125.95</v>
      </c>
      <c r="AY29">
        <f t="shared" si="11"/>
        <v>-125.95</v>
      </c>
      <c r="AZ29">
        <f t="shared" si="11"/>
        <v>-125.95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-124.53</v>
      </c>
      <c r="D30">
        <f t="shared" si="7"/>
        <v>-124.53</v>
      </c>
      <c r="E30">
        <f t="shared" si="7"/>
        <v>-124.53</v>
      </c>
      <c r="F30">
        <f t="shared" si="7"/>
        <v>-124.53</v>
      </c>
      <c r="G30">
        <f t="shared" si="7"/>
        <v>-124.53</v>
      </c>
      <c r="H30">
        <f t="shared" si="7"/>
        <v>-124.53</v>
      </c>
      <c r="I30">
        <f t="shared" si="7"/>
        <v>-124.53</v>
      </c>
      <c r="J30">
        <f t="shared" si="7"/>
        <v>-124.53</v>
      </c>
      <c r="K30">
        <f t="shared" si="7"/>
        <v>-124.53</v>
      </c>
      <c r="L30">
        <f t="shared" si="7"/>
        <v>-124.53</v>
      </c>
      <c r="M30">
        <f t="shared" si="7"/>
        <v>-124.53</v>
      </c>
      <c r="N30">
        <f t="shared" si="8"/>
        <v>-124.53</v>
      </c>
      <c r="O30">
        <f t="shared" si="8"/>
        <v>-124.53</v>
      </c>
      <c r="P30">
        <f t="shared" si="8"/>
        <v>-124.53</v>
      </c>
      <c r="Q30">
        <f t="shared" si="8"/>
        <v>-124.53</v>
      </c>
      <c r="R30">
        <f t="shared" si="8"/>
        <v>-124.53</v>
      </c>
      <c r="S30">
        <f t="shared" si="8"/>
        <v>-124.53</v>
      </c>
      <c r="T30">
        <f t="shared" si="8"/>
        <v>-124.53</v>
      </c>
      <c r="U30">
        <f t="shared" si="8"/>
        <v>-124.53</v>
      </c>
      <c r="V30">
        <f t="shared" si="8"/>
        <v>-124.53</v>
      </c>
      <c r="W30">
        <f t="shared" si="8"/>
        <v>-124.53</v>
      </c>
      <c r="X30">
        <f t="shared" si="9"/>
        <v>-124.53</v>
      </c>
      <c r="Y30">
        <f t="shared" si="9"/>
        <v>-124.53</v>
      </c>
      <c r="Z30">
        <f t="shared" si="9"/>
        <v>-124.53</v>
      </c>
      <c r="AA30">
        <f t="shared" si="9"/>
        <v>-124.53</v>
      </c>
      <c r="AB30">
        <f t="shared" si="9"/>
        <v>-124.53</v>
      </c>
      <c r="AC30">
        <f t="shared" si="9"/>
        <v>-124.53</v>
      </c>
      <c r="AD30">
        <f t="shared" si="9"/>
        <v>-124.53</v>
      </c>
      <c r="AE30">
        <f t="shared" si="9"/>
        <v>-124.53</v>
      </c>
      <c r="AF30">
        <f t="shared" si="9"/>
        <v>-124.53</v>
      </c>
      <c r="AG30">
        <f t="shared" si="9"/>
        <v>-124.53</v>
      </c>
      <c r="AH30">
        <f t="shared" si="10"/>
        <v>-124.53</v>
      </c>
      <c r="AI30">
        <f t="shared" si="10"/>
        <v>-124.53</v>
      </c>
      <c r="AJ30">
        <f t="shared" si="10"/>
        <v>-124.53</v>
      </c>
      <c r="AK30">
        <f t="shared" si="10"/>
        <v>-124.53</v>
      </c>
      <c r="AL30">
        <f t="shared" si="10"/>
        <v>-124.53</v>
      </c>
      <c r="AM30">
        <f t="shared" si="10"/>
        <v>-124.53</v>
      </c>
      <c r="AN30">
        <f t="shared" si="10"/>
        <v>-124.53</v>
      </c>
      <c r="AO30">
        <f t="shared" si="10"/>
        <v>-124.53</v>
      </c>
      <c r="AP30">
        <f t="shared" si="10"/>
        <v>-124.53</v>
      </c>
      <c r="AQ30">
        <f t="shared" si="10"/>
        <v>-124.53</v>
      </c>
      <c r="AR30">
        <f t="shared" si="11"/>
        <v>-124.53</v>
      </c>
      <c r="AS30">
        <f t="shared" si="11"/>
        <v>-124.53</v>
      </c>
      <c r="AT30">
        <f t="shared" si="11"/>
        <v>-124.53</v>
      </c>
      <c r="AU30">
        <f t="shared" si="11"/>
        <v>-124.53</v>
      </c>
      <c r="AV30">
        <f t="shared" si="11"/>
        <v>-124.53</v>
      </c>
      <c r="AW30">
        <f t="shared" si="11"/>
        <v>-124.53</v>
      </c>
      <c r="AX30">
        <f t="shared" si="11"/>
        <v>-124.53</v>
      </c>
      <c r="AY30">
        <f t="shared" si="11"/>
        <v>-124.53</v>
      </c>
      <c r="AZ30">
        <f t="shared" si="11"/>
        <v>-124.53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-123.15</v>
      </c>
      <c r="D31">
        <f t="shared" si="7"/>
        <v>-123.15</v>
      </c>
      <c r="E31">
        <f t="shared" si="7"/>
        <v>-123.15</v>
      </c>
      <c r="F31">
        <f t="shared" si="7"/>
        <v>-123.15</v>
      </c>
      <c r="G31">
        <f t="shared" si="7"/>
        <v>-123.15</v>
      </c>
      <c r="H31">
        <f t="shared" si="7"/>
        <v>-123.15</v>
      </c>
      <c r="I31">
        <f t="shared" si="7"/>
        <v>-123.15</v>
      </c>
      <c r="J31">
        <f t="shared" si="7"/>
        <v>-123.15</v>
      </c>
      <c r="K31">
        <f t="shared" si="7"/>
        <v>-123.15</v>
      </c>
      <c r="L31">
        <f t="shared" si="7"/>
        <v>-123.15</v>
      </c>
      <c r="M31">
        <f t="shared" si="7"/>
        <v>-123.15</v>
      </c>
      <c r="N31">
        <f t="shared" si="8"/>
        <v>-123.15</v>
      </c>
      <c r="O31">
        <f t="shared" si="8"/>
        <v>-123.15</v>
      </c>
      <c r="P31">
        <f t="shared" si="8"/>
        <v>-123.15</v>
      </c>
      <c r="Q31">
        <f t="shared" si="8"/>
        <v>-123.15</v>
      </c>
      <c r="R31">
        <f t="shared" si="8"/>
        <v>-123.15</v>
      </c>
      <c r="S31">
        <f t="shared" si="8"/>
        <v>-123.15</v>
      </c>
      <c r="T31">
        <f t="shared" si="8"/>
        <v>-123.15</v>
      </c>
      <c r="U31">
        <f t="shared" si="8"/>
        <v>-123.15</v>
      </c>
      <c r="V31">
        <f t="shared" si="8"/>
        <v>-123.15</v>
      </c>
      <c r="W31">
        <f t="shared" si="8"/>
        <v>-123.15</v>
      </c>
      <c r="X31">
        <f t="shared" si="9"/>
        <v>-123.15</v>
      </c>
      <c r="Y31">
        <f t="shared" si="9"/>
        <v>-123.15</v>
      </c>
      <c r="Z31">
        <f t="shared" si="9"/>
        <v>-123.15</v>
      </c>
      <c r="AA31">
        <f t="shared" si="9"/>
        <v>-123.15</v>
      </c>
      <c r="AB31">
        <f t="shared" si="9"/>
        <v>-123.15</v>
      </c>
      <c r="AC31">
        <f t="shared" si="9"/>
        <v>-123.15</v>
      </c>
      <c r="AD31">
        <f t="shared" si="9"/>
        <v>-123.15</v>
      </c>
      <c r="AE31">
        <f t="shared" si="9"/>
        <v>-123.15</v>
      </c>
      <c r="AF31">
        <f t="shared" si="9"/>
        <v>-123.15</v>
      </c>
      <c r="AG31">
        <f t="shared" si="9"/>
        <v>-123.15</v>
      </c>
      <c r="AH31">
        <f t="shared" si="10"/>
        <v>-123.15</v>
      </c>
      <c r="AI31">
        <f t="shared" si="10"/>
        <v>-123.15</v>
      </c>
      <c r="AJ31">
        <f t="shared" si="10"/>
        <v>-123.15</v>
      </c>
      <c r="AK31">
        <f t="shared" si="10"/>
        <v>-123.15</v>
      </c>
      <c r="AL31">
        <f t="shared" si="10"/>
        <v>-123.15</v>
      </c>
      <c r="AM31">
        <f t="shared" si="10"/>
        <v>-123.15</v>
      </c>
      <c r="AN31">
        <f t="shared" si="10"/>
        <v>-123.15</v>
      </c>
      <c r="AO31">
        <f t="shared" si="10"/>
        <v>-123.15</v>
      </c>
      <c r="AP31">
        <f t="shared" si="10"/>
        <v>-123.15</v>
      </c>
      <c r="AQ31">
        <f t="shared" si="10"/>
        <v>-123.15</v>
      </c>
      <c r="AR31">
        <f t="shared" si="11"/>
        <v>-123.15</v>
      </c>
      <c r="AS31">
        <f t="shared" si="11"/>
        <v>-123.15</v>
      </c>
      <c r="AT31">
        <f t="shared" si="11"/>
        <v>-123.15</v>
      </c>
      <c r="AU31">
        <f t="shared" si="11"/>
        <v>-123.15</v>
      </c>
      <c r="AV31">
        <f t="shared" si="11"/>
        <v>-123.15</v>
      </c>
      <c r="AW31">
        <f t="shared" si="11"/>
        <v>-123.15</v>
      </c>
      <c r="AX31">
        <f t="shared" si="11"/>
        <v>-123.15</v>
      </c>
      <c r="AY31">
        <f t="shared" si="11"/>
        <v>-123.15</v>
      </c>
      <c r="AZ31">
        <f t="shared" si="11"/>
        <v>-123.15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-121.81</v>
      </c>
      <c r="D32">
        <f t="shared" si="7"/>
        <v>-121.81</v>
      </c>
      <c r="E32">
        <f t="shared" si="7"/>
        <v>-121.81</v>
      </c>
      <c r="F32">
        <f t="shared" si="7"/>
        <v>-121.81</v>
      </c>
      <c r="G32">
        <f t="shared" si="7"/>
        <v>-121.81</v>
      </c>
      <c r="H32">
        <f t="shared" si="7"/>
        <v>-121.81</v>
      </c>
      <c r="I32">
        <f t="shared" si="7"/>
        <v>-121.81</v>
      </c>
      <c r="J32">
        <f t="shared" si="7"/>
        <v>-121.81</v>
      </c>
      <c r="K32">
        <f t="shared" si="7"/>
        <v>-121.81</v>
      </c>
      <c r="L32">
        <f t="shared" si="7"/>
        <v>-121.81</v>
      </c>
      <c r="M32">
        <f t="shared" si="7"/>
        <v>-121.81</v>
      </c>
      <c r="N32">
        <f t="shared" si="8"/>
        <v>-121.81</v>
      </c>
      <c r="O32">
        <f t="shared" si="8"/>
        <v>-121.81</v>
      </c>
      <c r="P32">
        <f t="shared" si="8"/>
        <v>-121.81</v>
      </c>
      <c r="Q32">
        <f t="shared" si="8"/>
        <v>-121.81</v>
      </c>
      <c r="R32">
        <f t="shared" si="8"/>
        <v>-121.81</v>
      </c>
      <c r="S32">
        <f t="shared" si="8"/>
        <v>-121.81</v>
      </c>
      <c r="T32">
        <f t="shared" si="8"/>
        <v>-121.81</v>
      </c>
      <c r="U32">
        <f t="shared" si="8"/>
        <v>-121.81</v>
      </c>
      <c r="V32">
        <f t="shared" si="8"/>
        <v>-121.81</v>
      </c>
      <c r="W32">
        <f t="shared" si="8"/>
        <v>-121.81</v>
      </c>
      <c r="X32">
        <f t="shared" si="9"/>
        <v>-121.81</v>
      </c>
      <c r="Y32">
        <f t="shared" si="9"/>
        <v>-121.81</v>
      </c>
      <c r="Z32">
        <f t="shared" si="9"/>
        <v>-121.81</v>
      </c>
      <c r="AA32">
        <f t="shared" si="9"/>
        <v>-121.81</v>
      </c>
      <c r="AB32">
        <f t="shared" si="9"/>
        <v>-121.81</v>
      </c>
      <c r="AC32">
        <f t="shared" si="9"/>
        <v>-121.81</v>
      </c>
      <c r="AD32">
        <f t="shared" si="9"/>
        <v>-121.81</v>
      </c>
      <c r="AE32">
        <f t="shared" si="9"/>
        <v>-121.81</v>
      </c>
      <c r="AF32">
        <f t="shared" si="9"/>
        <v>-121.81</v>
      </c>
      <c r="AG32">
        <f t="shared" si="9"/>
        <v>-121.81</v>
      </c>
      <c r="AH32">
        <f t="shared" si="10"/>
        <v>-121.81</v>
      </c>
      <c r="AI32">
        <f t="shared" si="10"/>
        <v>-121.81</v>
      </c>
      <c r="AJ32">
        <f t="shared" si="10"/>
        <v>-121.81</v>
      </c>
      <c r="AK32">
        <f t="shared" si="10"/>
        <v>-121.81</v>
      </c>
      <c r="AL32">
        <f t="shared" si="10"/>
        <v>-121.81</v>
      </c>
      <c r="AM32">
        <f t="shared" si="10"/>
        <v>-121.81</v>
      </c>
      <c r="AN32">
        <f t="shared" si="10"/>
        <v>-121.81</v>
      </c>
      <c r="AO32">
        <f t="shared" si="10"/>
        <v>-121.81</v>
      </c>
      <c r="AP32">
        <f t="shared" si="10"/>
        <v>-121.81</v>
      </c>
      <c r="AQ32">
        <f t="shared" si="10"/>
        <v>-121.81</v>
      </c>
      <c r="AR32">
        <f t="shared" si="11"/>
        <v>-121.81</v>
      </c>
      <c r="AS32">
        <f t="shared" si="11"/>
        <v>-121.81</v>
      </c>
      <c r="AT32">
        <f t="shared" si="11"/>
        <v>-121.81</v>
      </c>
      <c r="AU32">
        <f t="shared" si="11"/>
        <v>-121.81</v>
      </c>
      <c r="AV32">
        <f t="shared" si="11"/>
        <v>-121.81</v>
      </c>
      <c r="AW32">
        <f t="shared" si="11"/>
        <v>-121.81</v>
      </c>
      <c r="AX32">
        <f t="shared" si="11"/>
        <v>-121.81</v>
      </c>
      <c r="AY32">
        <f t="shared" si="11"/>
        <v>-121.81</v>
      </c>
      <c r="AZ32">
        <f t="shared" si="11"/>
        <v>-121.81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-120.51</v>
      </c>
      <c r="D33">
        <f t="shared" si="7"/>
        <v>-120.51</v>
      </c>
      <c r="E33">
        <f t="shared" si="7"/>
        <v>-120.51</v>
      </c>
      <c r="F33">
        <f t="shared" si="7"/>
        <v>-120.51</v>
      </c>
      <c r="G33">
        <f t="shared" si="7"/>
        <v>-120.51</v>
      </c>
      <c r="H33">
        <f t="shared" si="7"/>
        <v>-120.51</v>
      </c>
      <c r="I33">
        <f t="shared" si="7"/>
        <v>-120.51</v>
      </c>
      <c r="J33">
        <f t="shared" si="7"/>
        <v>-120.51</v>
      </c>
      <c r="K33">
        <f t="shared" si="7"/>
        <v>-120.51</v>
      </c>
      <c r="L33">
        <f t="shared" si="7"/>
        <v>-120.51</v>
      </c>
      <c r="M33">
        <f t="shared" si="7"/>
        <v>-120.51</v>
      </c>
      <c r="N33">
        <f t="shared" si="8"/>
        <v>-120.51</v>
      </c>
      <c r="O33">
        <f t="shared" si="8"/>
        <v>-120.51</v>
      </c>
      <c r="P33">
        <f t="shared" si="8"/>
        <v>-120.51</v>
      </c>
      <c r="Q33">
        <f t="shared" si="8"/>
        <v>-120.51</v>
      </c>
      <c r="R33">
        <f t="shared" si="8"/>
        <v>-120.51</v>
      </c>
      <c r="S33">
        <f t="shared" si="8"/>
        <v>-120.51</v>
      </c>
      <c r="T33">
        <f t="shared" si="8"/>
        <v>-120.51</v>
      </c>
      <c r="U33">
        <f t="shared" si="8"/>
        <v>-120.51</v>
      </c>
      <c r="V33">
        <f t="shared" si="8"/>
        <v>-120.51</v>
      </c>
      <c r="W33">
        <f t="shared" si="8"/>
        <v>-120.51</v>
      </c>
      <c r="X33">
        <f t="shared" si="9"/>
        <v>-120.51</v>
      </c>
      <c r="Y33">
        <f t="shared" si="9"/>
        <v>-120.51</v>
      </c>
      <c r="Z33">
        <f t="shared" si="9"/>
        <v>-120.51</v>
      </c>
      <c r="AA33">
        <f t="shared" si="9"/>
        <v>-120.51</v>
      </c>
      <c r="AB33">
        <f t="shared" si="9"/>
        <v>-120.51</v>
      </c>
      <c r="AC33">
        <f t="shared" si="9"/>
        <v>-120.51</v>
      </c>
      <c r="AD33">
        <f t="shared" si="9"/>
        <v>-120.51</v>
      </c>
      <c r="AE33">
        <f t="shared" si="9"/>
        <v>-120.51</v>
      </c>
      <c r="AF33">
        <f t="shared" si="9"/>
        <v>-120.51</v>
      </c>
      <c r="AG33">
        <f t="shared" si="9"/>
        <v>-120.51</v>
      </c>
      <c r="AH33">
        <f t="shared" si="10"/>
        <v>-120.51</v>
      </c>
      <c r="AI33">
        <f t="shared" si="10"/>
        <v>-120.51</v>
      </c>
      <c r="AJ33">
        <f t="shared" si="10"/>
        <v>-120.51</v>
      </c>
      <c r="AK33">
        <f t="shared" si="10"/>
        <v>-120.51</v>
      </c>
      <c r="AL33">
        <f t="shared" si="10"/>
        <v>-120.51</v>
      </c>
      <c r="AM33">
        <f t="shared" si="10"/>
        <v>-120.51</v>
      </c>
      <c r="AN33">
        <f t="shared" si="10"/>
        <v>-120.51</v>
      </c>
      <c r="AO33">
        <f t="shared" si="10"/>
        <v>-120.51</v>
      </c>
      <c r="AP33">
        <f t="shared" si="10"/>
        <v>-120.51</v>
      </c>
      <c r="AQ33">
        <f t="shared" si="10"/>
        <v>-120.51</v>
      </c>
      <c r="AR33">
        <f t="shared" si="11"/>
        <v>-120.51</v>
      </c>
      <c r="AS33">
        <f t="shared" si="11"/>
        <v>-120.51</v>
      </c>
      <c r="AT33">
        <f t="shared" si="11"/>
        <v>-120.51</v>
      </c>
      <c r="AU33">
        <f t="shared" si="11"/>
        <v>-120.51</v>
      </c>
      <c r="AV33">
        <f t="shared" si="11"/>
        <v>-120.51</v>
      </c>
      <c r="AW33">
        <f t="shared" si="11"/>
        <v>-120.51</v>
      </c>
      <c r="AX33">
        <f t="shared" si="11"/>
        <v>-120.51</v>
      </c>
      <c r="AY33">
        <f t="shared" si="11"/>
        <v>-120.51</v>
      </c>
      <c r="AZ33">
        <f t="shared" si="11"/>
        <v>-120.51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-119.25</v>
      </c>
      <c r="D34">
        <f t="shared" si="7"/>
        <v>-119.25</v>
      </c>
      <c r="E34">
        <f t="shared" si="7"/>
        <v>-119.25</v>
      </c>
      <c r="F34">
        <f t="shared" si="7"/>
        <v>-119.25</v>
      </c>
      <c r="G34">
        <f t="shared" si="7"/>
        <v>-119.25</v>
      </c>
      <c r="H34">
        <f t="shared" si="7"/>
        <v>-119.25</v>
      </c>
      <c r="I34">
        <f t="shared" si="7"/>
        <v>-119.25</v>
      </c>
      <c r="J34">
        <f t="shared" si="7"/>
        <v>-119.25</v>
      </c>
      <c r="K34">
        <f t="shared" si="7"/>
        <v>-119.25</v>
      </c>
      <c r="L34">
        <f t="shared" si="7"/>
        <v>-119.25</v>
      </c>
      <c r="M34">
        <f t="shared" si="7"/>
        <v>-119.25</v>
      </c>
      <c r="N34">
        <f t="shared" si="8"/>
        <v>-119.25</v>
      </c>
      <c r="O34">
        <f t="shared" si="8"/>
        <v>-119.25</v>
      </c>
      <c r="P34">
        <f t="shared" si="8"/>
        <v>-119.25</v>
      </c>
      <c r="Q34">
        <f t="shared" si="8"/>
        <v>-119.25</v>
      </c>
      <c r="R34">
        <f t="shared" si="8"/>
        <v>-119.25</v>
      </c>
      <c r="S34">
        <f t="shared" si="8"/>
        <v>-119.25</v>
      </c>
      <c r="T34">
        <f t="shared" si="8"/>
        <v>-119.25</v>
      </c>
      <c r="U34">
        <f t="shared" si="8"/>
        <v>-119.25</v>
      </c>
      <c r="V34">
        <f t="shared" si="8"/>
        <v>-119.25</v>
      </c>
      <c r="W34">
        <f t="shared" si="8"/>
        <v>-119.25</v>
      </c>
      <c r="X34">
        <f t="shared" si="9"/>
        <v>-119.25</v>
      </c>
      <c r="Y34">
        <f t="shared" si="9"/>
        <v>-119.25</v>
      </c>
      <c r="Z34">
        <f t="shared" si="9"/>
        <v>-119.25</v>
      </c>
      <c r="AA34">
        <f t="shared" si="9"/>
        <v>-119.25</v>
      </c>
      <c r="AB34">
        <f t="shared" si="9"/>
        <v>-119.25</v>
      </c>
      <c r="AC34">
        <f t="shared" si="9"/>
        <v>-119.25</v>
      </c>
      <c r="AD34">
        <f t="shared" si="9"/>
        <v>-119.25</v>
      </c>
      <c r="AE34">
        <f t="shared" si="9"/>
        <v>-119.25</v>
      </c>
      <c r="AF34">
        <f t="shared" si="9"/>
        <v>-119.25</v>
      </c>
      <c r="AG34">
        <f t="shared" si="9"/>
        <v>-119.25</v>
      </c>
      <c r="AH34">
        <f t="shared" si="10"/>
        <v>-119.25</v>
      </c>
      <c r="AI34">
        <f t="shared" si="10"/>
        <v>-119.25</v>
      </c>
      <c r="AJ34">
        <f t="shared" si="10"/>
        <v>-119.25</v>
      </c>
      <c r="AK34">
        <f t="shared" si="10"/>
        <v>-119.25</v>
      </c>
      <c r="AL34">
        <f t="shared" si="10"/>
        <v>-119.25</v>
      </c>
      <c r="AM34">
        <f t="shared" si="10"/>
        <v>-119.25</v>
      </c>
      <c r="AN34">
        <f t="shared" si="10"/>
        <v>-119.25</v>
      </c>
      <c r="AO34">
        <f t="shared" si="10"/>
        <v>-119.25</v>
      </c>
      <c r="AP34">
        <f t="shared" si="10"/>
        <v>-119.25</v>
      </c>
      <c r="AQ34">
        <f t="shared" si="10"/>
        <v>-119.25</v>
      </c>
      <c r="AR34">
        <f t="shared" si="11"/>
        <v>-119.25</v>
      </c>
      <c r="AS34">
        <f t="shared" si="11"/>
        <v>-119.25</v>
      </c>
      <c r="AT34">
        <f t="shared" si="11"/>
        <v>-119.25</v>
      </c>
      <c r="AU34">
        <f t="shared" si="11"/>
        <v>-119.25</v>
      </c>
      <c r="AV34">
        <f t="shared" si="11"/>
        <v>-119.25</v>
      </c>
      <c r="AW34">
        <f t="shared" si="11"/>
        <v>-119.25</v>
      </c>
      <c r="AX34">
        <f t="shared" si="11"/>
        <v>-119.25</v>
      </c>
      <c r="AY34">
        <f t="shared" si="11"/>
        <v>-119.25</v>
      </c>
      <c r="AZ34">
        <f t="shared" si="11"/>
        <v>-119.25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-118.03</v>
      </c>
      <c r="D35">
        <f t="shared" si="7"/>
        <v>-118.03</v>
      </c>
      <c r="E35">
        <f t="shared" si="7"/>
        <v>-118.03</v>
      </c>
      <c r="F35">
        <f t="shared" si="7"/>
        <v>-118.03</v>
      </c>
      <c r="G35">
        <f t="shared" si="7"/>
        <v>-118.03</v>
      </c>
      <c r="H35">
        <f t="shared" si="7"/>
        <v>-118.03</v>
      </c>
      <c r="I35">
        <f t="shared" si="7"/>
        <v>-118.03</v>
      </c>
      <c r="J35">
        <f t="shared" si="7"/>
        <v>-118.03</v>
      </c>
      <c r="K35">
        <f t="shared" si="7"/>
        <v>-118.03</v>
      </c>
      <c r="L35">
        <f t="shared" si="7"/>
        <v>-118.03</v>
      </c>
      <c r="M35">
        <f t="shared" si="7"/>
        <v>-118.03</v>
      </c>
      <c r="N35">
        <f t="shared" si="8"/>
        <v>-118.03</v>
      </c>
      <c r="O35">
        <f t="shared" si="8"/>
        <v>-118.03</v>
      </c>
      <c r="P35">
        <f t="shared" si="8"/>
        <v>-118.03</v>
      </c>
      <c r="Q35">
        <f t="shared" si="8"/>
        <v>-118.03</v>
      </c>
      <c r="R35">
        <f t="shared" si="8"/>
        <v>-118.03</v>
      </c>
      <c r="S35">
        <f t="shared" si="8"/>
        <v>-118.03</v>
      </c>
      <c r="T35">
        <f t="shared" si="8"/>
        <v>-118.03</v>
      </c>
      <c r="U35">
        <f t="shared" si="8"/>
        <v>-118.03</v>
      </c>
      <c r="V35">
        <f t="shared" si="8"/>
        <v>-118.03</v>
      </c>
      <c r="W35">
        <f t="shared" si="8"/>
        <v>-118.03</v>
      </c>
      <c r="X35">
        <f t="shared" si="9"/>
        <v>-118.03</v>
      </c>
      <c r="Y35">
        <f t="shared" si="9"/>
        <v>-118.03</v>
      </c>
      <c r="Z35">
        <f t="shared" si="9"/>
        <v>-118.03</v>
      </c>
      <c r="AA35">
        <f t="shared" si="9"/>
        <v>-118.03</v>
      </c>
      <c r="AB35">
        <f t="shared" si="9"/>
        <v>-118.03</v>
      </c>
      <c r="AC35">
        <f t="shared" si="9"/>
        <v>-118.03</v>
      </c>
      <c r="AD35">
        <f t="shared" si="9"/>
        <v>-118.03</v>
      </c>
      <c r="AE35">
        <f t="shared" si="9"/>
        <v>-118.03</v>
      </c>
      <c r="AF35">
        <f t="shared" si="9"/>
        <v>-118.03</v>
      </c>
      <c r="AG35">
        <f t="shared" si="9"/>
        <v>-118.03</v>
      </c>
      <c r="AH35">
        <f t="shared" si="10"/>
        <v>-118.03</v>
      </c>
      <c r="AI35">
        <f t="shared" si="10"/>
        <v>-118.03</v>
      </c>
      <c r="AJ35">
        <f t="shared" si="10"/>
        <v>-118.03</v>
      </c>
      <c r="AK35">
        <f t="shared" si="10"/>
        <v>-118.03</v>
      </c>
      <c r="AL35">
        <f t="shared" si="10"/>
        <v>-118.03</v>
      </c>
      <c r="AM35">
        <f t="shared" si="10"/>
        <v>-118.03</v>
      </c>
      <c r="AN35">
        <f t="shared" si="10"/>
        <v>-118.03</v>
      </c>
      <c r="AO35">
        <f t="shared" si="10"/>
        <v>-118.03</v>
      </c>
      <c r="AP35">
        <f t="shared" si="10"/>
        <v>-118.03</v>
      </c>
      <c r="AQ35">
        <f t="shared" si="10"/>
        <v>-118.03</v>
      </c>
      <c r="AR35">
        <f t="shared" si="11"/>
        <v>-118.03</v>
      </c>
      <c r="AS35">
        <f t="shared" si="11"/>
        <v>-118.03</v>
      </c>
      <c r="AT35">
        <f t="shared" si="11"/>
        <v>-118.03</v>
      </c>
      <c r="AU35">
        <f t="shared" si="11"/>
        <v>-118.03</v>
      </c>
      <c r="AV35">
        <f t="shared" si="11"/>
        <v>-118.03</v>
      </c>
      <c r="AW35">
        <f t="shared" si="11"/>
        <v>-118.03</v>
      </c>
      <c r="AX35">
        <f t="shared" si="11"/>
        <v>-118.03</v>
      </c>
      <c r="AY35">
        <f t="shared" si="11"/>
        <v>-118.03</v>
      </c>
      <c r="AZ35">
        <f t="shared" si="11"/>
        <v>-118.03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M45" si="12">-0.5*sigma^2*$A36^2-0.5*rate-1/dt</f>
        <v>-116.85000000000001</v>
      </c>
      <c r="D36">
        <f t="shared" si="12"/>
        <v>-116.85000000000001</v>
      </c>
      <c r="E36">
        <f t="shared" si="12"/>
        <v>-116.85000000000001</v>
      </c>
      <c r="F36">
        <f t="shared" si="12"/>
        <v>-116.85000000000001</v>
      </c>
      <c r="G36">
        <f t="shared" si="12"/>
        <v>-116.85000000000001</v>
      </c>
      <c r="H36">
        <f t="shared" si="12"/>
        <v>-116.85000000000001</v>
      </c>
      <c r="I36">
        <f t="shared" si="12"/>
        <v>-116.85000000000001</v>
      </c>
      <c r="J36">
        <f t="shared" si="12"/>
        <v>-116.85000000000001</v>
      </c>
      <c r="K36">
        <f t="shared" si="12"/>
        <v>-116.85000000000001</v>
      </c>
      <c r="L36">
        <f t="shared" si="12"/>
        <v>-116.85000000000001</v>
      </c>
      <c r="M36">
        <f t="shared" si="12"/>
        <v>-116.85000000000001</v>
      </c>
      <c r="N36">
        <f t="shared" ref="N36:W45" si="13">-0.5*sigma^2*$A36^2-0.5*rate-1/dt</f>
        <v>-116.85000000000001</v>
      </c>
      <c r="O36">
        <f t="shared" si="13"/>
        <v>-116.85000000000001</v>
      </c>
      <c r="P36">
        <f t="shared" si="13"/>
        <v>-116.85000000000001</v>
      </c>
      <c r="Q36">
        <f t="shared" si="13"/>
        <v>-116.85000000000001</v>
      </c>
      <c r="R36">
        <f t="shared" si="13"/>
        <v>-116.85000000000001</v>
      </c>
      <c r="S36">
        <f t="shared" si="13"/>
        <v>-116.85000000000001</v>
      </c>
      <c r="T36">
        <f t="shared" si="13"/>
        <v>-116.85000000000001</v>
      </c>
      <c r="U36">
        <f t="shared" si="13"/>
        <v>-116.85000000000001</v>
      </c>
      <c r="V36">
        <f t="shared" si="13"/>
        <v>-116.85000000000001</v>
      </c>
      <c r="W36">
        <f t="shared" si="13"/>
        <v>-116.85000000000001</v>
      </c>
      <c r="X36">
        <f t="shared" ref="X36:AG45" si="14">-0.5*sigma^2*$A36^2-0.5*rate-1/dt</f>
        <v>-116.85000000000001</v>
      </c>
      <c r="Y36">
        <f t="shared" si="14"/>
        <v>-116.85000000000001</v>
      </c>
      <c r="Z36">
        <f t="shared" si="14"/>
        <v>-116.85000000000001</v>
      </c>
      <c r="AA36">
        <f t="shared" si="14"/>
        <v>-116.85000000000001</v>
      </c>
      <c r="AB36">
        <f t="shared" si="14"/>
        <v>-116.85000000000001</v>
      </c>
      <c r="AC36">
        <f t="shared" si="14"/>
        <v>-116.85000000000001</v>
      </c>
      <c r="AD36">
        <f t="shared" si="14"/>
        <v>-116.85000000000001</v>
      </c>
      <c r="AE36">
        <f t="shared" si="14"/>
        <v>-116.85000000000001</v>
      </c>
      <c r="AF36">
        <f t="shared" si="14"/>
        <v>-116.85000000000001</v>
      </c>
      <c r="AG36">
        <f t="shared" si="14"/>
        <v>-116.85000000000001</v>
      </c>
      <c r="AH36">
        <f t="shared" ref="AH36:AQ45" si="15">-0.5*sigma^2*$A36^2-0.5*rate-1/dt</f>
        <v>-116.85000000000001</v>
      </c>
      <c r="AI36">
        <f t="shared" si="15"/>
        <v>-116.85000000000001</v>
      </c>
      <c r="AJ36">
        <f t="shared" si="15"/>
        <v>-116.85000000000001</v>
      </c>
      <c r="AK36">
        <f t="shared" si="15"/>
        <v>-116.85000000000001</v>
      </c>
      <c r="AL36">
        <f t="shared" si="15"/>
        <v>-116.85000000000001</v>
      </c>
      <c r="AM36">
        <f t="shared" si="15"/>
        <v>-116.85000000000001</v>
      </c>
      <c r="AN36">
        <f t="shared" si="15"/>
        <v>-116.85000000000001</v>
      </c>
      <c r="AO36">
        <f t="shared" si="15"/>
        <v>-116.85000000000001</v>
      </c>
      <c r="AP36">
        <f t="shared" si="15"/>
        <v>-116.85000000000001</v>
      </c>
      <c r="AQ36">
        <f t="shared" si="15"/>
        <v>-116.85000000000001</v>
      </c>
      <c r="AR36">
        <f t="shared" ref="AR36:AZ45" si="16">-0.5*sigma^2*$A36^2-0.5*rate-1/dt</f>
        <v>-116.85000000000001</v>
      </c>
      <c r="AS36">
        <f t="shared" si="16"/>
        <v>-116.85000000000001</v>
      </c>
      <c r="AT36">
        <f t="shared" si="16"/>
        <v>-116.85000000000001</v>
      </c>
      <c r="AU36">
        <f t="shared" si="16"/>
        <v>-116.85000000000001</v>
      </c>
      <c r="AV36">
        <f t="shared" si="16"/>
        <v>-116.85000000000001</v>
      </c>
      <c r="AW36">
        <f t="shared" si="16"/>
        <v>-116.85000000000001</v>
      </c>
      <c r="AX36">
        <f t="shared" si="16"/>
        <v>-116.85000000000001</v>
      </c>
      <c r="AY36">
        <f t="shared" si="16"/>
        <v>-116.85000000000001</v>
      </c>
      <c r="AZ36">
        <f t="shared" si="16"/>
        <v>-116.85000000000001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-115.71000000000001</v>
      </c>
      <c r="D37">
        <f t="shared" si="12"/>
        <v>-115.71000000000001</v>
      </c>
      <c r="E37">
        <f t="shared" si="12"/>
        <v>-115.71000000000001</v>
      </c>
      <c r="F37">
        <f t="shared" si="12"/>
        <v>-115.71000000000001</v>
      </c>
      <c r="G37">
        <f t="shared" si="12"/>
        <v>-115.71000000000001</v>
      </c>
      <c r="H37">
        <f t="shared" si="12"/>
        <v>-115.71000000000001</v>
      </c>
      <c r="I37">
        <f t="shared" si="12"/>
        <v>-115.71000000000001</v>
      </c>
      <c r="J37">
        <f t="shared" si="12"/>
        <v>-115.71000000000001</v>
      </c>
      <c r="K37">
        <f t="shared" si="12"/>
        <v>-115.71000000000001</v>
      </c>
      <c r="L37">
        <f t="shared" si="12"/>
        <v>-115.71000000000001</v>
      </c>
      <c r="M37">
        <f t="shared" si="12"/>
        <v>-115.71000000000001</v>
      </c>
      <c r="N37">
        <f t="shared" si="13"/>
        <v>-115.71000000000001</v>
      </c>
      <c r="O37">
        <f t="shared" si="13"/>
        <v>-115.71000000000001</v>
      </c>
      <c r="P37">
        <f t="shared" si="13"/>
        <v>-115.71000000000001</v>
      </c>
      <c r="Q37">
        <f t="shared" si="13"/>
        <v>-115.71000000000001</v>
      </c>
      <c r="R37">
        <f t="shared" si="13"/>
        <v>-115.71000000000001</v>
      </c>
      <c r="S37">
        <f t="shared" si="13"/>
        <v>-115.71000000000001</v>
      </c>
      <c r="T37">
        <f t="shared" si="13"/>
        <v>-115.71000000000001</v>
      </c>
      <c r="U37">
        <f t="shared" si="13"/>
        <v>-115.71000000000001</v>
      </c>
      <c r="V37">
        <f t="shared" si="13"/>
        <v>-115.71000000000001</v>
      </c>
      <c r="W37">
        <f t="shared" si="13"/>
        <v>-115.71000000000001</v>
      </c>
      <c r="X37">
        <f t="shared" si="14"/>
        <v>-115.71000000000001</v>
      </c>
      <c r="Y37">
        <f t="shared" si="14"/>
        <v>-115.71000000000001</v>
      </c>
      <c r="Z37">
        <f t="shared" si="14"/>
        <v>-115.71000000000001</v>
      </c>
      <c r="AA37">
        <f t="shared" si="14"/>
        <v>-115.71000000000001</v>
      </c>
      <c r="AB37">
        <f t="shared" si="14"/>
        <v>-115.71000000000001</v>
      </c>
      <c r="AC37">
        <f t="shared" si="14"/>
        <v>-115.71000000000001</v>
      </c>
      <c r="AD37">
        <f t="shared" si="14"/>
        <v>-115.71000000000001</v>
      </c>
      <c r="AE37">
        <f t="shared" si="14"/>
        <v>-115.71000000000001</v>
      </c>
      <c r="AF37">
        <f t="shared" si="14"/>
        <v>-115.71000000000001</v>
      </c>
      <c r="AG37">
        <f t="shared" si="14"/>
        <v>-115.71000000000001</v>
      </c>
      <c r="AH37">
        <f t="shared" si="15"/>
        <v>-115.71000000000001</v>
      </c>
      <c r="AI37">
        <f t="shared" si="15"/>
        <v>-115.71000000000001</v>
      </c>
      <c r="AJ37">
        <f t="shared" si="15"/>
        <v>-115.71000000000001</v>
      </c>
      <c r="AK37">
        <f t="shared" si="15"/>
        <v>-115.71000000000001</v>
      </c>
      <c r="AL37">
        <f t="shared" si="15"/>
        <v>-115.71000000000001</v>
      </c>
      <c r="AM37">
        <f t="shared" si="15"/>
        <v>-115.71000000000001</v>
      </c>
      <c r="AN37">
        <f t="shared" si="15"/>
        <v>-115.71000000000001</v>
      </c>
      <c r="AO37">
        <f t="shared" si="15"/>
        <v>-115.71000000000001</v>
      </c>
      <c r="AP37">
        <f t="shared" si="15"/>
        <v>-115.71000000000001</v>
      </c>
      <c r="AQ37">
        <f t="shared" si="15"/>
        <v>-115.71000000000001</v>
      </c>
      <c r="AR37">
        <f t="shared" si="16"/>
        <v>-115.71000000000001</v>
      </c>
      <c r="AS37">
        <f t="shared" si="16"/>
        <v>-115.71000000000001</v>
      </c>
      <c r="AT37">
        <f t="shared" si="16"/>
        <v>-115.71000000000001</v>
      </c>
      <c r="AU37">
        <f t="shared" si="16"/>
        <v>-115.71000000000001</v>
      </c>
      <c r="AV37">
        <f t="shared" si="16"/>
        <v>-115.71000000000001</v>
      </c>
      <c r="AW37">
        <f t="shared" si="16"/>
        <v>-115.71000000000001</v>
      </c>
      <c r="AX37">
        <f t="shared" si="16"/>
        <v>-115.71000000000001</v>
      </c>
      <c r="AY37">
        <f t="shared" si="16"/>
        <v>-115.71000000000001</v>
      </c>
      <c r="AZ37">
        <f t="shared" si="16"/>
        <v>-115.71000000000001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-114.61</v>
      </c>
      <c r="D38">
        <f t="shared" si="12"/>
        <v>-114.61</v>
      </c>
      <c r="E38">
        <f t="shared" si="12"/>
        <v>-114.61</v>
      </c>
      <c r="F38">
        <f t="shared" si="12"/>
        <v>-114.61</v>
      </c>
      <c r="G38">
        <f t="shared" si="12"/>
        <v>-114.61</v>
      </c>
      <c r="H38">
        <f t="shared" si="12"/>
        <v>-114.61</v>
      </c>
      <c r="I38">
        <f t="shared" si="12"/>
        <v>-114.61</v>
      </c>
      <c r="J38">
        <f t="shared" si="12"/>
        <v>-114.61</v>
      </c>
      <c r="K38">
        <f t="shared" si="12"/>
        <v>-114.61</v>
      </c>
      <c r="L38">
        <f t="shared" si="12"/>
        <v>-114.61</v>
      </c>
      <c r="M38">
        <f t="shared" si="12"/>
        <v>-114.61</v>
      </c>
      <c r="N38">
        <f t="shared" si="13"/>
        <v>-114.61</v>
      </c>
      <c r="O38">
        <f t="shared" si="13"/>
        <v>-114.61</v>
      </c>
      <c r="P38">
        <f t="shared" si="13"/>
        <v>-114.61</v>
      </c>
      <c r="Q38">
        <f t="shared" si="13"/>
        <v>-114.61</v>
      </c>
      <c r="R38">
        <f t="shared" si="13"/>
        <v>-114.61</v>
      </c>
      <c r="S38">
        <f t="shared" si="13"/>
        <v>-114.61</v>
      </c>
      <c r="T38">
        <f t="shared" si="13"/>
        <v>-114.61</v>
      </c>
      <c r="U38">
        <f t="shared" si="13"/>
        <v>-114.61</v>
      </c>
      <c r="V38">
        <f t="shared" si="13"/>
        <v>-114.61</v>
      </c>
      <c r="W38">
        <f t="shared" si="13"/>
        <v>-114.61</v>
      </c>
      <c r="X38">
        <f t="shared" si="14"/>
        <v>-114.61</v>
      </c>
      <c r="Y38">
        <f t="shared" si="14"/>
        <v>-114.61</v>
      </c>
      <c r="Z38">
        <f t="shared" si="14"/>
        <v>-114.61</v>
      </c>
      <c r="AA38">
        <f t="shared" si="14"/>
        <v>-114.61</v>
      </c>
      <c r="AB38">
        <f t="shared" si="14"/>
        <v>-114.61</v>
      </c>
      <c r="AC38">
        <f t="shared" si="14"/>
        <v>-114.61</v>
      </c>
      <c r="AD38">
        <f t="shared" si="14"/>
        <v>-114.61</v>
      </c>
      <c r="AE38">
        <f t="shared" si="14"/>
        <v>-114.61</v>
      </c>
      <c r="AF38">
        <f t="shared" si="14"/>
        <v>-114.61</v>
      </c>
      <c r="AG38">
        <f t="shared" si="14"/>
        <v>-114.61</v>
      </c>
      <c r="AH38">
        <f t="shared" si="15"/>
        <v>-114.61</v>
      </c>
      <c r="AI38">
        <f t="shared" si="15"/>
        <v>-114.61</v>
      </c>
      <c r="AJ38">
        <f t="shared" si="15"/>
        <v>-114.61</v>
      </c>
      <c r="AK38">
        <f t="shared" si="15"/>
        <v>-114.61</v>
      </c>
      <c r="AL38">
        <f t="shared" si="15"/>
        <v>-114.61</v>
      </c>
      <c r="AM38">
        <f t="shared" si="15"/>
        <v>-114.61</v>
      </c>
      <c r="AN38">
        <f t="shared" si="15"/>
        <v>-114.61</v>
      </c>
      <c r="AO38">
        <f t="shared" si="15"/>
        <v>-114.61</v>
      </c>
      <c r="AP38">
        <f t="shared" si="15"/>
        <v>-114.61</v>
      </c>
      <c r="AQ38">
        <f t="shared" si="15"/>
        <v>-114.61</v>
      </c>
      <c r="AR38">
        <f t="shared" si="16"/>
        <v>-114.61</v>
      </c>
      <c r="AS38">
        <f t="shared" si="16"/>
        <v>-114.61</v>
      </c>
      <c r="AT38">
        <f t="shared" si="16"/>
        <v>-114.61</v>
      </c>
      <c r="AU38">
        <f t="shared" si="16"/>
        <v>-114.61</v>
      </c>
      <c r="AV38">
        <f t="shared" si="16"/>
        <v>-114.61</v>
      </c>
      <c r="AW38">
        <f t="shared" si="16"/>
        <v>-114.61</v>
      </c>
      <c r="AX38">
        <f t="shared" si="16"/>
        <v>-114.61</v>
      </c>
      <c r="AY38">
        <f t="shared" si="16"/>
        <v>-114.61</v>
      </c>
      <c r="AZ38">
        <f t="shared" si="16"/>
        <v>-114.61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-113.55</v>
      </c>
      <c r="D39">
        <f t="shared" si="12"/>
        <v>-113.55</v>
      </c>
      <c r="E39">
        <f t="shared" si="12"/>
        <v>-113.55</v>
      </c>
      <c r="F39">
        <f t="shared" si="12"/>
        <v>-113.55</v>
      </c>
      <c r="G39">
        <f t="shared" si="12"/>
        <v>-113.55</v>
      </c>
      <c r="H39">
        <f t="shared" si="12"/>
        <v>-113.55</v>
      </c>
      <c r="I39">
        <f t="shared" si="12"/>
        <v>-113.55</v>
      </c>
      <c r="J39">
        <f t="shared" si="12"/>
        <v>-113.55</v>
      </c>
      <c r="K39">
        <f t="shared" si="12"/>
        <v>-113.55</v>
      </c>
      <c r="L39">
        <f t="shared" si="12"/>
        <v>-113.55</v>
      </c>
      <c r="M39">
        <f t="shared" si="12"/>
        <v>-113.55</v>
      </c>
      <c r="N39">
        <f t="shared" si="13"/>
        <v>-113.55</v>
      </c>
      <c r="O39">
        <f t="shared" si="13"/>
        <v>-113.55</v>
      </c>
      <c r="P39">
        <f t="shared" si="13"/>
        <v>-113.55</v>
      </c>
      <c r="Q39">
        <f t="shared" si="13"/>
        <v>-113.55</v>
      </c>
      <c r="R39">
        <f t="shared" si="13"/>
        <v>-113.55</v>
      </c>
      <c r="S39">
        <f t="shared" si="13"/>
        <v>-113.55</v>
      </c>
      <c r="T39">
        <f t="shared" si="13"/>
        <v>-113.55</v>
      </c>
      <c r="U39">
        <f t="shared" si="13"/>
        <v>-113.55</v>
      </c>
      <c r="V39">
        <f t="shared" si="13"/>
        <v>-113.55</v>
      </c>
      <c r="W39">
        <f t="shared" si="13"/>
        <v>-113.55</v>
      </c>
      <c r="X39">
        <f t="shared" si="14"/>
        <v>-113.55</v>
      </c>
      <c r="Y39">
        <f t="shared" si="14"/>
        <v>-113.55</v>
      </c>
      <c r="Z39">
        <f t="shared" si="14"/>
        <v>-113.55</v>
      </c>
      <c r="AA39">
        <f t="shared" si="14"/>
        <v>-113.55</v>
      </c>
      <c r="AB39">
        <f t="shared" si="14"/>
        <v>-113.55</v>
      </c>
      <c r="AC39">
        <f t="shared" si="14"/>
        <v>-113.55</v>
      </c>
      <c r="AD39">
        <f t="shared" si="14"/>
        <v>-113.55</v>
      </c>
      <c r="AE39">
        <f t="shared" si="14"/>
        <v>-113.55</v>
      </c>
      <c r="AF39">
        <f t="shared" si="14"/>
        <v>-113.55</v>
      </c>
      <c r="AG39">
        <f t="shared" si="14"/>
        <v>-113.55</v>
      </c>
      <c r="AH39">
        <f t="shared" si="15"/>
        <v>-113.55</v>
      </c>
      <c r="AI39">
        <f t="shared" si="15"/>
        <v>-113.55</v>
      </c>
      <c r="AJ39">
        <f t="shared" si="15"/>
        <v>-113.55</v>
      </c>
      <c r="AK39">
        <f t="shared" si="15"/>
        <v>-113.55</v>
      </c>
      <c r="AL39">
        <f t="shared" si="15"/>
        <v>-113.55</v>
      </c>
      <c r="AM39">
        <f t="shared" si="15"/>
        <v>-113.55</v>
      </c>
      <c r="AN39">
        <f t="shared" si="15"/>
        <v>-113.55</v>
      </c>
      <c r="AO39">
        <f t="shared" si="15"/>
        <v>-113.55</v>
      </c>
      <c r="AP39">
        <f t="shared" si="15"/>
        <v>-113.55</v>
      </c>
      <c r="AQ39">
        <f t="shared" si="15"/>
        <v>-113.55</v>
      </c>
      <c r="AR39">
        <f t="shared" si="16"/>
        <v>-113.55</v>
      </c>
      <c r="AS39">
        <f t="shared" si="16"/>
        <v>-113.55</v>
      </c>
      <c r="AT39">
        <f t="shared" si="16"/>
        <v>-113.55</v>
      </c>
      <c r="AU39">
        <f t="shared" si="16"/>
        <v>-113.55</v>
      </c>
      <c r="AV39">
        <f t="shared" si="16"/>
        <v>-113.55</v>
      </c>
      <c r="AW39">
        <f t="shared" si="16"/>
        <v>-113.55</v>
      </c>
      <c r="AX39">
        <f t="shared" si="16"/>
        <v>-113.55</v>
      </c>
      <c r="AY39">
        <f t="shared" si="16"/>
        <v>-113.55</v>
      </c>
      <c r="AZ39">
        <f t="shared" si="16"/>
        <v>-113.55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-112.53</v>
      </c>
      <c r="D40">
        <f t="shared" si="12"/>
        <v>-112.53</v>
      </c>
      <c r="E40">
        <f t="shared" si="12"/>
        <v>-112.53</v>
      </c>
      <c r="F40">
        <f t="shared" si="12"/>
        <v>-112.53</v>
      </c>
      <c r="G40">
        <f t="shared" si="12"/>
        <v>-112.53</v>
      </c>
      <c r="H40">
        <f t="shared" si="12"/>
        <v>-112.53</v>
      </c>
      <c r="I40">
        <f t="shared" si="12"/>
        <v>-112.53</v>
      </c>
      <c r="J40">
        <f t="shared" si="12"/>
        <v>-112.53</v>
      </c>
      <c r="K40">
        <f t="shared" si="12"/>
        <v>-112.53</v>
      </c>
      <c r="L40">
        <f t="shared" si="12"/>
        <v>-112.53</v>
      </c>
      <c r="M40">
        <f t="shared" si="12"/>
        <v>-112.53</v>
      </c>
      <c r="N40">
        <f t="shared" si="13"/>
        <v>-112.53</v>
      </c>
      <c r="O40">
        <f t="shared" si="13"/>
        <v>-112.53</v>
      </c>
      <c r="P40">
        <f t="shared" si="13"/>
        <v>-112.53</v>
      </c>
      <c r="Q40">
        <f t="shared" si="13"/>
        <v>-112.53</v>
      </c>
      <c r="R40">
        <f t="shared" si="13"/>
        <v>-112.53</v>
      </c>
      <c r="S40">
        <f t="shared" si="13"/>
        <v>-112.53</v>
      </c>
      <c r="T40">
        <f t="shared" si="13"/>
        <v>-112.53</v>
      </c>
      <c r="U40">
        <f t="shared" si="13"/>
        <v>-112.53</v>
      </c>
      <c r="V40">
        <f t="shared" si="13"/>
        <v>-112.53</v>
      </c>
      <c r="W40">
        <f t="shared" si="13"/>
        <v>-112.53</v>
      </c>
      <c r="X40">
        <f t="shared" si="14"/>
        <v>-112.53</v>
      </c>
      <c r="Y40">
        <f t="shared" si="14"/>
        <v>-112.53</v>
      </c>
      <c r="Z40">
        <f t="shared" si="14"/>
        <v>-112.53</v>
      </c>
      <c r="AA40">
        <f t="shared" si="14"/>
        <v>-112.53</v>
      </c>
      <c r="AB40">
        <f t="shared" si="14"/>
        <v>-112.53</v>
      </c>
      <c r="AC40">
        <f t="shared" si="14"/>
        <v>-112.53</v>
      </c>
      <c r="AD40">
        <f t="shared" si="14"/>
        <v>-112.53</v>
      </c>
      <c r="AE40">
        <f t="shared" si="14"/>
        <v>-112.53</v>
      </c>
      <c r="AF40">
        <f t="shared" si="14"/>
        <v>-112.53</v>
      </c>
      <c r="AG40">
        <f t="shared" si="14"/>
        <v>-112.53</v>
      </c>
      <c r="AH40">
        <f t="shared" si="15"/>
        <v>-112.53</v>
      </c>
      <c r="AI40">
        <f t="shared" si="15"/>
        <v>-112.53</v>
      </c>
      <c r="AJ40">
        <f t="shared" si="15"/>
        <v>-112.53</v>
      </c>
      <c r="AK40">
        <f t="shared" si="15"/>
        <v>-112.53</v>
      </c>
      <c r="AL40">
        <f t="shared" si="15"/>
        <v>-112.53</v>
      </c>
      <c r="AM40">
        <f t="shared" si="15"/>
        <v>-112.53</v>
      </c>
      <c r="AN40">
        <f t="shared" si="15"/>
        <v>-112.53</v>
      </c>
      <c r="AO40">
        <f t="shared" si="15"/>
        <v>-112.53</v>
      </c>
      <c r="AP40">
        <f t="shared" si="15"/>
        <v>-112.53</v>
      </c>
      <c r="AQ40">
        <f t="shared" si="15"/>
        <v>-112.53</v>
      </c>
      <c r="AR40">
        <f t="shared" si="16"/>
        <v>-112.53</v>
      </c>
      <c r="AS40">
        <f t="shared" si="16"/>
        <v>-112.53</v>
      </c>
      <c r="AT40">
        <f t="shared" si="16"/>
        <v>-112.53</v>
      </c>
      <c r="AU40">
        <f t="shared" si="16"/>
        <v>-112.53</v>
      </c>
      <c r="AV40">
        <f t="shared" si="16"/>
        <v>-112.53</v>
      </c>
      <c r="AW40">
        <f t="shared" si="16"/>
        <v>-112.53</v>
      </c>
      <c r="AX40">
        <f t="shared" si="16"/>
        <v>-112.53</v>
      </c>
      <c r="AY40">
        <f t="shared" si="16"/>
        <v>-112.53</v>
      </c>
      <c r="AZ40">
        <f t="shared" si="16"/>
        <v>-112.53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-111.55</v>
      </c>
      <c r="D41">
        <f t="shared" si="12"/>
        <v>-111.55</v>
      </c>
      <c r="E41">
        <f t="shared" si="12"/>
        <v>-111.55</v>
      </c>
      <c r="F41">
        <f t="shared" si="12"/>
        <v>-111.55</v>
      </c>
      <c r="G41">
        <f t="shared" si="12"/>
        <v>-111.55</v>
      </c>
      <c r="H41">
        <f t="shared" si="12"/>
        <v>-111.55</v>
      </c>
      <c r="I41">
        <f t="shared" si="12"/>
        <v>-111.55</v>
      </c>
      <c r="J41">
        <f t="shared" si="12"/>
        <v>-111.55</v>
      </c>
      <c r="K41">
        <f t="shared" si="12"/>
        <v>-111.55</v>
      </c>
      <c r="L41">
        <f t="shared" si="12"/>
        <v>-111.55</v>
      </c>
      <c r="M41">
        <f t="shared" si="12"/>
        <v>-111.55</v>
      </c>
      <c r="N41">
        <f t="shared" si="13"/>
        <v>-111.55</v>
      </c>
      <c r="O41">
        <f t="shared" si="13"/>
        <v>-111.55</v>
      </c>
      <c r="P41">
        <f t="shared" si="13"/>
        <v>-111.55</v>
      </c>
      <c r="Q41">
        <f t="shared" si="13"/>
        <v>-111.55</v>
      </c>
      <c r="R41">
        <f t="shared" si="13"/>
        <v>-111.55</v>
      </c>
      <c r="S41">
        <f t="shared" si="13"/>
        <v>-111.55</v>
      </c>
      <c r="T41">
        <f t="shared" si="13"/>
        <v>-111.55</v>
      </c>
      <c r="U41">
        <f t="shared" si="13"/>
        <v>-111.55</v>
      </c>
      <c r="V41">
        <f t="shared" si="13"/>
        <v>-111.55</v>
      </c>
      <c r="W41">
        <f t="shared" si="13"/>
        <v>-111.55</v>
      </c>
      <c r="X41">
        <f t="shared" si="14"/>
        <v>-111.55</v>
      </c>
      <c r="Y41">
        <f t="shared" si="14"/>
        <v>-111.55</v>
      </c>
      <c r="Z41">
        <f t="shared" si="14"/>
        <v>-111.55</v>
      </c>
      <c r="AA41">
        <f t="shared" si="14"/>
        <v>-111.55</v>
      </c>
      <c r="AB41">
        <f t="shared" si="14"/>
        <v>-111.55</v>
      </c>
      <c r="AC41">
        <f t="shared" si="14"/>
        <v>-111.55</v>
      </c>
      <c r="AD41">
        <f t="shared" si="14"/>
        <v>-111.55</v>
      </c>
      <c r="AE41">
        <f t="shared" si="14"/>
        <v>-111.55</v>
      </c>
      <c r="AF41">
        <f t="shared" si="14"/>
        <v>-111.55</v>
      </c>
      <c r="AG41">
        <f t="shared" si="14"/>
        <v>-111.55</v>
      </c>
      <c r="AH41">
        <f t="shared" si="15"/>
        <v>-111.55</v>
      </c>
      <c r="AI41">
        <f t="shared" si="15"/>
        <v>-111.55</v>
      </c>
      <c r="AJ41">
        <f t="shared" si="15"/>
        <v>-111.55</v>
      </c>
      <c r="AK41">
        <f t="shared" si="15"/>
        <v>-111.55</v>
      </c>
      <c r="AL41">
        <f t="shared" si="15"/>
        <v>-111.55</v>
      </c>
      <c r="AM41">
        <f t="shared" si="15"/>
        <v>-111.55</v>
      </c>
      <c r="AN41">
        <f t="shared" si="15"/>
        <v>-111.55</v>
      </c>
      <c r="AO41">
        <f t="shared" si="15"/>
        <v>-111.55</v>
      </c>
      <c r="AP41">
        <f t="shared" si="15"/>
        <v>-111.55</v>
      </c>
      <c r="AQ41">
        <f t="shared" si="15"/>
        <v>-111.55</v>
      </c>
      <c r="AR41">
        <f t="shared" si="16"/>
        <v>-111.55</v>
      </c>
      <c r="AS41">
        <f t="shared" si="16"/>
        <v>-111.55</v>
      </c>
      <c r="AT41">
        <f t="shared" si="16"/>
        <v>-111.55</v>
      </c>
      <c r="AU41">
        <f t="shared" si="16"/>
        <v>-111.55</v>
      </c>
      <c r="AV41">
        <f t="shared" si="16"/>
        <v>-111.55</v>
      </c>
      <c r="AW41">
        <f t="shared" si="16"/>
        <v>-111.55</v>
      </c>
      <c r="AX41">
        <f t="shared" si="16"/>
        <v>-111.55</v>
      </c>
      <c r="AY41">
        <f t="shared" si="16"/>
        <v>-111.55</v>
      </c>
      <c r="AZ41">
        <f t="shared" si="16"/>
        <v>-111.55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-110.61</v>
      </c>
      <c r="D42">
        <f t="shared" si="12"/>
        <v>-110.61</v>
      </c>
      <c r="E42">
        <f t="shared" si="12"/>
        <v>-110.61</v>
      </c>
      <c r="F42">
        <f t="shared" si="12"/>
        <v>-110.61</v>
      </c>
      <c r="G42">
        <f t="shared" si="12"/>
        <v>-110.61</v>
      </c>
      <c r="H42">
        <f t="shared" si="12"/>
        <v>-110.61</v>
      </c>
      <c r="I42">
        <f t="shared" si="12"/>
        <v>-110.61</v>
      </c>
      <c r="J42">
        <f t="shared" si="12"/>
        <v>-110.61</v>
      </c>
      <c r="K42">
        <f t="shared" si="12"/>
        <v>-110.61</v>
      </c>
      <c r="L42">
        <f t="shared" si="12"/>
        <v>-110.61</v>
      </c>
      <c r="M42">
        <f t="shared" si="12"/>
        <v>-110.61</v>
      </c>
      <c r="N42">
        <f t="shared" si="13"/>
        <v>-110.61</v>
      </c>
      <c r="O42">
        <f t="shared" si="13"/>
        <v>-110.61</v>
      </c>
      <c r="P42">
        <f t="shared" si="13"/>
        <v>-110.61</v>
      </c>
      <c r="Q42">
        <f t="shared" si="13"/>
        <v>-110.61</v>
      </c>
      <c r="R42">
        <f t="shared" si="13"/>
        <v>-110.61</v>
      </c>
      <c r="S42">
        <f t="shared" si="13"/>
        <v>-110.61</v>
      </c>
      <c r="T42">
        <f t="shared" si="13"/>
        <v>-110.61</v>
      </c>
      <c r="U42">
        <f t="shared" si="13"/>
        <v>-110.61</v>
      </c>
      <c r="V42">
        <f t="shared" si="13"/>
        <v>-110.61</v>
      </c>
      <c r="W42">
        <f t="shared" si="13"/>
        <v>-110.61</v>
      </c>
      <c r="X42">
        <f t="shared" si="14"/>
        <v>-110.61</v>
      </c>
      <c r="Y42">
        <f t="shared" si="14"/>
        <v>-110.61</v>
      </c>
      <c r="Z42">
        <f t="shared" si="14"/>
        <v>-110.61</v>
      </c>
      <c r="AA42">
        <f t="shared" si="14"/>
        <v>-110.61</v>
      </c>
      <c r="AB42">
        <f t="shared" si="14"/>
        <v>-110.61</v>
      </c>
      <c r="AC42">
        <f t="shared" si="14"/>
        <v>-110.61</v>
      </c>
      <c r="AD42">
        <f t="shared" si="14"/>
        <v>-110.61</v>
      </c>
      <c r="AE42">
        <f t="shared" si="14"/>
        <v>-110.61</v>
      </c>
      <c r="AF42">
        <f t="shared" si="14"/>
        <v>-110.61</v>
      </c>
      <c r="AG42">
        <f t="shared" si="14"/>
        <v>-110.61</v>
      </c>
      <c r="AH42">
        <f t="shared" si="15"/>
        <v>-110.61</v>
      </c>
      <c r="AI42">
        <f t="shared" si="15"/>
        <v>-110.61</v>
      </c>
      <c r="AJ42">
        <f t="shared" si="15"/>
        <v>-110.61</v>
      </c>
      <c r="AK42">
        <f t="shared" si="15"/>
        <v>-110.61</v>
      </c>
      <c r="AL42">
        <f t="shared" si="15"/>
        <v>-110.61</v>
      </c>
      <c r="AM42">
        <f t="shared" si="15"/>
        <v>-110.61</v>
      </c>
      <c r="AN42">
        <f t="shared" si="15"/>
        <v>-110.61</v>
      </c>
      <c r="AO42">
        <f t="shared" si="15"/>
        <v>-110.61</v>
      </c>
      <c r="AP42">
        <f t="shared" si="15"/>
        <v>-110.61</v>
      </c>
      <c r="AQ42">
        <f t="shared" si="15"/>
        <v>-110.61</v>
      </c>
      <c r="AR42">
        <f t="shared" si="16"/>
        <v>-110.61</v>
      </c>
      <c r="AS42">
        <f t="shared" si="16"/>
        <v>-110.61</v>
      </c>
      <c r="AT42">
        <f t="shared" si="16"/>
        <v>-110.61</v>
      </c>
      <c r="AU42">
        <f t="shared" si="16"/>
        <v>-110.61</v>
      </c>
      <c r="AV42">
        <f t="shared" si="16"/>
        <v>-110.61</v>
      </c>
      <c r="AW42">
        <f t="shared" si="16"/>
        <v>-110.61</v>
      </c>
      <c r="AX42">
        <f t="shared" si="16"/>
        <v>-110.61</v>
      </c>
      <c r="AY42">
        <f t="shared" si="16"/>
        <v>-110.61</v>
      </c>
      <c r="AZ42">
        <f t="shared" si="16"/>
        <v>-110.61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-109.71000000000001</v>
      </c>
      <c r="D43">
        <f t="shared" si="12"/>
        <v>-109.71000000000001</v>
      </c>
      <c r="E43">
        <f t="shared" si="12"/>
        <v>-109.71000000000001</v>
      </c>
      <c r="F43">
        <f t="shared" si="12"/>
        <v>-109.71000000000001</v>
      </c>
      <c r="G43">
        <f t="shared" si="12"/>
        <v>-109.71000000000001</v>
      </c>
      <c r="H43">
        <f t="shared" si="12"/>
        <v>-109.71000000000001</v>
      </c>
      <c r="I43">
        <f t="shared" si="12"/>
        <v>-109.71000000000001</v>
      </c>
      <c r="J43">
        <f t="shared" si="12"/>
        <v>-109.71000000000001</v>
      </c>
      <c r="K43">
        <f t="shared" si="12"/>
        <v>-109.71000000000001</v>
      </c>
      <c r="L43">
        <f t="shared" si="12"/>
        <v>-109.71000000000001</v>
      </c>
      <c r="M43">
        <f t="shared" si="12"/>
        <v>-109.71000000000001</v>
      </c>
      <c r="N43">
        <f t="shared" si="13"/>
        <v>-109.71000000000001</v>
      </c>
      <c r="O43">
        <f t="shared" si="13"/>
        <v>-109.71000000000001</v>
      </c>
      <c r="P43">
        <f t="shared" si="13"/>
        <v>-109.71000000000001</v>
      </c>
      <c r="Q43">
        <f t="shared" si="13"/>
        <v>-109.71000000000001</v>
      </c>
      <c r="R43">
        <f t="shared" si="13"/>
        <v>-109.71000000000001</v>
      </c>
      <c r="S43">
        <f t="shared" si="13"/>
        <v>-109.71000000000001</v>
      </c>
      <c r="T43">
        <f t="shared" si="13"/>
        <v>-109.71000000000001</v>
      </c>
      <c r="U43">
        <f t="shared" si="13"/>
        <v>-109.71000000000001</v>
      </c>
      <c r="V43">
        <f t="shared" si="13"/>
        <v>-109.71000000000001</v>
      </c>
      <c r="W43">
        <f t="shared" si="13"/>
        <v>-109.71000000000001</v>
      </c>
      <c r="X43">
        <f t="shared" si="14"/>
        <v>-109.71000000000001</v>
      </c>
      <c r="Y43">
        <f t="shared" si="14"/>
        <v>-109.71000000000001</v>
      </c>
      <c r="Z43">
        <f t="shared" si="14"/>
        <v>-109.71000000000001</v>
      </c>
      <c r="AA43">
        <f t="shared" si="14"/>
        <v>-109.71000000000001</v>
      </c>
      <c r="AB43">
        <f t="shared" si="14"/>
        <v>-109.71000000000001</v>
      </c>
      <c r="AC43">
        <f t="shared" si="14"/>
        <v>-109.71000000000001</v>
      </c>
      <c r="AD43">
        <f t="shared" si="14"/>
        <v>-109.71000000000001</v>
      </c>
      <c r="AE43">
        <f t="shared" si="14"/>
        <v>-109.71000000000001</v>
      </c>
      <c r="AF43">
        <f t="shared" si="14"/>
        <v>-109.71000000000001</v>
      </c>
      <c r="AG43">
        <f t="shared" si="14"/>
        <v>-109.71000000000001</v>
      </c>
      <c r="AH43">
        <f t="shared" si="15"/>
        <v>-109.71000000000001</v>
      </c>
      <c r="AI43">
        <f t="shared" si="15"/>
        <v>-109.71000000000001</v>
      </c>
      <c r="AJ43">
        <f t="shared" si="15"/>
        <v>-109.71000000000001</v>
      </c>
      <c r="AK43">
        <f t="shared" si="15"/>
        <v>-109.71000000000001</v>
      </c>
      <c r="AL43">
        <f t="shared" si="15"/>
        <v>-109.71000000000001</v>
      </c>
      <c r="AM43">
        <f t="shared" si="15"/>
        <v>-109.71000000000001</v>
      </c>
      <c r="AN43">
        <f t="shared" si="15"/>
        <v>-109.71000000000001</v>
      </c>
      <c r="AO43">
        <f t="shared" si="15"/>
        <v>-109.71000000000001</v>
      </c>
      <c r="AP43">
        <f t="shared" si="15"/>
        <v>-109.71000000000001</v>
      </c>
      <c r="AQ43">
        <f t="shared" si="15"/>
        <v>-109.71000000000001</v>
      </c>
      <c r="AR43">
        <f t="shared" si="16"/>
        <v>-109.71000000000001</v>
      </c>
      <c r="AS43">
        <f t="shared" si="16"/>
        <v>-109.71000000000001</v>
      </c>
      <c r="AT43">
        <f t="shared" si="16"/>
        <v>-109.71000000000001</v>
      </c>
      <c r="AU43">
        <f t="shared" si="16"/>
        <v>-109.71000000000001</v>
      </c>
      <c r="AV43">
        <f t="shared" si="16"/>
        <v>-109.71000000000001</v>
      </c>
      <c r="AW43">
        <f t="shared" si="16"/>
        <v>-109.71000000000001</v>
      </c>
      <c r="AX43">
        <f t="shared" si="16"/>
        <v>-109.71000000000001</v>
      </c>
      <c r="AY43">
        <f t="shared" si="16"/>
        <v>-109.71000000000001</v>
      </c>
      <c r="AZ43">
        <f t="shared" si="16"/>
        <v>-109.71000000000001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-108.85</v>
      </c>
      <c r="D44">
        <f t="shared" si="12"/>
        <v>-108.85</v>
      </c>
      <c r="E44">
        <f t="shared" si="12"/>
        <v>-108.85</v>
      </c>
      <c r="F44">
        <f t="shared" si="12"/>
        <v>-108.85</v>
      </c>
      <c r="G44">
        <f t="shared" si="12"/>
        <v>-108.85</v>
      </c>
      <c r="H44">
        <f t="shared" si="12"/>
        <v>-108.85</v>
      </c>
      <c r="I44">
        <f t="shared" si="12"/>
        <v>-108.85</v>
      </c>
      <c r="J44">
        <f t="shared" si="12"/>
        <v>-108.85</v>
      </c>
      <c r="K44">
        <f t="shared" si="12"/>
        <v>-108.85</v>
      </c>
      <c r="L44">
        <f t="shared" si="12"/>
        <v>-108.85</v>
      </c>
      <c r="M44">
        <f t="shared" si="12"/>
        <v>-108.85</v>
      </c>
      <c r="N44">
        <f t="shared" si="13"/>
        <v>-108.85</v>
      </c>
      <c r="O44">
        <f t="shared" si="13"/>
        <v>-108.85</v>
      </c>
      <c r="P44">
        <f t="shared" si="13"/>
        <v>-108.85</v>
      </c>
      <c r="Q44">
        <f t="shared" si="13"/>
        <v>-108.85</v>
      </c>
      <c r="R44">
        <f t="shared" si="13"/>
        <v>-108.85</v>
      </c>
      <c r="S44">
        <f t="shared" si="13"/>
        <v>-108.85</v>
      </c>
      <c r="T44">
        <f t="shared" si="13"/>
        <v>-108.85</v>
      </c>
      <c r="U44">
        <f t="shared" si="13"/>
        <v>-108.85</v>
      </c>
      <c r="V44">
        <f t="shared" si="13"/>
        <v>-108.85</v>
      </c>
      <c r="W44">
        <f t="shared" si="13"/>
        <v>-108.85</v>
      </c>
      <c r="X44">
        <f t="shared" si="14"/>
        <v>-108.85</v>
      </c>
      <c r="Y44">
        <f t="shared" si="14"/>
        <v>-108.85</v>
      </c>
      <c r="Z44">
        <f t="shared" si="14"/>
        <v>-108.85</v>
      </c>
      <c r="AA44">
        <f t="shared" si="14"/>
        <v>-108.85</v>
      </c>
      <c r="AB44">
        <f t="shared" si="14"/>
        <v>-108.85</v>
      </c>
      <c r="AC44">
        <f t="shared" si="14"/>
        <v>-108.85</v>
      </c>
      <c r="AD44">
        <f t="shared" si="14"/>
        <v>-108.85</v>
      </c>
      <c r="AE44">
        <f t="shared" si="14"/>
        <v>-108.85</v>
      </c>
      <c r="AF44">
        <f t="shared" si="14"/>
        <v>-108.85</v>
      </c>
      <c r="AG44">
        <f t="shared" si="14"/>
        <v>-108.85</v>
      </c>
      <c r="AH44">
        <f t="shared" si="15"/>
        <v>-108.85</v>
      </c>
      <c r="AI44">
        <f t="shared" si="15"/>
        <v>-108.85</v>
      </c>
      <c r="AJ44">
        <f t="shared" si="15"/>
        <v>-108.85</v>
      </c>
      <c r="AK44">
        <f t="shared" si="15"/>
        <v>-108.85</v>
      </c>
      <c r="AL44">
        <f t="shared" si="15"/>
        <v>-108.85</v>
      </c>
      <c r="AM44">
        <f t="shared" si="15"/>
        <v>-108.85</v>
      </c>
      <c r="AN44">
        <f t="shared" si="15"/>
        <v>-108.85</v>
      </c>
      <c r="AO44">
        <f t="shared" si="15"/>
        <v>-108.85</v>
      </c>
      <c r="AP44">
        <f t="shared" si="15"/>
        <v>-108.85</v>
      </c>
      <c r="AQ44">
        <f t="shared" si="15"/>
        <v>-108.85</v>
      </c>
      <c r="AR44">
        <f t="shared" si="16"/>
        <v>-108.85</v>
      </c>
      <c r="AS44">
        <f t="shared" si="16"/>
        <v>-108.85</v>
      </c>
      <c r="AT44">
        <f t="shared" si="16"/>
        <v>-108.85</v>
      </c>
      <c r="AU44">
        <f t="shared" si="16"/>
        <v>-108.85</v>
      </c>
      <c r="AV44">
        <f t="shared" si="16"/>
        <v>-108.85</v>
      </c>
      <c r="AW44">
        <f t="shared" si="16"/>
        <v>-108.85</v>
      </c>
      <c r="AX44">
        <f t="shared" si="16"/>
        <v>-108.85</v>
      </c>
      <c r="AY44">
        <f t="shared" si="16"/>
        <v>-108.85</v>
      </c>
      <c r="AZ44">
        <f t="shared" si="16"/>
        <v>-108.85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-108.03</v>
      </c>
      <c r="D45">
        <f t="shared" si="12"/>
        <v>-108.03</v>
      </c>
      <c r="E45">
        <f t="shared" si="12"/>
        <v>-108.03</v>
      </c>
      <c r="F45">
        <f t="shared" si="12"/>
        <v>-108.03</v>
      </c>
      <c r="G45">
        <f t="shared" si="12"/>
        <v>-108.03</v>
      </c>
      <c r="H45">
        <f t="shared" si="12"/>
        <v>-108.03</v>
      </c>
      <c r="I45">
        <f t="shared" si="12"/>
        <v>-108.03</v>
      </c>
      <c r="J45">
        <f t="shared" si="12"/>
        <v>-108.03</v>
      </c>
      <c r="K45">
        <f t="shared" si="12"/>
        <v>-108.03</v>
      </c>
      <c r="L45">
        <f t="shared" si="12"/>
        <v>-108.03</v>
      </c>
      <c r="M45">
        <f t="shared" si="12"/>
        <v>-108.03</v>
      </c>
      <c r="N45">
        <f t="shared" si="13"/>
        <v>-108.03</v>
      </c>
      <c r="O45">
        <f t="shared" si="13"/>
        <v>-108.03</v>
      </c>
      <c r="P45">
        <f t="shared" si="13"/>
        <v>-108.03</v>
      </c>
      <c r="Q45">
        <f t="shared" si="13"/>
        <v>-108.03</v>
      </c>
      <c r="R45">
        <f t="shared" si="13"/>
        <v>-108.03</v>
      </c>
      <c r="S45">
        <f t="shared" si="13"/>
        <v>-108.03</v>
      </c>
      <c r="T45">
        <f t="shared" si="13"/>
        <v>-108.03</v>
      </c>
      <c r="U45">
        <f t="shared" si="13"/>
        <v>-108.03</v>
      </c>
      <c r="V45">
        <f t="shared" si="13"/>
        <v>-108.03</v>
      </c>
      <c r="W45">
        <f t="shared" si="13"/>
        <v>-108.03</v>
      </c>
      <c r="X45">
        <f t="shared" si="14"/>
        <v>-108.03</v>
      </c>
      <c r="Y45">
        <f t="shared" si="14"/>
        <v>-108.03</v>
      </c>
      <c r="Z45">
        <f t="shared" si="14"/>
        <v>-108.03</v>
      </c>
      <c r="AA45">
        <f t="shared" si="14"/>
        <v>-108.03</v>
      </c>
      <c r="AB45">
        <f t="shared" si="14"/>
        <v>-108.03</v>
      </c>
      <c r="AC45">
        <f t="shared" si="14"/>
        <v>-108.03</v>
      </c>
      <c r="AD45">
        <f t="shared" si="14"/>
        <v>-108.03</v>
      </c>
      <c r="AE45">
        <f t="shared" si="14"/>
        <v>-108.03</v>
      </c>
      <c r="AF45">
        <f t="shared" si="14"/>
        <v>-108.03</v>
      </c>
      <c r="AG45">
        <f t="shared" si="14"/>
        <v>-108.03</v>
      </c>
      <c r="AH45">
        <f t="shared" si="15"/>
        <v>-108.03</v>
      </c>
      <c r="AI45">
        <f t="shared" si="15"/>
        <v>-108.03</v>
      </c>
      <c r="AJ45">
        <f t="shared" si="15"/>
        <v>-108.03</v>
      </c>
      <c r="AK45">
        <f t="shared" si="15"/>
        <v>-108.03</v>
      </c>
      <c r="AL45">
        <f t="shared" si="15"/>
        <v>-108.03</v>
      </c>
      <c r="AM45">
        <f t="shared" si="15"/>
        <v>-108.03</v>
      </c>
      <c r="AN45">
        <f t="shared" si="15"/>
        <v>-108.03</v>
      </c>
      <c r="AO45">
        <f t="shared" si="15"/>
        <v>-108.03</v>
      </c>
      <c r="AP45">
        <f t="shared" si="15"/>
        <v>-108.03</v>
      </c>
      <c r="AQ45">
        <f t="shared" si="15"/>
        <v>-108.03</v>
      </c>
      <c r="AR45">
        <f t="shared" si="16"/>
        <v>-108.03</v>
      </c>
      <c r="AS45">
        <f t="shared" si="16"/>
        <v>-108.03</v>
      </c>
      <c r="AT45">
        <f t="shared" si="16"/>
        <v>-108.03</v>
      </c>
      <c r="AU45">
        <f t="shared" si="16"/>
        <v>-108.03</v>
      </c>
      <c r="AV45">
        <f t="shared" si="16"/>
        <v>-108.03</v>
      </c>
      <c r="AW45">
        <f t="shared" si="16"/>
        <v>-108.03</v>
      </c>
      <c r="AX45">
        <f t="shared" si="16"/>
        <v>-108.03</v>
      </c>
      <c r="AY45">
        <f t="shared" si="16"/>
        <v>-108.03</v>
      </c>
      <c r="AZ45">
        <f t="shared" si="16"/>
        <v>-108.03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M55" si="17">-0.5*sigma^2*$A46^2-0.5*rate-1/dt</f>
        <v>-107.25</v>
      </c>
      <c r="D46">
        <f t="shared" si="17"/>
        <v>-107.25</v>
      </c>
      <c r="E46">
        <f t="shared" si="17"/>
        <v>-107.25</v>
      </c>
      <c r="F46">
        <f t="shared" si="17"/>
        <v>-107.25</v>
      </c>
      <c r="G46">
        <f t="shared" si="17"/>
        <v>-107.25</v>
      </c>
      <c r="H46">
        <f t="shared" si="17"/>
        <v>-107.25</v>
      </c>
      <c r="I46">
        <f t="shared" si="17"/>
        <v>-107.25</v>
      </c>
      <c r="J46">
        <f t="shared" si="17"/>
        <v>-107.25</v>
      </c>
      <c r="K46">
        <f t="shared" si="17"/>
        <v>-107.25</v>
      </c>
      <c r="L46">
        <f t="shared" si="17"/>
        <v>-107.25</v>
      </c>
      <c r="M46">
        <f t="shared" si="17"/>
        <v>-107.25</v>
      </c>
      <c r="N46">
        <f t="shared" ref="N46:W55" si="18">-0.5*sigma^2*$A46^2-0.5*rate-1/dt</f>
        <v>-107.25</v>
      </c>
      <c r="O46">
        <f t="shared" si="18"/>
        <v>-107.25</v>
      </c>
      <c r="P46">
        <f t="shared" si="18"/>
        <v>-107.25</v>
      </c>
      <c r="Q46">
        <f t="shared" si="18"/>
        <v>-107.25</v>
      </c>
      <c r="R46">
        <f t="shared" si="18"/>
        <v>-107.25</v>
      </c>
      <c r="S46">
        <f t="shared" si="18"/>
        <v>-107.25</v>
      </c>
      <c r="T46">
        <f t="shared" si="18"/>
        <v>-107.25</v>
      </c>
      <c r="U46">
        <f t="shared" si="18"/>
        <v>-107.25</v>
      </c>
      <c r="V46">
        <f t="shared" si="18"/>
        <v>-107.25</v>
      </c>
      <c r="W46">
        <f t="shared" si="18"/>
        <v>-107.25</v>
      </c>
      <c r="X46">
        <f t="shared" ref="X46:AG55" si="19">-0.5*sigma^2*$A46^2-0.5*rate-1/dt</f>
        <v>-107.25</v>
      </c>
      <c r="Y46">
        <f t="shared" si="19"/>
        <v>-107.25</v>
      </c>
      <c r="Z46">
        <f t="shared" si="19"/>
        <v>-107.25</v>
      </c>
      <c r="AA46">
        <f t="shared" si="19"/>
        <v>-107.25</v>
      </c>
      <c r="AB46">
        <f t="shared" si="19"/>
        <v>-107.25</v>
      </c>
      <c r="AC46">
        <f t="shared" si="19"/>
        <v>-107.25</v>
      </c>
      <c r="AD46">
        <f t="shared" si="19"/>
        <v>-107.25</v>
      </c>
      <c r="AE46">
        <f t="shared" si="19"/>
        <v>-107.25</v>
      </c>
      <c r="AF46">
        <f t="shared" si="19"/>
        <v>-107.25</v>
      </c>
      <c r="AG46">
        <f t="shared" si="19"/>
        <v>-107.25</v>
      </c>
      <c r="AH46">
        <f t="shared" ref="AH46:AQ55" si="20">-0.5*sigma^2*$A46^2-0.5*rate-1/dt</f>
        <v>-107.25</v>
      </c>
      <c r="AI46">
        <f t="shared" si="20"/>
        <v>-107.25</v>
      </c>
      <c r="AJ46">
        <f t="shared" si="20"/>
        <v>-107.25</v>
      </c>
      <c r="AK46">
        <f t="shared" si="20"/>
        <v>-107.25</v>
      </c>
      <c r="AL46">
        <f t="shared" si="20"/>
        <v>-107.25</v>
      </c>
      <c r="AM46">
        <f t="shared" si="20"/>
        <v>-107.25</v>
      </c>
      <c r="AN46">
        <f t="shared" si="20"/>
        <v>-107.25</v>
      </c>
      <c r="AO46">
        <f t="shared" si="20"/>
        <v>-107.25</v>
      </c>
      <c r="AP46">
        <f t="shared" si="20"/>
        <v>-107.25</v>
      </c>
      <c r="AQ46">
        <f t="shared" si="20"/>
        <v>-107.25</v>
      </c>
      <c r="AR46">
        <f t="shared" ref="AR46:AZ55" si="21">-0.5*sigma^2*$A46^2-0.5*rate-1/dt</f>
        <v>-107.25</v>
      </c>
      <c r="AS46">
        <f t="shared" si="21"/>
        <v>-107.25</v>
      </c>
      <c r="AT46">
        <f t="shared" si="21"/>
        <v>-107.25</v>
      </c>
      <c r="AU46">
        <f t="shared" si="21"/>
        <v>-107.25</v>
      </c>
      <c r="AV46">
        <f t="shared" si="21"/>
        <v>-107.25</v>
      </c>
      <c r="AW46">
        <f t="shared" si="21"/>
        <v>-107.25</v>
      </c>
      <c r="AX46">
        <f t="shared" si="21"/>
        <v>-107.25</v>
      </c>
      <c r="AY46">
        <f t="shared" si="21"/>
        <v>-107.25</v>
      </c>
      <c r="AZ46">
        <f t="shared" si="21"/>
        <v>-107.25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-106.51</v>
      </c>
      <c r="D47">
        <f t="shared" si="17"/>
        <v>-106.51</v>
      </c>
      <c r="E47">
        <f t="shared" si="17"/>
        <v>-106.51</v>
      </c>
      <c r="F47">
        <f t="shared" si="17"/>
        <v>-106.51</v>
      </c>
      <c r="G47">
        <f t="shared" si="17"/>
        <v>-106.51</v>
      </c>
      <c r="H47">
        <f t="shared" si="17"/>
        <v>-106.51</v>
      </c>
      <c r="I47">
        <f t="shared" si="17"/>
        <v>-106.51</v>
      </c>
      <c r="J47">
        <f t="shared" si="17"/>
        <v>-106.51</v>
      </c>
      <c r="K47">
        <f t="shared" si="17"/>
        <v>-106.51</v>
      </c>
      <c r="L47">
        <f t="shared" si="17"/>
        <v>-106.51</v>
      </c>
      <c r="M47">
        <f t="shared" si="17"/>
        <v>-106.51</v>
      </c>
      <c r="N47">
        <f t="shared" si="18"/>
        <v>-106.51</v>
      </c>
      <c r="O47">
        <f t="shared" si="18"/>
        <v>-106.51</v>
      </c>
      <c r="P47">
        <f t="shared" si="18"/>
        <v>-106.51</v>
      </c>
      <c r="Q47">
        <f t="shared" si="18"/>
        <v>-106.51</v>
      </c>
      <c r="R47">
        <f t="shared" si="18"/>
        <v>-106.51</v>
      </c>
      <c r="S47">
        <f t="shared" si="18"/>
        <v>-106.51</v>
      </c>
      <c r="T47">
        <f t="shared" si="18"/>
        <v>-106.51</v>
      </c>
      <c r="U47">
        <f t="shared" si="18"/>
        <v>-106.51</v>
      </c>
      <c r="V47">
        <f t="shared" si="18"/>
        <v>-106.51</v>
      </c>
      <c r="W47">
        <f t="shared" si="18"/>
        <v>-106.51</v>
      </c>
      <c r="X47">
        <f t="shared" si="19"/>
        <v>-106.51</v>
      </c>
      <c r="Y47">
        <f t="shared" si="19"/>
        <v>-106.51</v>
      </c>
      <c r="Z47">
        <f t="shared" si="19"/>
        <v>-106.51</v>
      </c>
      <c r="AA47">
        <f t="shared" si="19"/>
        <v>-106.51</v>
      </c>
      <c r="AB47">
        <f t="shared" si="19"/>
        <v>-106.51</v>
      </c>
      <c r="AC47">
        <f t="shared" si="19"/>
        <v>-106.51</v>
      </c>
      <c r="AD47">
        <f t="shared" si="19"/>
        <v>-106.51</v>
      </c>
      <c r="AE47">
        <f t="shared" si="19"/>
        <v>-106.51</v>
      </c>
      <c r="AF47">
        <f t="shared" si="19"/>
        <v>-106.51</v>
      </c>
      <c r="AG47">
        <f t="shared" si="19"/>
        <v>-106.51</v>
      </c>
      <c r="AH47">
        <f t="shared" si="20"/>
        <v>-106.51</v>
      </c>
      <c r="AI47">
        <f t="shared" si="20"/>
        <v>-106.51</v>
      </c>
      <c r="AJ47">
        <f t="shared" si="20"/>
        <v>-106.51</v>
      </c>
      <c r="AK47">
        <f t="shared" si="20"/>
        <v>-106.51</v>
      </c>
      <c r="AL47">
        <f t="shared" si="20"/>
        <v>-106.51</v>
      </c>
      <c r="AM47">
        <f t="shared" si="20"/>
        <v>-106.51</v>
      </c>
      <c r="AN47">
        <f t="shared" si="20"/>
        <v>-106.51</v>
      </c>
      <c r="AO47">
        <f t="shared" si="20"/>
        <v>-106.51</v>
      </c>
      <c r="AP47">
        <f t="shared" si="20"/>
        <v>-106.51</v>
      </c>
      <c r="AQ47">
        <f t="shared" si="20"/>
        <v>-106.51</v>
      </c>
      <c r="AR47">
        <f t="shared" si="21"/>
        <v>-106.51</v>
      </c>
      <c r="AS47">
        <f t="shared" si="21"/>
        <v>-106.51</v>
      </c>
      <c r="AT47">
        <f t="shared" si="21"/>
        <v>-106.51</v>
      </c>
      <c r="AU47">
        <f t="shared" si="21"/>
        <v>-106.51</v>
      </c>
      <c r="AV47">
        <f t="shared" si="21"/>
        <v>-106.51</v>
      </c>
      <c r="AW47">
        <f t="shared" si="21"/>
        <v>-106.51</v>
      </c>
      <c r="AX47">
        <f t="shared" si="21"/>
        <v>-106.51</v>
      </c>
      <c r="AY47">
        <f t="shared" si="21"/>
        <v>-106.51</v>
      </c>
      <c r="AZ47">
        <f t="shared" si="21"/>
        <v>-106.51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-105.81</v>
      </c>
      <c r="D48">
        <f t="shared" si="17"/>
        <v>-105.81</v>
      </c>
      <c r="E48">
        <f t="shared" si="17"/>
        <v>-105.81</v>
      </c>
      <c r="F48">
        <f t="shared" si="17"/>
        <v>-105.81</v>
      </c>
      <c r="G48">
        <f t="shared" si="17"/>
        <v>-105.81</v>
      </c>
      <c r="H48">
        <f t="shared" si="17"/>
        <v>-105.81</v>
      </c>
      <c r="I48">
        <f t="shared" si="17"/>
        <v>-105.81</v>
      </c>
      <c r="J48">
        <f t="shared" si="17"/>
        <v>-105.81</v>
      </c>
      <c r="K48">
        <f t="shared" si="17"/>
        <v>-105.81</v>
      </c>
      <c r="L48">
        <f t="shared" si="17"/>
        <v>-105.81</v>
      </c>
      <c r="M48">
        <f t="shared" si="17"/>
        <v>-105.81</v>
      </c>
      <c r="N48">
        <f t="shared" si="18"/>
        <v>-105.81</v>
      </c>
      <c r="O48">
        <f t="shared" si="18"/>
        <v>-105.81</v>
      </c>
      <c r="P48">
        <f t="shared" si="18"/>
        <v>-105.81</v>
      </c>
      <c r="Q48">
        <f t="shared" si="18"/>
        <v>-105.81</v>
      </c>
      <c r="R48">
        <f t="shared" si="18"/>
        <v>-105.81</v>
      </c>
      <c r="S48">
        <f t="shared" si="18"/>
        <v>-105.81</v>
      </c>
      <c r="T48">
        <f t="shared" si="18"/>
        <v>-105.81</v>
      </c>
      <c r="U48">
        <f t="shared" si="18"/>
        <v>-105.81</v>
      </c>
      <c r="V48">
        <f t="shared" si="18"/>
        <v>-105.81</v>
      </c>
      <c r="W48">
        <f t="shared" si="18"/>
        <v>-105.81</v>
      </c>
      <c r="X48">
        <f t="shared" si="19"/>
        <v>-105.81</v>
      </c>
      <c r="Y48">
        <f t="shared" si="19"/>
        <v>-105.81</v>
      </c>
      <c r="Z48">
        <f t="shared" si="19"/>
        <v>-105.81</v>
      </c>
      <c r="AA48">
        <f t="shared" si="19"/>
        <v>-105.81</v>
      </c>
      <c r="AB48">
        <f t="shared" si="19"/>
        <v>-105.81</v>
      </c>
      <c r="AC48">
        <f t="shared" si="19"/>
        <v>-105.81</v>
      </c>
      <c r="AD48">
        <f t="shared" si="19"/>
        <v>-105.81</v>
      </c>
      <c r="AE48">
        <f t="shared" si="19"/>
        <v>-105.81</v>
      </c>
      <c r="AF48">
        <f t="shared" si="19"/>
        <v>-105.81</v>
      </c>
      <c r="AG48">
        <f t="shared" si="19"/>
        <v>-105.81</v>
      </c>
      <c r="AH48">
        <f t="shared" si="20"/>
        <v>-105.81</v>
      </c>
      <c r="AI48">
        <f t="shared" si="20"/>
        <v>-105.81</v>
      </c>
      <c r="AJ48">
        <f t="shared" si="20"/>
        <v>-105.81</v>
      </c>
      <c r="AK48">
        <f t="shared" si="20"/>
        <v>-105.81</v>
      </c>
      <c r="AL48">
        <f t="shared" si="20"/>
        <v>-105.81</v>
      </c>
      <c r="AM48">
        <f t="shared" si="20"/>
        <v>-105.81</v>
      </c>
      <c r="AN48">
        <f t="shared" si="20"/>
        <v>-105.81</v>
      </c>
      <c r="AO48">
        <f t="shared" si="20"/>
        <v>-105.81</v>
      </c>
      <c r="AP48">
        <f t="shared" si="20"/>
        <v>-105.81</v>
      </c>
      <c r="AQ48">
        <f t="shared" si="20"/>
        <v>-105.81</v>
      </c>
      <c r="AR48">
        <f t="shared" si="21"/>
        <v>-105.81</v>
      </c>
      <c r="AS48">
        <f t="shared" si="21"/>
        <v>-105.81</v>
      </c>
      <c r="AT48">
        <f t="shared" si="21"/>
        <v>-105.81</v>
      </c>
      <c r="AU48">
        <f t="shared" si="21"/>
        <v>-105.81</v>
      </c>
      <c r="AV48">
        <f t="shared" si="21"/>
        <v>-105.81</v>
      </c>
      <c r="AW48">
        <f t="shared" si="21"/>
        <v>-105.81</v>
      </c>
      <c r="AX48">
        <f t="shared" si="21"/>
        <v>-105.81</v>
      </c>
      <c r="AY48">
        <f t="shared" si="21"/>
        <v>-105.81</v>
      </c>
      <c r="AZ48">
        <f t="shared" si="21"/>
        <v>-105.81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-105.15</v>
      </c>
      <c r="D49">
        <f t="shared" si="17"/>
        <v>-105.15</v>
      </c>
      <c r="E49">
        <f t="shared" si="17"/>
        <v>-105.15</v>
      </c>
      <c r="F49">
        <f t="shared" si="17"/>
        <v>-105.15</v>
      </c>
      <c r="G49">
        <f t="shared" si="17"/>
        <v>-105.15</v>
      </c>
      <c r="H49">
        <f t="shared" si="17"/>
        <v>-105.15</v>
      </c>
      <c r="I49">
        <f t="shared" si="17"/>
        <v>-105.15</v>
      </c>
      <c r="J49">
        <f t="shared" si="17"/>
        <v>-105.15</v>
      </c>
      <c r="K49">
        <f t="shared" si="17"/>
        <v>-105.15</v>
      </c>
      <c r="L49">
        <f t="shared" si="17"/>
        <v>-105.15</v>
      </c>
      <c r="M49">
        <f t="shared" si="17"/>
        <v>-105.15</v>
      </c>
      <c r="N49">
        <f t="shared" si="18"/>
        <v>-105.15</v>
      </c>
      <c r="O49">
        <f t="shared" si="18"/>
        <v>-105.15</v>
      </c>
      <c r="P49">
        <f t="shared" si="18"/>
        <v>-105.15</v>
      </c>
      <c r="Q49">
        <f t="shared" si="18"/>
        <v>-105.15</v>
      </c>
      <c r="R49">
        <f t="shared" si="18"/>
        <v>-105.15</v>
      </c>
      <c r="S49">
        <f t="shared" si="18"/>
        <v>-105.15</v>
      </c>
      <c r="T49">
        <f t="shared" si="18"/>
        <v>-105.15</v>
      </c>
      <c r="U49">
        <f t="shared" si="18"/>
        <v>-105.15</v>
      </c>
      <c r="V49">
        <f t="shared" si="18"/>
        <v>-105.15</v>
      </c>
      <c r="W49">
        <f t="shared" si="18"/>
        <v>-105.15</v>
      </c>
      <c r="X49">
        <f t="shared" si="19"/>
        <v>-105.15</v>
      </c>
      <c r="Y49">
        <f t="shared" si="19"/>
        <v>-105.15</v>
      </c>
      <c r="Z49">
        <f t="shared" si="19"/>
        <v>-105.15</v>
      </c>
      <c r="AA49">
        <f t="shared" si="19"/>
        <v>-105.15</v>
      </c>
      <c r="AB49">
        <f t="shared" si="19"/>
        <v>-105.15</v>
      </c>
      <c r="AC49">
        <f t="shared" si="19"/>
        <v>-105.15</v>
      </c>
      <c r="AD49">
        <f t="shared" si="19"/>
        <v>-105.15</v>
      </c>
      <c r="AE49">
        <f t="shared" si="19"/>
        <v>-105.15</v>
      </c>
      <c r="AF49">
        <f t="shared" si="19"/>
        <v>-105.15</v>
      </c>
      <c r="AG49">
        <f t="shared" si="19"/>
        <v>-105.15</v>
      </c>
      <c r="AH49">
        <f t="shared" si="20"/>
        <v>-105.15</v>
      </c>
      <c r="AI49">
        <f t="shared" si="20"/>
        <v>-105.15</v>
      </c>
      <c r="AJ49">
        <f t="shared" si="20"/>
        <v>-105.15</v>
      </c>
      <c r="AK49">
        <f t="shared" si="20"/>
        <v>-105.15</v>
      </c>
      <c r="AL49">
        <f t="shared" si="20"/>
        <v>-105.15</v>
      </c>
      <c r="AM49">
        <f t="shared" si="20"/>
        <v>-105.15</v>
      </c>
      <c r="AN49">
        <f t="shared" si="20"/>
        <v>-105.15</v>
      </c>
      <c r="AO49">
        <f t="shared" si="20"/>
        <v>-105.15</v>
      </c>
      <c r="AP49">
        <f t="shared" si="20"/>
        <v>-105.15</v>
      </c>
      <c r="AQ49">
        <f t="shared" si="20"/>
        <v>-105.15</v>
      </c>
      <c r="AR49">
        <f t="shared" si="21"/>
        <v>-105.15</v>
      </c>
      <c r="AS49">
        <f t="shared" si="21"/>
        <v>-105.15</v>
      </c>
      <c r="AT49">
        <f t="shared" si="21"/>
        <v>-105.15</v>
      </c>
      <c r="AU49">
        <f t="shared" si="21"/>
        <v>-105.15</v>
      </c>
      <c r="AV49">
        <f t="shared" si="21"/>
        <v>-105.15</v>
      </c>
      <c r="AW49">
        <f t="shared" si="21"/>
        <v>-105.15</v>
      </c>
      <c r="AX49">
        <f t="shared" si="21"/>
        <v>-105.15</v>
      </c>
      <c r="AY49">
        <f t="shared" si="21"/>
        <v>-105.15</v>
      </c>
      <c r="AZ49">
        <f t="shared" si="21"/>
        <v>-105.15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-104.53</v>
      </c>
      <c r="D50">
        <f t="shared" si="17"/>
        <v>-104.53</v>
      </c>
      <c r="E50">
        <f t="shared" si="17"/>
        <v>-104.53</v>
      </c>
      <c r="F50">
        <f t="shared" si="17"/>
        <v>-104.53</v>
      </c>
      <c r="G50">
        <f t="shared" si="17"/>
        <v>-104.53</v>
      </c>
      <c r="H50">
        <f t="shared" si="17"/>
        <v>-104.53</v>
      </c>
      <c r="I50">
        <f t="shared" si="17"/>
        <v>-104.53</v>
      </c>
      <c r="J50">
        <f t="shared" si="17"/>
        <v>-104.53</v>
      </c>
      <c r="K50">
        <f t="shared" si="17"/>
        <v>-104.53</v>
      </c>
      <c r="L50">
        <f t="shared" si="17"/>
        <v>-104.53</v>
      </c>
      <c r="M50">
        <f t="shared" si="17"/>
        <v>-104.53</v>
      </c>
      <c r="N50">
        <f t="shared" si="18"/>
        <v>-104.53</v>
      </c>
      <c r="O50">
        <f t="shared" si="18"/>
        <v>-104.53</v>
      </c>
      <c r="P50">
        <f t="shared" si="18"/>
        <v>-104.53</v>
      </c>
      <c r="Q50">
        <f t="shared" si="18"/>
        <v>-104.53</v>
      </c>
      <c r="R50">
        <f t="shared" si="18"/>
        <v>-104.53</v>
      </c>
      <c r="S50">
        <f t="shared" si="18"/>
        <v>-104.53</v>
      </c>
      <c r="T50">
        <f t="shared" si="18"/>
        <v>-104.53</v>
      </c>
      <c r="U50">
        <f t="shared" si="18"/>
        <v>-104.53</v>
      </c>
      <c r="V50">
        <f t="shared" si="18"/>
        <v>-104.53</v>
      </c>
      <c r="W50">
        <f t="shared" si="18"/>
        <v>-104.53</v>
      </c>
      <c r="X50">
        <f t="shared" si="19"/>
        <v>-104.53</v>
      </c>
      <c r="Y50">
        <f t="shared" si="19"/>
        <v>-104.53</v>
      </c>
      <c r="Z50">
        <f t="shared" si="19"/>
        <v>-104.53</v>
      </c>
      <c r="AA50">
        <f t="shared" si="19"/>
        <v>-104.53</v>
      </c>
      <c r="AB50">
        <f t="shared" si="19"/>
        <v>-104.53</v>
      </c>
      <c r="AC50">
        <f t="shared" si="19"/>
        <v>-104.53</v>
      </c>
      <c r="AD50">
        <f t="shared" si="19"/>
        <v>-104.53</v>
      </c>
      <c r="AE50">
        <f t="shared" si="19"/>
        <v>-104.53</v>
      </c>
      <c r="AF50">
        <f t="shared" si="19"/>
        <v>-104.53</v>
      </c>
      <c r="AG50">
        <f t="shared" si="19"/>
        <v>-104.53</v>
      </c>
      <c r="AH50">
        <f t="shared" si="20"/>
        <v>-104.53</v>
      </c>
      <c r="AI50">
        <f t="shared" si="20"/>
        <v>-104.53</v>
      </c>
      <c r="AJ50">
        <f t="shared" si="20"/>
        <v>-104.53</v>
      </c>
      <c r="AK50">
        <f t="shared" si="20"/>
        <v>-104.53</v>
      </c>
      <c r="AL50">
        <f t="shared" si="20"/>
        <v>-104.53</v>
      </c>
      <c r="AM50">
        <f t="shared" si="20"/>
        <v>-104.53</v>
      </c>
      <c r="AN50">
        <f t="shared" si="20"/>
        <v>-104.53</v>
      </c>
      <c r="AO50">
        <f t="shared" si="20"/>
        <v>-104.53</v>
      </c>
      <c r="AP50">
        <f t="shared" si="20"/>
        <v>-104.53</v>
      </c>
      <c r="AQ50">
        <f t="shared" si="20"/>
        <v>-104.53</v>
      </c>
      <c r="AR50">
        <f t="shared" si="21"/>
        <v>-104.53</v>
      </c>
      <c r="AS50">
        <f t="shared" si="21"/>
        <v>-104.53</v>
      </c>
      <c r="AT50">
        <f t="shared" si="21"/>
        <v>-104.53</v>
      </c>
      <c r="AU50">
        <f t="shared" si="21"/>
        <v>-104.53</v>
      </c>
      <c r="AV50">
        <f t="shared" si="21"/>
        <v>-104.53</v>
      </c>
      <c r="AW50">
        <f t="shared" si="21"/>
        <v>-104.53</v>
      </c>
      <c r="AX50">
        <f t="shared" si="21"/>
        <v>-104.53</v>
      </c>
      <c r="AY50">
        <f t="shared" si="21"/>
        <v>-104.53</v>
      </c>
      <c r="AZ50">
        <f t="shared" si="21"/>
        <v>-104.53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-103.95</v>
      </c>
      <c r="D51">
        <f t="shared" si="17"/>
        <v>-103.95</v>
      </c>
      <c r="E51">
        <f t="shared" si="17"/>
        <v>-103.95</v>
      </c>
      <c r="F51">
        <f t="shared" si="17"/>
        <v>-103.95</v>
      </c>
      <c r="G51">
        <f t="shared" si="17"/>
        <v>-103.95</v>
      </c>
      <c r="H51">
        <f t="shared" si="17"/>
        <v>-103.95</v>
      </c>
      <c r="I51">
        <f t="shared" si="17"/>
        <v>-103.95</v>
      </c>
      <c r="J51">
        <f t="shared" si="17"/>
        <v>-103.95</v>
      </c>
      <c r="K51">
        <f t="shared" si="17"/>
        <v>-103.95</v>
      </c>
      <c r="L51">
        <f t="shared" si="17"/>
        <v>-103.95</v>
      </c>
      <c r="M51">
        <f t="shared" si="17"/>
        <v>-103.95</v>
      </c>
      <c r="N51">
        <f t="shared" si="18"/>
        <v>-103.95</v>
      </c>
      <c r="O51">
        <f t="shared" si="18"/>
        <v>-103.95</v>
      </c>
      <c r="P51">
        <f t="shared" si="18"/>
        <v>-103.95</v>
      </c>
      <c r="Q51">
        <f t="shared" si="18"/>
        <v>-103.95</v>
      </c>
      <c r="R51">
        <f t="shared" si="18"/>
        <v>-103.95</v>
      </c>
      <c r="S51">
        <f t="shared" si="18"/>
        <v>-103.95</v>
      </c>
      <c r="T51">
        <f t="shared" si="18"/>
        <v>-103.95</v>
      </c>
      <c r="U51">
        <f t="shared" si="18"/>
        <v>-103.95</v>
      </c>
      <c r="V51">
        <f t="shared" si="18"/>
        <v>-103.95</v>
      </c>
      <c r="W51">
        <f t="shared" si="18"/>
        <v>-103.95</v>
      </c>
      <c r="X51">
        <f t="shared" si="19"/>
        <v>-103.95</v>
      </c>
      <c r="Y51">
        <f t="shared" si="19"/>
        <v>-103.95</v>
      </c>
      <c r="Z51">
        <f t="shared" si="19"/>
        <v>-103.95</v>
      </c>
      <c r="AA51">
        <f t="shared" si="19"/>
        <v>-103.95</v>
      </c>
      <c r="AB51">
        <f t="shared" si="19"/>
        <v>-103.95</v>
      </c>
      <c r="AC51">
        <f t="shared" si="19"/>
        <v>-103.95</v>
      </c>
      <c r="AD51">
        <f t="shared" si="19"/>
        <v>-103.95</v>
      </c>
      <c r="AE51">
        <f t="shared" si="19"/>
        <v>-103.95</v>
      </c>
      <c r="AF51">
        <f t="shared" si="19"/>
        <v>-103.95</v>
      </c>
      <c r="AG51">
        <f t="shared" si="19"/>
        <v>-103.95</v>
      </c>
      <c r="AH51">
        <f t="shared" si="20"/>
        <v>-103.95</v>
      </c>
      <c r="AI51">
        <f t="shared" si="20"/>
        <v>-103.95</v>
      </c>
      <c r="AJ51">
        <f t="shared" si="20"/>
        <v>-103.95</v>
      </c>
      <c r="AK51">
        <f t="shared" si="20"/>
        <v>-103.95</v>
      </c>
      <c r="AL51">
        <f t="shared" si="20"/>
        <v>-103.95</v>
      </c>
      <c r="AM51">
        <f t="shared" si="20"/>
        <v>-103.95</v>
      </c>
      <c r="AN51">
        <f t="shared" si="20"/>
        <v>-103.95</v>
      </c>
      <c r="AO51">
        <f t="shared" si="20"/>
        <v>-103.95</v>
      </c>
      <c r="AP51">
        <f t="shared" si="20"/>
        <v>-103.95</v>
      </c>
      <c r="AQ51">
        <f t="shared" si="20"/>
        <v>-103.95</v>
      </c>
      <c r="AR51">
        <f t="shared" si="21"/>
        <v>-103.95</v>
      </c>
      <c r="AS51">
        <f t="shared" si="21"/>
        <v>-103.95</v>
      </c>
      <c r="AT51">
        <f t="shared" si="21"/>
        <v>-103.95</v>
      </c>
      <c r="AU51">
        <f t="shared" si="21"/>
        <v>-103.95</v>
      </c>
      <c r="AV51">
        <f t="shared" si="21"/>
        <v>-103.95</v>
      </c>
      <c r="AW51">
        <f t="shared" si="21"/>
        <v>-103.95</v>
      </c>
      <c r="AX51">
        <f t="shared" si="21"/>
        <v>-103.95</v>
      </c>
      <c r="AY51">
        <f t="shared" si="21"/>
        <v>-103.95</v>
      </c>
      <c r="AZ51">
        <f t="shared" si="21"/>
        <v>-103.95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-103.41</v>
      </c>
      <c r="D52">
        <f t="shared" si="17"/>
        <v>-103.41</v>
      </c>
      <c r="E52">
        <f t="shared" si="17"/>
        <v>-103.41</v>
      </c>
      <c r="F52">
        <f t="shared" si="17"/>
        <v>-103.41</v>
      </c>
      <c r="G52">
        <f t="shared" si="17"/>
        <v>-103.41</v>
      </c>
      <c r="H52">
        <f t="shared" si="17"/>
        <v>-103.41</v>
      </c>
      <c r="I52">
        <f t="shared" si="17"/>
        <v>-103.41</v>
      </c>
      <c r="J52">
        <f t="shared" si="17"/>
        <v>-103.41</v>
      </c>
      <c r="K52">
        <f t="shared" si="17"/>
        <v>-103.41</v>
      </c>
      <c r="L52">
        <f t="shared" si="17"/>
        <v>-103.41</v>
      </c>
      <c r="M52">
        <f t="shared" si="17"/>
        <v>-103.41</v>
      </c>
      <c r="N52">
        <f t="shared" si="18"/>
        <v>-103.41</v>
      </c>
      <c r="O52">
        <f t="shared" si="18"/>
        <v>-103.41</v>
      </c>
      <c r="P52">
        <f t="shared" si="18"/>
        <v>-103.41</v>
      </c>
      <c r="Q52">
        <f t="shared" si="18"/>
        <v>-103.41</v>
      </c>
      <c r="R52">
        <f t="shared" si="18"/>
        <v>-103.41</v>
      </c>
      <c r="S52">
        <f t="shared" si="18"/>
        <v>-103.41</v>
      </c>
      <c r="T52">
        <f t="shared" si="18"/>
        <v>-103.41</v>
      </c>
      <c r="U52">
        <f t="shared" si="18"/>
        <v>-103.41</v>
      </c>
      <c r="V52">
        <f t="shared" si="18"/>
        <v>-103.41</v>
      </c>
      <c r="W52">
        <f t="shared" si="18"/>
        <v>-103.41</v>
      </c>
      <c r="X52">
        <f t="shared" si="19"/>
        <v>-103.41</v>
      </c>
      <c r="Y52">
        <f t="shared" si="19"/>
        <v>-103.41</v>
      </c>
      <c r="Z52">
        <f t="shared" si="19"/>
        <v>-103.41</v>
      </c>
      <c r="AA52">
        <f t="shared" si="19"/>
        <v>-103.41</v>
      </c>
      <c r="AB52">
        <f t="shared" si="19"/>
        <v>-103.41</v>
      </c>
      <c r="AC52">
        <f t="shared" si="19"/>
        <v>-103.41</v>
      </c>
      <c r="AD52">
        <f t="shared" si="19"/>
        <v>-103.41</v>
      </c>
      <c r="AE52">
        <f t="shared" si="19"/>
        <v>-103.41</v>
      </c>
      <c r="AF52">
        <f t="shared" si="19"/>
        <v>-103.41</v>
      </c>
      <c r="AG52">
        <f t="shared" si="19"/>
        <v>-103.41</v>
      </c>
      <c r="AH52">
        <f t="shared" si="20"/>
        <v>-103.41</v>
      </c>
      <c r="AI52">
        <f t="shared" si="20"/>
        <v>-103.41</v>
      </c>
      <c r="AJ52">
        <f t="shared" si="20"/>
        <v>-103.41</v>
      </c>
      <c r="AK52">
        <f t="shared" si="20"/>
        <v>-103.41</v>
      </c>
      <c r="AL52">
        <f t="shared" si="20"/>
        <v>-103.41</v>
      </c>
      <c r="AM52">
        <f t="shared" si="20"/>
        <v>-103.41</v>
      </c>
      <c r="AN52">
        <f t="shared" si="20"/>
        <v>-103.41</v>
      </c>
      <c r="AO52">
        <f t="shared" si="20"/>
        <v>-103.41</v>
      </c>
      <c r="AP52">
        <f t="shared" si="20"/>
        <v>-103.41</v>
      </c>
      <c r="AQ52">
        <f t="shared" si="20"/>
        <v>-103.41</v>
      </c>
      <c r="AR52">
        <f t="shared" si="21"/>
        <v>-103.41</v>
      </c>
      <c r="AS52">
        <f t="shared" si="21"/>
        <v>-103.41</v>
      </c>
      <c r="AT52">
        <f t="shared" si="21"/>
        <v>-103.41</v>
      </c>
      <c r="AU52">
        <f t="shared" si="21"/>
        <v>-103.41</v>
      </c>
      <c r="AV52">
        <f t="shared" si="21"/>
        <v>-103.41</v>
      </c>
      <c r="AW52">
        <f t="shared" si="21"/>
        <v>-103.41</v>
      </c>
      <c r="AX52">
        <f t="shared" si="21"/>
        <v>-103.41</v>
      </c>
      <c r="AY52">
        <f t="shared" si="21"/>
        <v>-103.41</v>
      </c>
      <c r="AZ52">
        <f t="shared" si="21"/>
        <v>-103.41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-102.91</v>
      </c>
      <c r="D53">
        <f t="shared" si="17"/>
        <v>-102.91</v>
      </c>
      <c r="E53">
        <f t="shared" si="17"/>
        <v>-102.91</v>
      </c>
      <c r="F53">
        <f t="shared" si="17"/>
        <v>-102.91</v>
      </c>
      <c r="G53">
        <f t="shared" si="17"/>
        <v>-102.91</v>
      </c>
      <c r="H53">
        <f t="shared" si="17"/>
        <v>-102.91</v>
      </c>
      <c r="I53">
        <f t="shared" si="17"/>
        <v>-102.91</v>
      </c>
      <c r="J53">
        <f t="shared" si="17"/>
        <v>-102.91</v>
      </c>
      <c r="K53">
        <f t="shared" si="17"/>
        <v>-102.91</v>
      </c>
      <c r="L53">
        <f t="shared" si="17"/>
        <v>-102.91</v>
      </c>
      <c r="M53">
        <f t="shared" si="17"/>
        <v>-102.91</v>
      </c>
      <c r="N53">
        <f t="shared" si="18"/>
        <v>-102.91</v>
      </c>
      <c r="O53">
        <f t="shared" si="18"/>
        <v>-102.91</v>
      </c>
      <c r="P53">
        <f t="shared" si="18"/>
        <v>-102.91</v>
      </c>
      <c r="Q53">
        <f t="shared" si="18"/>
        <v>-102.91</v>
      </c>
      <c r="R53">
        <f t="shared" si="18"/>
        <v>-102.91</v>
      </c>
      <c r="S53">
        <f t="shared" si="18"/>
        <v>-102.91</v>
      </c>
      <c r="T53">
        <f t="shared" si="18"/>
        <v>-102.91</v>
      </c>
      <c r="U53">
        <f t="shared" si="18"/>
        <v>-102.91</v>
      </c>
      <c r="V53">
        <f t="shared" si="18"/>
        <v>-102.91</v>
      </c>
      <c r="W53">
        <f t="shared" si="18"/>
        <v>-102.91</v>
      </c>
      <c r="X53">
        <f t="shared" si="19"/>
        <v>-102.91</v>
      </c>
      <c r="Y53">
        <f t="shared" si="19"/>
        <v>-102.91</v>
      </c>
      <c r="Z53">
        <f t="shared" si="19"/>
        <v>-102.91</v>
      </c>
      <c r="AA53">
        <f t="shared" si="19"/>
        <v>-102.91</v>
      </c>
      <c r="AB53">
        <f t="shared" si="19"/>
        <v>-102.91</v>
      </c>
      <c r="AC53">
        <f t="shared" si="19"/>
        <v>-102.91</v>
      </c>
      <c r="AD53">
        <f t="shared" si="19"/>
        <v>-102.91</v>
      </c>
      <c r="AE53">
        <f t="shared" si="19"/>
        <v>-102.91</v>
      </c>
      <c r="AF53">
        <f t="shared" si="19"/>
        <v>-102.91</v>
      </c>
      <c r="AG53">
        <f t="shared" si="19"/>
        <v>-102.91</v>
      </c>
      <c r="AH53">
        <f t="shared" si="20"/>
        <v>-102.91</v>
      </c>
      <c r="AI53">
        <f t="shared" si="20"/>
        <v>-102.91</v>
      </c>
      <c r="AJ53">
        <f t="shared" si="20"/>
        <v>-102.91</v>
      </c>
      <c r="AK53">
        <f t="shared" si="20"/>
        <v>-102.91</v>
      </c>
      <c r="AL53">
        <f t="shared" si="20"/>
        <v>-102.91</v>
      </c>
      <c r="AM53">
        <f t="shared" si="20"/>
        <v>-102.91</v>
      </c>
      <c r="AN53">
        <f t="shared" si="20"/>
        <v>-102.91</v>
      </c>
      <c r="AO53">
        <f t="shared" si="20"/>
        <v>-102.91</v>
      </c>
      <c r="AP53">
        <f t="shared" si="20"/>
        <v>-102.91</v>
      </c>
      <c r="AQ53">
        <f t="shared" si="20"/>
        <v>-102.91</v>
      </c>
      <c r="AR53">
        <f t="shared" si="21"/>
        <v>-102.91</v>
      </c>
      <c r="AS53">
        <f t="shared" si="21"/>
        <v>-102.91</v>
      </c>
      <c r="AT53">
        <f t="shared" si="21"/>
        <v>-102.91</v>
      </c>
      <c r="AU53">
        <f t="shared" si="21"/>
        <v>-102.91</v>
      </c>
      <c r="AV53">
        <f t="shared" si="21"/>
        <v>-102.91</v>
      </c>
      <c r="AW53">
        <f t="shared" si="21"/>
        <v>-102.91</v>
      </c>
      <c r="AX53">
        <f t="shared" si="21"/>
        <v>-102.91</v>
      </c>
      <c r="AY53">
        <f t="shared" si="21"/>
        <v>-102.91</v>
      </c>
      <c r="AZ53">
        <f t="shared" si="21"/>
        <v>-102.91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-102.45</v>
      </c>
      <c r="D54">
        <f t="shared" si="17"/>
        <v>-102.45</v>
      </c>
      <c r="E54">
        <f t="shared" si="17"/>
        <v>-102.45</v>
      </c>
      <c r="F54">
        <f t="shared" si="17"/>
        <v>-102.45</v>
      </c>
      <c r="G54">
        <f t="shared" si="17"/>
        <v>-102.45</v>
      </c>
      <c r="H54">
        <f t="shared" si="17"/>
        <v>-102.45</v>
      </c>
      <c r="I54">
        <f t="shared" si="17"/>
        <v>-102.45</v>
      </c>
      <c r="J54">
        <f t="shared" si="17"/>
        <v>-102.45</v>
      </c>
      <c r="K54">
        <f t="shared" si="17"/>
        <v>-102.45</v>
      </c>
      <c r="L54">
        <f t="shared" si="17"/>
        <v>-102.45</v>
      </c>
      <c r="M54">
        <f t="shared" si="17"/>
        <v>-102.45</v>
      </c>
      <c r="N54">
        <f t="shared" si="18"/>
        <v>-102.45</v>
      </c>
      <c r="O54">
        <f t="shared" si="18"/>
        <v>-102.45</v>
      </c>
      <c r="P54">
        <f t="shared" si="18"/>
        <v>-102.45</v>
      </c>
      <c r="Q54">
        <f t="shared" si="18"/>
        <v>-102.45</v>
      </c>
      <c r="R54">
        <f t="shared" si="18"/>
        <v>-102.45</v>
      </c>
      <c r="S54">
        <f t="shared" si="18"/>
        <v>-102.45</v>
      </c>
      <c r="T54">
        <f t="shared" si="18"/>
        <v>-102.45</v>
      </c>
      <c r="U54">
        <f t="shared" si="18"/>
        <v>-102.45</v>
      </c>
      <c r="V54">
        <f t="shared" si="18"/>
        <v>-102.45</v>
      </c>
      <c r="W54">
        <f t="shared" si="18"/>
        <v>-102.45</v>
      </c>
      <c r="X54">
        <f t="shared" si="19"/>
        <v>-102.45</v>
      </c>
      <c r="Y54">
        <f t="shared" si="19"/>
        <v>-102.45</v>
      </c>
      <c r="Z54">
        <f t="shared" si="19"/>
        <v>-102.45</v>
      </c>
      <c r="AA54">
        <f t="shared" si="19"/>
        <v>-102.45</v>
      </c>
      <c r="AB54">
        <f t="shared" si="19"/>
        <v>-102.45</v>
      </c>
      <c r="AC54">
        <f t="shared" si="19"/>
        <v>-102.45</v>
      </c>
      <c r="AD54">
        <f t="shared" si="19"/>
        <v>-102.45</v>
      </c>
      <c r="AE54">
        <f t="shared" si="19"/>
        <v>-102.45</v>
      </c>
      <c r="AF54">
        <f t="shared" si="19"/>
        <v>-102.45</v>
      </c>
      <c r="AG54">
        <f t="shared" si="19"/>
        <v>-102.45</v>
      </c>
      <c r="AH54">
        <f t="shared" si="20"/>
        <v>-102.45</v>
      </c>
      <c r="AI54">
        <f t="shared" si="20"/>
        <v>-102.45</v>
      </c>
      <c r="AJ54">
        <f t="shared" si="20"/>
        <v>-102.45</v>
      </c>
      <c r="AK54">
        <f t="shared" si="20"/>
        <v>-102.45</v>
      </c>
      <c r="AL54">
        <f t="shared" si="20"/>
        <v>-102.45</v>
      </c>
      <c r="AM54">
        <f t="shared" si="20"/>
        <v>-102.45</v>
      </c>
      <c r="AN54">
        <f t="shared" si="20"/>
        <v>-102.45</v>
      </c>
      <c r="AO54">
        <f t="shared" si="20"/>
        <v>-102.45</v>
      </c>
      <c r="AP54">
        <f t="shared" si="20"/>
        <v>-102.45</v>
      </c>
      <c r="AQ54">
        <f t="shared" si="20"/>
        <v>-102.45</v>
      </c>
      <c r="AR54">
        <f t="shared" si="21"/>
        <v>-102.45</v>
      </c>
      <c r="AS54">
        <f t="shared" si="21"/>
        <v>-102.45</v>
      </c>
      <c r="AT54">
        <f t="shared" si="21"/>
        <v>-102.45</v>
      </c>
      <c r="AU54">
        <f t="shared" si="21"/>
        <v>-102.45</v>
      </c>
      <c r="AV54">
        <f t="shared" si="21"/>
        <v>-102.45</v>
      </c>
      <c r="AW54">
        <f t="shared" si="21"/>
        <v>-102.45</v>
      </c>
      <c r="AX54">
        <f t="shared" si="21"/>
        <v>-102.45</v>
      </c>
      <c r="AY54">
        <f t="shared" si="21"/>
        <v>-102.45</v>
      </c>
      <c r="AZ54">
        <f t="shared" si="21"/>
        <v>-102.45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-102.03</v>
      </c>
      <c r="D55">
        <f t="shared" si="17"/>
        <v>-102.03</v>
      </c>
      <c r="E55">
        <f t="shared" si="17"/>
        <v>-102.03</v>
      </c>
      <c r="F55">
        <f t="shared" si="17"/>
        <v>-102.03</v>
      </c>
      <c r="G55">
        <f t="shared" si="17"/>
        <v>-102.03</v>
      </c>
      <c r="H55">
        <f t="shared" si="17"/>
        <v>-102.03</v>
      </c>
      <c r="I55">
        <f t="shared" si="17"/>
        <v>-102.03</v>
      </c>
      <c r="J55">
        <f t="shared" si="17"/>
        <v>-102.03</v>
      </c>
      <c r="K55">
        <f t="shared" si="17"/>
        <v>-102.03</v>
      </c>
      <c r="L55">
        <f t="shared" si="17"/>
        <v>-102.03</v>
      </c>
      <c r="M55">
        <f t="shared" si="17"/>
        <v>-102.03</v>
      </c>
      <c r="N55">
        <f t="shared" si="18"/>
        <v>-102.03</v>
      </c>
      <c r="O55">
        <f t="shared" si="18"/>
        <v>-102.03</v>
      </c>
      <c r="P55">
        <f t="shared" si="18"/>
        <v>-102.03</v>
      </c>
      <c r="Q55">
        <f t="shared" si="18"/>
        <v>-102.03</v>
      </c>
      <c r="R55">
        <f t="shared" si="18"/>
        <v>-102.03</v>
      </c>
      <c r="S55">
        <f t="shared" si="18"/>
        <v>-102.03</v>
      </c>
      <c r="T55">
        <f t="shared" si="18"/>
        <v>-102.03</v>
      </c>
      <c r="U55">
        <f t="shared" si="18"/>
        <v>-102.03</v>
      </c>
      <c r="V55">
        <f t="shared" si="18"/>
        <v>-102.03</v>
      </c>
      <c r="W55">
        <f t="shared" si="18"/>
        <v>-102.03</v>
      </c>
      <c r="X55">
        <f t="shared" si="19"/>
        <v>-102.03</v>
      </c>
      <c r="Y55">
        <f t="shared" si="19"/>
        <v>-102.03</v>
      </c>
      <c r="Z55">
        <f t="shared" si="19"/>
        <v>-102.03</v>
      </c>
      <c r="AA55">
        <f t="shared" si="19"/>
        <v>-102.03</v>
      </c>
      <c r="AB55">
        <f t="shared" si="19"/>
        <v>-102.03</v>
      </c>
      <c r="AC55">
        <f t="shared" si="19"/>
        <v>-102.03</v>
      </c>
      <c r="AD55">
        <f t="shared" si="19"/>
        <v>-102.03</v>
      </c>
      <c r="AE55">
        <f t="shared" si="19"/>
        <v>-102.03</v>
      </c>
      <c r="AF55">
        <f t="shared" si="19"/>
        <v>-102.03</v>
      </c>
      <c r="AG55">
        <f t="shared" si="19"/>
        <v>-102.03</v>
      </c>
      <c r="AH55">
        <f t="shared" si="20"/>
        <v>-102.03</v>
      </c>
      <c r="AI55">
        <f t="shared" si="20"/>
        <v>-102.03</v>
      </c>
      <c r="AJ55">
        <f t="shared" si="20"/>
        <v>-102.03</v>
      </c>
      <c r="AK55">
        <f t="shared" si="20"/>
        <v>-102.03</v>
      </c>
      <c r="AL55">
        <f t="shared" si="20"/>
        <v>-102.03</v>
      </c>
      <c r="AM55">
        <f t="shared" si="20"/>
        <v>-102.03</v>
      </c>
      <c r="AN55">
        <f t="shared" si="20"/>
        <v>-102.03</v>
      </c>
      <c r="AO55">
        <f t="shared" si="20"/>
        <v>-102.03</v>
      </c>
      <c r="AP55">
        <f t="shared" si="20"/>
        <v>-102.03</v>
      </c>
      <c r="AQ55">
        <f t="shared" si="20"/>
        <v>-102.03</v>
      </c>
      <c r="AR55">
        <f t="shared" si="21"/>
        <v>-102.03</v>
      </c>
      <c r="AS55">
        <f t="shared" si="21"/>
        <v>-102.03</v>
      </c>
      <c r="AT55">
        <f t="shared" si="21"/>
        <v>-102.03</v>
      </c>
      <c r="AU55">
        <f t="shared" si="21"/>
        <v>-102.03</v>
      </c>
      <c r="AV55">
        <f t="shared" si="21"/>
        <v>-102.03</v>
      </c>
      <c r="AW55">
        <f t="shared" si="21"/>
        <v>-102.03</v>
      </c>
      <c r="AX55">
        <f t="shared" si="21"/>
        <v>-102.03</v>
      </c>
      <c r="AY55">
        <f t="shared" si="21"/>
        <v>-102.03</v>
      </c>
      <c r="AZ55">
        <f t="shared" si="21"/>
        <v>-102.03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M64" si="23">-0.5*sigma^2*$A56^2-0.5*rate-1/dt</f>
        <v>-101.65</v>
      </c>
      <c r="D56">
        <f t="shared" si="23"/>
        <v>-101.65</v>
      </c>
      <c r="E56">
        <f t="shared" si="23"/>
        <v>-101.65</v>
      </c>
      <c r="F56">
        <f t="shared" si="23"/>
        <v>-101.65</v>
      </c>
      <c r="G56">
        <f t="shared" si="23"/>
        <v>-101.65</v>
      </c>
      <c r="H56">
        <f t="shared" si="23"/>
        <v>-101.65</v>
      </c>
      <c r="I56">
        <f t="shared" si="23"/>
        <v>-101.65</v>
      </c>
      <c r="J56">
        <f t="shared" si="23"/>
        <v>-101.65</v>
      </c>
      <c r="K56">
        <f t="shared" si="23"/>
        <v>-101.65</v>
      </c>
      <c r="L56">
        <f t="shared" si="23"/>
        <v>-101.65</v>
      </c>
      <c r="M56">
        <f t="shared" si="23"/>
        <v>-101.65</v>
      </c>
      <c r="N56">
        <f t="shared" ref="N56:W64" si="24">-0.5*sigma^2*$A56^2-0.5*rate-1/dt</f>
        <v>-101.65</v>
      </c>
      <c r="O56">
        <f t="shared" si="24"/>
        <v>-101.65</v>
      </c>
      <c r="P56">
        <f t="shared" si="24"/>
        <v>-101.65</v>
      </c>
      <c r="Q56">
        <f t="shared" si="24"/>
        <v>-101.65</v>
      </c>
      <c r="R56">
        <f t="shared" si="24"/>
        <v>-101.65</v>
      </c>
      <c r="S56">
        <f t="shared" si="24"/>
        <v>-101.65</v>
      </c>
      <c r="T56">
        <f t="shared" si="24"/>
        <v>-101.65</v>
      </c>
      <c r="U56">
        <f t="shared" si="24"/>
        <v>-101.65</v>
      </c>
      <c r="V56">
        <f t="shared" si="24"/>
        <v>-101.65</v>
      </c>
      <c r="W56">
        <f t="shared" si="24"/>
        <v>-101.65</v>
      </c>
      <c r="X56">
        <f t="shared" ref="X56:AG64" si="25">-0.5*sigma^2*$A56^2-0.5*rate-1/dt</f>
        <v>-101.65</v>
      </c>
      <c r="Y56">
        <f t="shared" si="25"/>
        <v>-101.65</v>
      </c>
      <c r="Z56">
        <f t="shared" si="25"/>
        <v>-101.65</v>
      </c>
      <c r="AA56">
        <f t="shared" si="25"/>
        <v>-101.65</v>
      </c>
      <c r="AB56">
        <f t="shared" si="25"/>
        <v>-101.65</v>
      </c>
      <c r="AC56">
        <f t="shared" si="25"/>
        <v>-101.65</v>
      </c>
      <c r="AD56">
        <f t="shared" si="25"/>
        <v>-101.65</v>
      </c>
      <c r="AE56">
        <f t="shared" si="25"/>
        <v>-101.65</v>
      </c>
      <c r="AF56">
        <f t="shared" si="25"/>
        <v>-101.65</v>
      </c>
      <c r="AG56">
        <f t="shared" si="25"/>
        <v>-101.65</v>
      </c>
      <c r="AH56">
        <f t="shared" ref="AH56:AQ64" si="26">-0.5*sigma^2*$A56^2-0.5*rate-1/dt</f>
        <v>-101.65</v>
      </c>
      <c r="AI56">
        <f t="shared" si="26"/>
        <v>-101.65</v>
      </c>
      <c r="AJ56">
        <f t="shared" si="26"/>
        <v>-101.65</v>
      </c>
      <c r="AK56">
        <f t="shared" si="26"/>
        <v>-101.65</v>
      </c>
      <c r="AL56">
        <f t="shared" si="26"/>
        <v>-101.65</v>
      </c>
      <c r="AM56">
        <f t="shared" si="26"/>
        <v>-101.65</v>
      </c>
      <c r="AN56">
        <f t="shared" si="26"/>
        <v>-101.65</v>
      </c>
      <c r="AO56">
        <f t="shared" si="26"/>
        <v>-101.65</v>
      </c>
      <c r="AP56">
        <f t="shared" si="26"/>
        <v>-101.65</v>
      </c>
      <c r="AQ56">
        <f t="shared" si="26"/>
        <v>-101.65</v>
      </c>
      <c r="AR56">
        <f t="shared" ref="AR56:AZ64" si="27">-0.5*sigma^2*$A56^2-0.5*rate-1/dt</f>
        <v>-101.65</v>
      </c>
      <c r="AS56">
        <f t="shared" si="27"/>
        <v>-101.65</v>
      </c>
      <c r="AT56">
        <f t="shared" si="27"/>
        <v>-101.65</v>
      </c>
      <c r="AU56">
        <f t="shared" si="27"/>
        <v>-101.65</v>
      </c>
      <c r="AV56">
        <f t="shared" si="27"/>
        <v>-101.65</v>
      </c>
      <c r="AW56">
        <f t="shared" si="27"/>
        <v>-101.65</v>
      </c>
      <c r="AX56">
        <f t="shared" si="27"/>
        <v>-101.65</v>
      </c>
      <c r="AY56">
        <f t="shared" si="27"/>
        <v>-101.65</v>
      </c>
      <c r="AZ56">
        <f t="shared" si="27"/>
        <v>-101.65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-101.31</v>
      </c>
      <c r="D57">
        <f t="shared" si="23"/>
        <v>-101.31</v>
      </c>
      <c r="E57">
        <f t="shared" si="23"/>
        <v>-101.31</v>
      </c>
      <c r="F57">
        <f t="shared" si="23"/>
        <v>-101.31</v>
      </c>
      <c r="G57">
        <f t="shared" si="23"/>
        <v>-101.31</v>
      </c>
      <c r="H57">
        <f t="shared" si="23"/>
        <v>-101.31</v>
      </c>
      <c r="I57">
        <f t="shared" si="23"/>
        <v>-101.31</v>
      </c>
      <c r="J57">
        <f t="shared" si="23"/>
        <v>-101.31</v>
      </c>
      <c r="K57">
        <f t="shared" si="23"/>
        <v>-101.31</v>
      </c>
      <c r="L57">
        <f t="shared" si="23"/>
        <v>-101.31</v>
      </c>
      <c r="M57">
        <f t="shared" si="23"/>
        <v>-101.31</v>
      </c>
      <c r="N57">
        <f t="shared" si="24"/>
        <v>-101.31</v>
      </c>
      <c r="O57">
        <f t="shared" si="24"/>
        <v>-101.31</v>
      </c>
      <c r="P57">
        <f t="shared" si="24"/>
        <v>-101.31</v>
      </c>
      <c r="Q57">
        <f t="shared" si="24"/>
        <v>-101.31</v>
      </c>
      <c r="R57">
        <f t="shared" si="24"/>
        <v>-101.31</v>
      </c>
      <c r="S57">
        <f t="shared" si="24"/>
        <v>-101.31</v>
      </c>
      <c r="T57">
        <f t="shared" si="24"/>
        <v>-101.31</v>
      </c>
      <c r="U57">
        <f t="shared" si="24"/>
        <v>-101.31</v>
      </c>
      <c r="V57">
        <f t="shared" si="24"/>
        <v>-101.31</v>
      </c>
      <c r="W57">
        <f t="shared" si="24"/>
        <v>-101.31</v>
      </c>
      <c r="X57">
        <f t="shared" si="25"/>
        <v>-101.31</v>
      </c>
      <c r="Y57">
        <f t="shared" si="25"/>
        <v>-101.31</v>
      </c>
      <c r="Z57">
        <f t="shared" si="25"/>
        <v>-101.31</v>
      </c>
      <c r="AA57">
        <f t="shared" si="25"/>
        <v>-101.31</v>
      </c>
      <c r="AB57">
        <f t="shared" si="25"/>
        <v>-101.31</v>
      </c>
      <c r="AC57">
        <f t="shared" si="25"/>
        <v>-101.31</v>
      </c>
      <c r="AD57">
        <f t="shared" si="25"/>
        <v>-101.31</v>
      </c>
      <c r="AE57">
        <f t="shared" si="25"/>
        <v>-101.31</v>
      </c>
      <c r="AF57">
        <f t="shared" si="25"/>
        <v>-101.31</v>
      </c>
      <c r="AG57">
        <f t="shared" si="25"/>
        <v>-101.31</v>
      </c>
      <c r="AH57">
        <f t="shared" si="26"/>
        <v>-101.31</v>
      </c>
      <c r="AI57">
        <f t="shared" si="26"/>
        <v>-101.31</v>
      </c>
      <c r="AJ57">
        <f t="shared" si="26"/>
        <v>-101.31</v>
      </c>
      <c r="AK57">
        <f t="shared" si="26"/>
        <v>-101.31</v>
      </c>
      <c r="AL57">
        <f t="shared" si="26"/>
        <v>-101.31</v>
      </c>
      <c r="AM57">
        <f t="shared" si="26"/>
        <v>-101.31</v>
      </c>
      <c r="AN57">
        <f t="shared" si="26"/>
        <v>-101.31</v>
      </c>
      <c r="AO57">
        <f t="shared" si="26"/>
        <v>-101.31</v>
      </c>
      <c r="AP57">
        <f t="shared" si="26"/>
        <v>-101.31</v>
      </c>
      <c r="AQ57">
        <f t="shared" si="26"/>
        <v>-101.31</v>
      </c>
      <c r="AR57">
        <f t="shared" si="27"/>
        <v>-101.31</v>
      </c>
      <c r="AS57">
        <f t="shared" si="27"/>
        <v>-101.31</v>
      </c>
      <c r="AT57">
        <f t="shared" si="27"/>
        <v>-101.31</v>
      </c>
      <c r="AU57">
        <f t="shared" si="27"/>
        <v>-101.31</v>
      </c>
      <c r="AV57">
        <f t="shared" si="27"/>
        <v>-101.31</v>
      </c>
      <c r="AW57">
        <f t="shared" si="27"/>
        <v>-101.31</v>
      </c>
      <c r="AX57">
        <f t="shared" si="27"/>
        <v>-101.31</v>
      </c>
      <c r="AY57">
        <f t="shared" si="27"/>
        <v>-101.31</v>
      </c>
      <c r="AZ57">
        <f t="shared" si="27"/>
        <v>-101.31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-101.01</v>
      </c>
      <c r="D58">
        <f t="shared" si="23"/>
        <v>-101.01</v>
      </c>
      <c r="E58">
        <f t="shared" si="23"/>
        <v>-101.01</v>
      </c>
      <c r="F58">
        <f t="shared" si="23"/>
        <v>-101.01</v>
      </c>
      <c r="G58">
        <f t="shared" si="23"/>
        <v>-101.01</v>
      </c>
      <c r="H58">
        <f t="shared" si="23"/>
        <v>-101.01</v>
      </c>
      <c r="I58">
        <f t="shared" si="23"/>
        <v>-101.01</v>
      </c>
      <c r="J58">
        <f t="shared" si="23"/>
        <v>-101.01</v>
      </c>
      <c r="K58">
        <f t="shared" si="23"/>
        <v>-101.01</v>
      </c>
      <c r="L58">
        <f t="shared" si="23"/>
        <v>-101.01</v>
      </c>
      <c r="M58">
        <f t="shared" si="23"/>
        <v>-101.01</v>
      </c>
      <c r="N58">
        <f t="shared" si="24"/>
        <v>-101.01</v>
      </c>
      <c r="O58">
        <f t="shared" si="24"/>
        <v>-101.01</v>
      </c>
      <c r="P58">
        <f t="shared" si="24"/>
        <v>-101.01</v>
      </c>
      <c r="Q58">
        <f t="shared" si="24"/>
        <v>-101.01</v>
      </c>
      <c r="R58">
        <f t="shared" si="24"/>
        <v>-101.01</v>
      </c>
      <c r="S58">
        <f t="shared" si="24"/>
        <v>-101.01</v>
      </c>
      <c r="T58">
        <f t="shared" si="24"/>
        <v>-101.01</v>
      </c>
      <c r="U58">
        <f t="shared" si="24"/>
        <v>-101.01</v>
      </c>
      <c r="V58">
        <f t="shared" si="24"/>
        <v>-101.01</v>
      </c>
      <c r="W58">
        <f t="shared" si="24"/>
        <v>-101.01</v>
      </c>
      <c r="X58">
        <f t="shared" si="25"/>
        <v>-101.01</v>
      </c>
      <c r="Y58">
        <f t="shared" si="25"/>
        <v>-101.01</v>
      </c>
      <c r="Z58">
        <f t="shared" si="25"/>
        <v>-101.01</v>
      </c>
      <c r="AA58">
        <f t="shared" si="25"/>
        <v>-101.01</v>
      </c>
      <c r="AB58">
        <f t="shared" si="25"/>
        <v>-101.01</v>
      </c>
      <c r="AC58">
        <f t="shared" si="25"/>
        <v>-101.01</v>
      </c>
      <c r="AD58">
        <f t="shared" si="25"/>
        <v>-101.01</v>
      </c>
      <c r="AE58">
        <f t="shared" si="25"/>
        <v>-101.01</v>
      </c>
      <c r="AF58">
        <f t="shared" si="25"/>
        <v>-101.01</v>
      </c>
      <c r="AG58">
        <f t="shared" si="25"/>
        <v>-101.01</v>
      </c>
      <c r="AH58">
        <f t="shared" si="26"/>
        <v>-101.01</v>
      </c>
      <c r="AI58">
        <f t="shared" si="26"/>
        <v>-101.01</v>
      </c>
      <c r="AJ58">
        <f t="shared" si="26"/>
        <v>-101.01</v>
      </c>
      <c r="AK58">
        <f t="shared" si="26"/>
        <v>-101.01</v>
      </c>
      <c r="AL58">
        <f t="shared" si="26"/>
        <v>-101.01</v>
      </c>
      <c r="AM58">
        <f t="shared" si="26"/>
        <v>-101.01</v>
      </c>
      <c r="AN58">
        <f t="shared" si="26"/>
        <v>-101.01</v>
      </c>
      <c r="AO58">
        <f t="shared" si="26"/>
        <v>-101.01</v>
      </c>
      <c r="AP58">
        <f t="shared" si="26"/>
        <v>-101.01</v>
      </c>
      <c r="AQ58">
        <f t="shared" si="26"/>
        <v>-101.01</v>
      </c>
      <c r="AR58">
        <f t="shared" si="27"/>
        <v>-101.01</v>
      </c>
      <c r="AS58">
        <f t="shared" si="27"/>
        <v>-101.01</v>
      </c>
      <c r="AT58">
        <f t="shared" si="27"/>
        <v>-101.01</v>
      </c>
      <c r="AU58">
        <f t="shared" si="27"/>
        <v>-101.01</v>
      </c>
      <c r="AV58">
        <f t="shared" si="27"/>
        <v>-101.01</v>
      </c>
      <c r="AW58">
        <f t="shared" si="27"/>
        <v>-101.01</v>
      </c>
      <c r="AX58">
        <f t="shared" si="27"/>
        <v>-101.01</v>
      </c>
      <c r="AY58">
        <f t="shared" si="27"/>
        <v>-101.01</v>
      </c>
      <c r="AZ58">
        <f t="shared" si="27"/>
        <v>-101.01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-100.75</v>
      </c>
      <c r="D59">
        <f t="shared" si="23"/>
        <v>-100.75</v>
      </c>
      <c r="E59">
        <f t="shared" si="23"/>
        <v>-100.75</v>
      </c>
      <c r="F59">
        <f t="shared" si="23"/>
        <v>-100.75</v>
      </c>
      <c r="G59">
        <f t="shared" si="23"/>
        <v>-100.75</v>
      </c>
      <c r="H59">
        <f t="shared" si="23"/>
        <v>-100.75</v>
      </c>
      <c r="I59">
        <f t="shared" si="23"/>
        <v>-100.75</v>
      </c>
      <c r="J59">
        <f t="shared" si="23"/>
        <v>-100.75</v>
      </c>
      <c r="K59">
        <f t="shared" si="23"/>
        <v>-100.75</v>
      </c>
      <c r="L59">
        <f t="shared" si="23"/>
        <v>-100.75</v>
      </c>
      <c r="M59">
        <f t="shared" si="23"/>
        <v>-100.75</v>
      </c>
      <c r="N59">
        <f t="shared" si="24"/>
        <v>-100.75</v>
      </c>
      <c r="O59">
        <f t="shared" si="24"/>
        <v>-100.75</v>
      </c>
      <c r="P59">
        <f t="shared" si="24"/>
        <v>-100.75</v>
      </c>
      <c r="Q59">
        <f t="shared" si="24"/>
        <v>-100.75</v>
      </c>
      <c r="R59">
        <f t="shared" si="24"/>
        <v>-100.75</v>
      </c>
      <c r="S59">
        <f t="shared" si="24"/>
        <v>-100.75</v>
      </c>
      <c r="T59">
        <f t="shared" si="24"/>
        <v>-100.75</v>
      </c>
      <c r="U59">
        <f t="shared" si="24"/>
        <v>-100.75</v>
      </c>
      <c r="V59">
        <f t="shared" si="24"/>
        <v>-100.75</v>
      </c>
      <c r="W59">
        <f t="shared" si="24"/>
        <v>-100.75</v>
      </c>
      <c r="X59">
        <f t="shared" si="25"/>
        <v>-100.75</v>
      </c>
      <c r="Y59">
        <f t="shared" si="25"/>
        <v>-100.75</v>
      </c>
      <c r="Z59">
        <f t="shared" si="25"/>
        <v>-100.75</v>
      </c>
      <c r="AA59">
        <f t="shared" si="25"/>
        <v>-100.75</v>
      </c>
      <c r="AB59">
        <f t="shared" si="25"/>
        <v>-100.75</v>
      </c>
      <c r="AC59">
        <f t="shared" si="25"/>
        <v>-100.75</v>
      </c>
      <c r="AD59">
        <f t="shared" si="25"/>
        <v>-100.75</v>
      </c>
      <c r="AE59">
        <f t="shared" si="25"/>
        <v>-100.75</v>
      </c>
      <c r="AF59">
        <f t="shared" si="25"/>
        <v>-100.75</v>
      </c>
      <c r="AG59">
        <f t="shared" si="25"/>
        <v>-100.75</v>
      </c>
      <c r="AH59">
        <f t="shared" si="26"/>
        <v>-100.75</v>
      </c>
      <c r="AI59">
        <f t="shared" si="26"/>
        <v>-100.75</v>
      </c>
      <c r="AJ59">
        <f t="shared" si="26"/>
        <v>-100.75</v>
      </c>
      <c r="AK59">
        <f t="shared" si="26"/>
        <v>-100.75</v>
      </c>
      <c r="AL59">
        <f t="shared" si="26"/>
        <v>-100.75</v>
      </c>
      <c r="AM59">
        <f t="shared" si="26"/>
        <v>-100.75</v>
      </c>
      <c r="AN59">
        <f t="shared" si="26"/>
        <v>-100.75</v>
      </c>
      <c r="AO59">
        <f t="shared" si="26"/>
        <v>-100.75</v>
      </c>
      <c r="AP59">
        <f t="shared" si="26"/>
        <v>-100.75</v>
      </c>
      <c r="AQ59">
        <f t="shared" si="26"/>
        <v>-100.75</v>
      </c>
      <c r="AR59">
        <f t="shared" si="27"/>
        <v>-100.75</v>
      </c>
      <c r="AS59">
        <f t="shared" si="27"/>
        <v>-100.75</v>
      </c>
      <c r="AT59">
        <f t="shared" si="27"/>
        <v>-100.75</v>
      </c>
      <c r="AU59">
        <f t="shared" si="27"/>
        <v>-100.75</v>
      </c>
      <c r="AV59">
        <f t="shared" si="27"/>
        <v>-100.75</v>
      </c>
      <c r="AW59">
        <f t="shared" si="27"/>
        <v>-100.75</v>
      </c>
      <c r="AX59">
        <f t="shared" si="27"/>
        <v>-100.75</v>
      </c>
      <c r="AY59">
        <f t="shared" si="27"/>
        <v>-100.75</v>
      </c>
      <c r="AZ59">
        <f t="shared" si="27"/>
        <v>-100.75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-100.53</v>
      </c>
      <c r="D60">
        <f t="shared" si="23"/>
        <v>-100.53</v>
      </c>
      <c r="E60">
        <f t="shared" si="23"/>
        <v>-100.53</v>
      </c>
      <c r="F60">
        <f t="shared" si="23"/>
        <v>-100.53</v>
      </c>
      <c r="G60">
        <f t="shared" si="23"/>
        <v>-100.53</v>
      </c>
      <c r="H60">
        <f t="shared" si="23"/>
        <v>-100.53</v>
      </c>
      <c r="I60">
        <f t="shared" si="23"/>
        <v>-100.53</v>
      </c>
      <c r="J60">
        <f t="shared" si="23"/>
        <v>-100.53</v>
      </c>
      <c r="K60">
        <f t="shared" si="23"/>
        <v>-100.53</v>
      </c>
      <c r="L60">
        <f t="shared" si="23"/>
        <v>-100.53</v>
      </c>
      <c r="M60">
        <f t="shared" si="23"/>
        <v>-100.53</v>
      </c>
      <c r="N60">
        <f t="shared" si="24"/>
        <v>-100.53</v>
      </c>
      <c r="O60">
        <f t="shared" si="24"/>
        <v>-100.53</v>
      </c>
      <c r="P60">
        <f t="shared" si="24"/>
        <v>-100.53</v>
      </c>
      <c r="Q60">
        <f t="shared" si="24"/>
        <v>-100.53</v>
      </c>
      <c r="R60">
        <f t="shared" si="24"/>
        <v>-100.53</v>
      </c>
      <c r="S60">
        <f t="shared" si="24"/>
        <v>-100.53</v>
      </c>
      <c r="T60">
        <f t="shared" si="24"/>
        <v>-100.53</v>
      </c>
      <c r="U60">
        <f t="shared" si="24"/>
        <v>-100.53</v>
      </c>
      <c r="V60">
        <f t="shared" si="24"/>
        <v>-100.53</v>
      </c>
      <c r="W60">
        <f t="shared" si="24"/>
        <v>-100.53</v>
      </c>
      <c r="X60">
        <f t="shared" si="25"/>
        <v>-100.53</v>
      </c>
      <c r="Y60">
        <f t="shared" si="25"/>
        <v>-100.53</v>
      </c>
      <c r="Z60">
        <f t="shared" si="25"/>
        <v>-100.53</v>
      </c>
      <c r="AA60">
        <f t="shared" si="25"/>
        <v>-100.53</v>
      </c>
      <c r="AB60">
        <f t="shared" si="25"/>
        <v>-100.53</v>
      </c>
      <c r="AC60">
        <f t="shared" si="25"/>
        <v>-100.53</v>
      </c>
      <c r="AD60">
        <f t="shared" si="25"/>
        <v>-100.53</v>
      </c>
      <c r="AE60">
        <f t="shared" si="25"/>
        <v>-100.53</v>
      </c>
      <c r="AF60">
        <f t="shared" si="25"/>
        <v>-100.53</v>
      </c>
      <c r="AG60">
        <f t="shared" si="25"/>
        <v>-100.53</v>
      </c>
      <c r="AH60">
        <f t="shared" si="26"/>
        <v>-100.53</v>
      </c>
      <c r="AI60">
        <f t="shared" si="26"/>
        <v>-100.53</v>
      </c>
      <c r="AJ60">
        <f t="shared" si="26"/>
        <v>-100.53</v>
      </c>
      <c r="AK60">
        <f t="shared" si="26"/>
        <v>-100.53</v>
      </c>
      <c r="AL60">
        <f t="shared" si="26"/>
        <v>-100.53</v>
      </c>
      <c r="AM60">
        <f t="shared" si="26"/>
        <v>-100.53</v>
      </c>
      <c r="AN60">
        <f t="shared" si="26"/>
        <v>-100.53</v>
      </c>
      <c r="AO60">
        <f t="shared" si="26"/>
        <v>-100.53</v>
      </c>
      <c r="AP60">
        <f t="shared" si="26"/>
        <v>-100.53</v>
      </c>
      <c r="AQ60">
        <f t="shared" si="26"/>
        <v>-100.53</v>
      </c>
      <c r="AR60">
        <f t="shared" si="27"/>
        <v>-100.53</v>
      </c>
      <c r="AS60">
        <f t="shared" si="27"/>
        <v>-100.53</v>
      </c>
      <c r="AT60">
        <f t="shared" si="27"/>
        <v>-100.53</v>
      </c>
      <c r="AU60">
        <f t="shared" si="27"/>
        <v>-100.53</v>
      </c>
      <c r="AV60">
        <f t="shared" si="27"/>
        <v>-100.53</v>
      </c>
      <c r="AW60">
        <f t="shared" si="27"/>
        <v>-100.53</v>
      </c>
      <c r="AX60">
        <f t="shared" si="27"/>
        <v>-100.53</v>
      </c>
      <c r="AY60">
        <f t="shared" si="27"/>
        <v>-100.53</v>
      </c>
      <c r="AZ60">
        <f t="shared" si="27"/>
        <v>-100.53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-100.35</v>
      </c>
      <c r="D61">
        <f t="shared" si="23"/>
        <v>-100.35</v>
      </c>
      <c r="E61">
        <f t="shared" si="23"/>
        <v>-100.35</v>
      </c>
      <c r="F61">
        <f t="shared" si="23"/>
        <v>-100.35</v>
      </c>
      <c r="G61">
        <f t="shared" si="23"/>
        <v>-100.35</v>
      </c>
      <c r="H61">
        <f t="shared" si="23"/>
        <v>-100.35</v>
      </c>
      <c r="I61">
        <f t="shared" si="23"/>
        <v>-100.35</v>
      </c>
      <c r="J61">
        <f t="shared" si="23"/>
        <v>-100.35</v>
      </c>
      <c r="K61">
        <f t="shared" si="23"/>
        <v>-100.35</v>
      </c>
      <c r="L61">
        <f t="shared" si="23"/>
        <v>-100.35</v>
      </c>
      <c r="M61">
        <f t="shared" si="23"/>
        <v>-100.35</v>
      </c>
      <c r="N61">
        <f t="shared" si="24"/>
        <v>-100.35</v>
      </c>
      <c r="O61">
        <f t="shared" si="24"/>
        <v>-100.35</v>
      </c>
      <c r="P61">
        <f t="shared" si="24"/>
        <v>-100.35</v>
      </c>
      <c r="Q61">
        <f t="shared" si="24"/>
        <v>-100.35</v>
      </c>
      <c r="R61">
        <f t="shared" si="24"/>
        <v>-100.35</v>
      </c>
      <c r="S61">
        <f t="shared" si="24"/>
        <v>-100.35</v>
      </c>
      <c r="T61">
        <f t="shared" si="24"/>
        <v>-100.35</v>
      </c>
      <c r="U61">
        <f t="shared" si="24"/>
        <v>-100.35</v>
      </c>
      <c r="V61">
        <f t="shared" si="24"/>
        <v>-100.35</v>
      </c>
      <c r="W61">
        <f t="shared" si="24"/>
        <v>-100.35</v>
      </c>
      <c r="X61">
        <f t="shared" si="25"/>
        <v>-100.35</v>
      </c>
      <c r="Y61">
        <f t="shared" si="25"/>
        <v>-100.35</v>
      </c>
      <c r="Z61">
        <f t="shared" si="25"/>
        <v>-100.35</v>
      </c>
      <c r="AA61">
        <f t="shared" si="25"/>
        <v>-100.35</v>
      </c>
      <c r="AB61">
        <f t="shared" si="25"/>
        <v>-100.35</v>
      </c>
      <c r="AC61">
        <f t="shared" si="25"/>
        <v>-100.35</v>
      </c>
      <c r="AD61">
        <f t="shared" si="25"/>
        <v>-100.35</v>
      </c>
      <c r="AE61">
        <f t="shared" si="25"/>
        <v>-100.35</v>
      </c>
      <c r="AF61">
        <f t="shared" si="25"/>
        <v>-100.35</v>
      </c>
      <c r="AG61">
        <f t="shared" si="25"/>
        <v>-100.35</v>
      </c>
      <c r="AH61">
        <f t="shared" si="26"/>
        <v>-100.35</v>
      </c>
      <c r="AI61">
        <f t="shared" si="26"/>
        <v>-100.35</v>
      </c>
      <c r="AJ61">
        <f t="shared" si="26"/>
        <v>-100.35</v>
      </c>
      <c r="AK61">
        <f t="shared" si="26"/>
        <v>-100.35</v>
      </c>
      <c r="AL61">
        <f t="shared" si="26"/>
        <v>-100.35</v>
      </c>
      <c r="AM61">
        <f t="shared" si="26"/>
        <v>-100.35</v>
      </c>
      <c r="AN61">
        <f t="shared" si="26"/>
        <v>-100.35</v>
      </c>
      <c r="AO61">
        <f t="shared" si="26"/>
        <v>-100.35</v>
      </c>
      <c r="AP61">
        <f t="shared" si="26"/>
        <v>-100.35</v>
      </c>
      <c r="AQ61">
        <f t="shared" si="26"/>
        <v>-100.35</v>
      </c>
      <c r="AR61">
        <f t="shared" si="27"/>
        <v>-100.35</v>
      </c>
      <c r="AS61">
        <f t="shared" si="27"/>
        <v>-100.35</v>
      </c>
      <c r="AT61">
        <f t="shared" si="27"/>
        <v>-100.35</v>
      </c>
      <c r="AU61">
        <f t="shared" si="27"/>
        <v>-100.35</v>
      </c>
      <c r="AV61">
        <f t="shared" si="27"/>
        <v>-100.35</v>
      </c>
      <c r="AW61">
        <f t="shared" si="27"/>
        <v>-100.35</v>
      </c>
      <c r="AX61">
        <f t="shared" si="27"/>
        <v>-100.35</v>
      </c>
      <c r="AY61">
        <f t="shared" si="27"/>
        <v>-100.35</v>
      </c>
      <c r="AZ61">
        <f t="shared" si="27"/>
        <v>-100.35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-100.21</v>
      </c>
      <c r="D62">
        <f t="shared" si="23"/>
        <v>-100.21</v>
      </c>
      <c r="E62">
        <f t="shared" si="23"/>
        <v>-100.21</v>
      </c>
      <c r="F62">
        <f t="shared" si="23"/>
        <v>-100.21</v>
      </c>
      <c r="G62">
        <f t="shared" si="23"/>
        <v>-100.21</v>
      </c>
      <c r="H62">
        <f t="shared" si="23"/>
        <v>-100.21</v>
      </c>
      <c r="I62">
        <f t="shared" si="23"/>
        <v>-100.21</v>
      </c>
      <c r="J62">
        <f t="shared" si="23"/>
        <v>-100.21</v>
      </c>
      <c r="K62">
        <f t="shared" si="23"/>
        <v>-100.21</v>
      </c>
      <c r="L62">
        <f t="shared" si="23"/>
        <v>-100.21</v>
      </c>
      <c r="M62">
        <f t="shared" si="23"/>
        <v>-100.21</v>
      </c>
      <c r="N62">
        <f t="shared" si="24"/>
        <v>-100.21</v>
      </c>
      <c r="O62">
        <f t="shared" si="24"/>
        <v>-100.21</v>
      </c>
      <c r="P62">
        <f t="shared" si="24"/>
        <v>-100.21</v>
      </c>
      <c r="Q62">
        <f t="shared" si="24"/>
        <v>-100.21</v>
      </c>
      <c r="R62">
        <f t="shared" si="24"/>
        <v>-100.21</v>
      </c>
      <c r="S62">
        <f t="shared" si="24"/>
        <v>-100.21</v>
      </c>
      <c r="T62">
        <f t="shared" si="24"/>
        <v>-100.21</v>
      </c>
      <c r="U62">
        <f t="shared" si="24"/>
        <v>-100.21</v>
      </c>
      <c r="V62">
        <f t="shared" si="24"/>
        <v>-100.21</v>
      </c>
      <c r="W62">
        <f t="shared" si="24"/>
        <v>-100.21</v>
      </c>
      <c r="X62">
        <f t="shared" si="25"/>
        <v>-100.21</v>
      </c>
      <c r="Y62">
        <f t="shared" si="25"/>
        <v>-100.21</v>
      </c>
      <c r="Z62">
        <f t="shared" si="25"/>
        <v>-100.21</v>
      </c>
      <c r="AA62">
        <f t="shared" si="25"/>
        <v>-100.21</v>
      </c>
      <c r="AB62">
        <f t="shared" si="25"/>
        <v>-100.21</v>
      </c>
      <c r="AC62">
        <f t="shared" si="25"/>
        <v>-100.21</v>
      </c>
      <c r="AD62">
        <f t="shared" si="25"/>
        <v>-100.21</v>
      </c>
      <c r="AE62">
        <f t="shared" si="25"/>
        <v>-100.21</v>
      </c>
      <c r="AF62">
        <f t="shared" si="25"/>
        <v>-100.21</v>
      </c>
      <c r="AG62">
        <f t="shared" si="25"/>
        <v>-100.21</v>
      </c>
      <c r="AH62">
        <f t="shared" si="26"/>
        <v>-100.21</v>
      </c>
      <c r="AI62">
        <f t="shared" si="26"/>
        <v>-100.21</v>
      </c>
      <c r="AJ62">
        <f t="shared" si="26"/>
        <v>-100.21</v>
      </c>
      <c r="AK62">
        <f t="shared" si="26"/>
        <v>-100.21</v>
      </c>
      <c r="AL62">
        <f t="shared" si="26"/>
        <v>-100.21</v>
      </c>
      <c r="AM62">
        <f t="shared" si="26"/>
        <v>-100.21</v>
      </c>
      <c r="AN62">
        <f t="shared" si="26"/>
        <v>-100.21</v>
      </c>
      <c r="AO62">
        <f t="shared" si="26"/>
        <v>-100.21</v>
      </c>
      <c r="AP62">
        <f t="shared" si="26"/>
        <v>-100.21</v>
      </c>
      <c r="AQ62">
        <f t="shared" si="26"/>
        <v>-100.21</v>
      </c>
      <c r="AR62">
        <f t="shared" si="27"/>
        <v>-100.21</v>
      </c>
      <c r="AS62">
        <f t="shared" si="27"/>
        <v>-100.21</v>
      </c>
      <c r="AT62">
        <f t="shared" si="27"/>
        <v>-100.21</v>
      </c>
      <c r="AU62">
        <f t="shared" si="27"/>
        <v>-100.21</v>
      </c>
      <c r="AV62">
        <f t="shared" si="27"/>
        <v>-100.21</v>
      </c>
      <c r="AW62">
        <f t="shared" si="27"/>
        <v>-100.21</v>
      </c>
      <c r="AX62">
        <f t="shared" si="27"/>
        <v>-100.21</v>
      </c>
      <c r="AY62">
        <f t="shared" si="27"/>
        <v>-100.21</v>
      </c>
      <c r="AZ62">
        <f t="shared" si="27"/>
        <v>-100.21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-100.11</v>
      </c>
      <c r="D63">
        <f t="shared" si="23"/>
        <v>-100.11</v>
      </c>
      <c r="E63">
        <f t="shared" si="23"/>
        <v>-100.11</v>
      </c>
      <c r="F63">
        <f t="shared" si="23"/>
        <v>-100.11</v>
      </c>
      <c r="G63">
        <f t="shared" si="23"/>
        <v>-100.11</v>
      </c>
      <c r="H63">
        <f t="shared" si="23"/>
        <v>-100.11</v>
      </c>
      <c r="I63">
        <f t="shared" si="23"/>
        <v>-100.11</v>
      </c>
      <c r="J63">
        <f t="shared" si="23"/>
        <v>-100.11</v>
      </c>
      <c r="K63">
        <f t="shared" si="23"/>
        <v>-100.11</v>
      </c>
      <c r="L63">
        <f t="shared" si="23"/>
        <v>-100.11</v>
      </c>
      <c r="M63">
        <f t="shared" si="23"/>
        <v>-100.11</v>
      </c>
      <c r="N63">
        <f t="shared" si="24"/>
        <v>-100.11</v>
      </c>
      <c r="O63">
        <f t="shared" si="24"/>
        <v>-100.11</v>
      </c>
      <c r="P63">
        <f t="shared" si="24"/>
        <v>-100.11</v>
      </c>
      <c r="Q63">
        <f t="shared" si="24"/>
        <v>-100.11</v>
      </c>
      <c r="R63">
        <f t="shared" si="24"/>
        <v>-100.11</v>
      </c>
      <c r="S63">
        <f t="shared" si="24"/>
        <v>-100.11</v>
      </c>
      <c r="T63">
        <f t="shared" si="24"/>
        <v>-100.11</v>
      </c>
      <c r="U63">
        <f t="shared" si="24"/>
        <v>-100.11</v>
      </c>
      <c r="V63">
        <f t="shared" si="24"/>
        <v>-100.11</v>
      </c>
      <c r="W63">
        <f t="shared" si="24"/>
        <v>-100.11</v>
      </c>
      <c r="X63">
        <f t="shared" si="25"/>
        <v>-100.11</v>
      </c>
      <c r="Y63">
        <f t="shared" si="25"/>
        <v>-100.11</v>
      </c>
      <c r="Z63">
        <f t="shared" si="25"/>
        <v>-100.11</v>
      </c>
      <c r="AA63">
        <f t="shared" si="25"/>
        <v>-100.11</v>
      </c>
      <c r="AB63">
        <f t="shared" si="25"/>
        <v>-100.11</v>
      </c>
      <c r="AC63">
        <f t="shared" si="25"/>
        <v>-100.11</v>
      </c>
      <c r="AD63">
        <f t="shared" si="25"/>
        <v>-100.11</v>
      </c>
      <c r="AE63">
        <f t="shared" si="25"/>
        <v>-100.11</v>
      </c>
      <c r="AF63">
        <f t="shared" si="25"/>
        <v>-100.11</v>
      </c>
      <c r="AG63">
        <f t="shared" si="25"/>
        <v>-100.11</v>
      </c>
      <c r="AH63">
        <f t="shared" si="26"/>
        <v>-100.11</v>
      </c>
      <c r="AI63">
        <f t="shared" si="26"/>
        <v>-100.11</v>
      </c>
      <c r="AJ63">
        <f t="shared" si="26"/>
        <v>-100.11</v>
      </c>
      <c r="AK63">
        <f t="shared" si="26"/>
        <v>-100.11</v>
      </c>
      <c r="AL63">
        <f t="shared" si="26"/>
        <v>-100.11</v>
      </c>
      <c r="AM63">
        <f t="shared" si="26"/>
        <v>-100.11</v>
      </c>
      <c r="AN63">
        <f t="shared" si="26"/>
        <v>-100.11</v>
      </c>
      <c r="AO63">
        <f t="shared" si="26"/>
        <v>-100.11</v>
      </c>
      <c r="AP63">
        <f t="shared" si="26"/>
        <v>-100.11</v>
      </c>
      <c r="AQ63">
        <f t="shared" si="26"/>
        <v>-100.11</v>
      </c>
      <c r="AR63">
        <f t="shared" si="27"/>
        <v>-100.11</v>
      </c>
      <c r="AS63">
        <f t="shared" si="27"/>
        <v>-100.11</v>
      </c>
      <c r="AT63">
        <f t="shared" si="27"/>
        <v>-100.11</v>
      </c>
      <c r="AU63">
        <f t="shared" si="27"/>
        <v>-100.11</v>
      </c>
      <c r="AV63">
        <f t="shared" si="27"/>
        <v>-100.11</v>
      </c>
      <c r="AW63">
        <f t="shared" si="27"/>
        <v>-100.11</v>
      </c>
      <c r="AX63">
        <f t="shared" si="27"/>
        <v>-100.11</v>
      </c>
      <c r="AY63">
        <f t="shared" si="27"/>
        <v>-100.11</v>
      </c>
      <c r="AZ63">
        <f t="shared" si="27"/>
        <v>-100.11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-100.05</v>
      </c>
      <c r="D64">
        <f t="shared" si="23"/>
        <v>-100.05</v>
      </c>
      <c r="E64">
        <f t="shared" si="23"/>
        <v>-100.05</v>
      </c>
      <c r="F64">
        <f t="shared" si="23"/>
        <v>-100.05</v>
      </c>
      <c r="G64">
        <f t="shared" si="23"/>
        <v>-100.05</v>
      </c>
      <c r="H64">
        <f t="shared" si="23"/>
        <v>-100.05</v>
      </c>
      <c r="I64">
        <f t="shared" si="23"/>
        <v>-100.05</v>
      </c>
      <c r="J64">
        <f t="shared" si="23"/>
        <v>-100.05</v>
      </c>
      <c r="K64">
        <f t="shared" si="23"/>
        <v>-100.05</v>
      </c>
      <c r="L64">
        <f t="shared" si="23"/>
        <v>-100.05</v>
      </c>
      <c r="M64">
        <f t="shared" si="23"/>
        <v>-100.05</v>
      </c>
      <c r="N64">
        <f t="shared" si="24"/>
        <v>-100.05</v>
      </c>
      <c r="O64">
        <f t="shared" si="24"/>
        <v>-100.05</v>
      </c>
      <c r="P64">
        <f t="shared" si="24"/>
        <v>-100.05</v>
      </c>
      <c r="Q64">
        <f t="shared" si="24"/>
        <v>-100.05</v>
      </c>
      <c r="R64">
        <f t="shared" si="24"/>
        <v>-100.05</v>
      </c>
      <c r="S64">
        <f t="shared" si="24"/>
        <v>-100.05</v>
      </c>
      <c r="T64">
        <f t="shared" si="24"/>
        <v>-100.05</v>
      </c>
      <c r="U64">
        <f t="shared" si="24"/>
        <v>-100.05</v>
      </c>
      <c r="V64">
        <f t="shared" si="24"/>
        <v>-100.05</v>
      </c>
      <c r="W64">
        <f t="shared" si="24"/>
        <v>-100.05</v>
      </c>
      <c r="X64">
        <f t="shared" si="25"/>
        <v>-100.05</v>
      </c>
      <c r="Y64">
        <f t="shared" si="25"/>
        <v>-100.05</v>
      </c>
      <c r="Z64">
        <f t="shared" si="25"/>
        <v>-100.05</v>
      </c>
      <c r="AA64">
        <f t="shared" si="25"/>
        <v>-100.05</v>
      </c>
      <c r="AB64">
        <f t="shared" si="25"/>
        <v>-100.05</v>
      </c>
      <c r="AC64">
        <f t="shared" si="25"/>
        <v>-100.05</v>
      </c>
      <c r="AD64">
        <f t="shared" si="25"/>
        <v>-100.05</v>
      </c>
      <c r="AE64">
        <f t="shared" si="25"/>
        <v>-100.05</v>
      </c>
      <c r="AF64">
        <f t="shared" si="25"/>
        <v>-100.05</v>
      </c>
      <c r="AG64">
        <f t="shared" si="25"/>
        <v>-100.05</v>
      </c>
      <c r="AH64">
        <f t="shared" si="26"/>
        <v>-100.05</v>
      </c>
      <c r="AI64">
        <f t="shared" si="26"/>
        <v>-100.05</v>
      </c>
      <c r="AJ64">
        <f t="shared" si="26"/>
        <v>-100.05</v>
      </c>
      <c r="AK64">
        <f t="shared" si="26"/>
        <v>-100.05</v>
      </c>
      <c r="AL64">
        <f t="shared" si="26"/>
        <v>-100.05</v>
      </c>
      <c r="AM64">
        <f t="shared" si="26"/>
        <v>-100.05</v>
      </c>
      <c r="AN64">
        <f t="shared" si="26"/>
        <v>-100.05</v>
      </c>
      <c r="AO64">
        <f t="shared" si="26"/>
        <v>-100.05</v>
      </c>
      <c r="AP64">
        <f t="shared" si="26"/>
        <v>-100.05</v>
      </c>
      <c r="AQ64">
        <f t="shared" si="26"/>
        <v>-100.05</v>
      </c>
      <c r="AR64">
        <f t="shared" si="27"/>
        <v>-100.05</v>
      </c>
      <c r="AS64">
        <f t="shared" si="27"/>
        <v>-100.05</v>
      </c>
      <c r="AT64">
        <f t="shared" si="27"/>
        <v>-100.05</v>
      </c>
      <c r="AU64">
        <f t="shared" si="27"/>
        <v>-100.05</v>
      </c>
      <c r="AV64">
        <f t="shared" si="27"/>
        <v>-100.05</v>
      </c>
      <c r="AW64">
        <f t="shared" si="27"/>
        <v>-100.05</v>
      </c>
      <c r="AX64">
        <f t="shared" si="27"/>
        <v>-100.05</v>
      </c>
      <c r="AY64">
        <f t="shared" si="27"/>
        <v>-100.05</v>
      </c>
      <c r="AZ64">
        <f t="shared" si="27"/>
        <v>-100.05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6">
        <v>1</v>
      </c>
      <c r="D65" s="6">
        <v>1</v>
      </c>
      <c r="E65" s="6">
        <v>1</v>
      </c>
      <c r="F65" s="6">
        <v>1</v>
      </c>
      <c r="G65" s="6">
        <v>1</v>
      </c>
      <c r="H65" s="6">
        <v>1</v>
      </c>
      <c r="I65" s="6">
        <v>1</v>
      </c>
      <c r="J65" s="6">
        <v>1</v>
      </c>
      <c r="K65" s="6">
        <v>1</v>
      </c>
      <c r="L65" s="6">
        <v>1</v>
      </c>
      <c r="M65" s="6">
        <v>1</v>
      </c>
      <c r="N65" s="6">
        <v>1</v>
      </c>
      <c r="O65" s="6">
        <v>1</v>
      </c>
      <c r="P65" s="6">
        <v>1</v>
      </c>
      <c r="Q65" s="6">
        <v>1</v>
      </c>
      <c r="R65" s="6">
        <v>1</v>
      </c>
      <c r="S65" s="6">
        <v>1</v>
      </c>
      <c r="T65" s="6">
        <v>1</v>
      </c>
      <c r="U65" s="6">
        <v>1</v>
      </c>
      <c r="V65" s="6">
        <v>1</v>
      </c>
      <c r="W65" s="6">
        <v>1</v>
      </c>
      <c r="X65" s="6">
        <v>1</v>
      </c>
      <c r="Y65" s="6">
        <v>1</v>
      </c>
      <c r="Z65" s="6">
        <v>1</v>
      </c>
      <c r="AA65" s="6">
        <v>1</v>
      </c>
      <c r="AB65" s="6">
        <v>1</v>
      </c>
      <c r="AC65" s="6">
        <v>1</v>
      </c>
      <c r="AD65" s="6">
        <v>1</v>
      </c>
      <c r="AE65" s="6">
        <v>1</v>
      </c>
      <c r="AF65" s="6">
        <v>1</v>
      </c>
      <c r="AG65" s="6">
        <v>1</v>
      </c>
      <c r="AH65" s="6">
        <v>1</v>
      </c>
      <c r="AI65" s="6">
        <v>1</v>
      </c>
      <c r="AJ65" s="6">
        <v>1</v>
      </c>
      <c r="AK65" s="6">
        <v>1</v>
      </c>
      <c r="AL65" s="6">
        <v>1</v>
      </c>
      <c r="AM65" s="6">
        <v>1</v>
      </c>
      <c r="AN65" s="6">
        <v>1</v>
      </c>
      <c r="AO65" s="6">
        <v>1</v>
      </c>
      <c r="AP65" s="6">
        <v>1</v>
      </c>
      <c r="AQ65" s="6">
        <v>1</v>
      </c>
      <c r="AR65" s="6">
        <v>1</v>
      </c>
      <c r="AS65" s="6">
        <v>1</v>
      </c>
      <c r="AT65" s="6">
        <v>1</v>
      </c>
      <c r="AU65" s="6">
        <v>1</v>
      </c>
      <c r="AV65" s="6">
        <v>1</v>
      </c>
      <c r="AW65" s="6">
        <v>1</v>
      </c>
      <c r="AX65" s="6">
        <v>1</v>
      </c>
      <c r="AY65" s="6">
        <v>1</v>
      </c>
      <c r="AZ65" s="6">
        <v>1</v>
      </c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4:BA67"/>
  <sheetViews>
    <sheetView topLeftCell="A28" workbookViewId="0">
      <selection activeCell="D37" sqref="D37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/>
    </row>
    <row r="16" spans="1:53" x14ac:dyDescent="0.2">
      <c r="A16">
        <f>A15-1</f>
        <v>49</v>
      </c>
      <c r="B16" s="3">
        <f t="shared" si="0"/>
        <v>98</v>
      </c>
      <c r="C16">
        <f t="shared" ref="C16:M25" si="1">0.25*(sigma^2*$A16^2+(rate-d)*$A16)</f>
        <v>24.745000000000005</v>
      </c>
      <c r="D16">
        <f t="shared" si="1"/>
        <v>24.745000000000005</v>
      </c>
      <c r="E16">
        <f t="shared" si="1"/>
        <v>24.745000000000005</v>
      </c>
      <c r="F16">
        <f t="shared" si="1"/>
        <v>24.745000000000005</v>
      </c>
      <c r="G16">
        <f t="shared" si="1"/>
        <v>24.745000000000005</v>
      </c>
      <c r="H16">
        <f t="shared" si="1"/>
        <v>24.745000000000005</v>
      </c>
      <c r="I16">
        <f t="shared" si="1"/>
        <v>24.745000000000005</v>
      </c>
      <c r="J16">
        <f t="shared" si="1"/>
        <v>24.745000000000005</v>
      </c>
      <c r="K16">
        <f t="shared" si="1"/>
        <v>24.745000000000005</v>
      </c>
      <c r="L16">
        <f t="shared" si="1"/>
        <v>24.745000000000005</v>
      </c>
      <c r="M16">
        <f t="shared" si="1"/>
        <v>24.745000000000005</v>
      </c>
      <c r="N16">
        <f t="shared" ref="N16:W25" si="2">0.25*(sigma^2*$A16^2+(rate-d)*$A16)</f>
        <v>24.745000000000005</v>
      </c>
      <c r="O16">
        <f t="shared" si="2"/>
        <v>24.745000000000005</v>
      </c>
      <c r="P16">
        <f t="shared" si="2"/>
        <v>24.745000000000005</v>
      </c>
      <c r="Q16">
        <f t="shared" si="2"/>
        <v>24.745000000000005</v>
      </c>
      <c r="R16">
        <f t="shared" si="2"/>
        <v>24.745000000000005</v>
      </c>
      <c r="S16">
        <f t="shared" si="2"/>
        <v>24.745000000000005</v>
      </c>
      <c r="T16">
        <f t="shared" si="2"/>
        <v>24.745000000000005</v>
      </c>
      <c r="U16">
        <f t="shared" si="2"/>
        <v>24.745000000000005</v>
      </c>
      <c r="V16">
        <f t="shared" si="2"/>
        <v>24.745000000000005</v>
      </c>
      <c r="W16">
        <f t="shared" si="2"/>
        <v>24.745000000000005</v>
      </c>
      <c r="X16">
        <f t="shared" ref="X16:AG25" si="3">0.25*(sigma^2*$A16^2+(rate-d)*$A16)</f>
        <v>24.745000000000005</v>
      </c>
      <c r="Y16">
        <f t="shared" si="3"/>
        <v>24.745000000000005</v>
      </c>
      <c r="Z16">
        <f t="shared" si="3"/>
        <v>24.745000000000005</v>
      </c>
      <c r="AA16">
        <f t="shared" si="3"/>
        <v>24.745000000000005</v>
      </c>
      <c r="AB16">
        <f t="shared" si="3"/>
        <v>24.745000000000005</v>
      </c>
      <c r="AC16">
        <f t="shared" si="3"/>
        <v>24.745000000000005</v>
      </c>
      <c r="AD16">
        <f t="shared" si="3"/>
        <v>24.745000000000005</v>
      </c>
      <c r="AE16">
        <f t="shared" si="3"/>
        <v>24.745000000000005</v>
      </c>
      <c r="AF16">
        <f t="shared" si="3"/>
        <v>24.745000000000005</v>
      </c>
      <c r="AG16">
        <f t="shared" si="3"/>
        <v>24.745000000000005</v>
      </c>
      <c r="AH16">
        <f t="shared" ref="AH16:AQ25" si="4">0.25*(sigma^2*$A16^2+(rate-d)*$A16)</f>
        <v>24.745000000000005</v>
      </c>
      <c r="AI16">
        <f t="shared" si="4"/>
        <v>24.745000000000005</v>
      </c>
      <c r="AJ16">
        <f t="shared" si="4"/>
        <v>24.745000000000005</v>
      </c>
      <c r="AK16">
        <f t="shared" si="4"/>
        <v>24.745000000000005</v>
      </c>
      <c r="AL16">
        <f t="shared" si="4"/>
        <v>24.745000000000005</v>
      </c>
      <c r="AM16">
        <f t="shared" si="4"/>
        <v>24.745000000000005</v>
      </c>
      <c r="AN16">
        <f t="shared" si="4"/>
        <v>24.745000000000005</v>
      </c>
      <c r="AO16">
        <f t="shared" si="4"/>
        <v>24.745000000000005</v>
      </c>
      <c r="AP16">
        <f t="shared" si="4"/>
        <v>24.745000000000005</v>
      </c>
      <c r="AQ16">
        <f t="shared" si="4"/>
        <v>24.745000000000005</v>
      </c>
      <c r="AR16">
        <f t="shared" ref="AR16:AZ25" si="5">0.25*(sigma^2*$A16^2+(rate-d)*$A16)</f>
        <v>24.745000000000005</v>
      </c>
      <c r="AS16">
        <f t="shared" si="5"/>
        <v>24.745000000000005</v>
      </c>
      <c r="AT16">
        <f t="shared" si="5"/>
        <v>24.745000000000005</v>
      </c>
      <c r="AU16">
        <f t="shared" si="5"/>
        <v>24.745000000000005</v>
      </c>
      <c r="AV16">
        <f t="shared" si="5"/>
        <v>24.745000000000005</v>
      </c>
      <c r="AW16">
        <f t="shared" si="5"/>
        <v>24.745000000000005</v>
      </c>
      <c r="AX16">
        <f t="shared" si="5"/>
        <v>24.745000000000005</v>
      </c>
      <c r="AY16">
        <f t="shared" si="5"/>
        <v>24.745000000000005</v>
      </c>
      <c r="AZ16">
        <f t="shared" si="5"/>
        <v>24.745000000000005</v>
      </c>
      <c r="BA16" s="6"/>
    </row>
    <row r="17" spans="1:53" x14ac:dyDescent="0.2">
      <c r="A17">
        <f t="shared" ref="A17:A65" si="6">A16-1</f>
        <v>48</v>
      </c>
      <c r="B17" s="3">
        <f t="shared" si="0"/>
        <v>96</v>
      </c>
      <c r="C17">
        <f t="shared" si="1"/>
        <v>23.760000000000005</v>
      </c>
      <c r="D17">
        <f t="shared" si="1"/>
        <v>23.760000000000005</v>
      </c>
      <c r="E17">
        <f t="shared" si="1"/>
        <v>23.760000000000005</v>
      </c>
      <c r="F17">
        <f t="shared" si="1"/>
        <v>23.760000000000005</v>
      </c>
      <c r="G17">
        <f t="shared" si="1"/>
        <v>23.760000000000005</v>
      </c>
      <c r="H17">
        <f t="shared" si="1"/>
        <v>23.760000000000005</v>
      </c>
      <c r="I17">
        <f t="shared" si="1"/>
        <v>23.760000000000005</v>
      </c>
      <c r="J17">
        <f t="shared" si="1"/>
        <v>23.760000000000005</v>
      </c>
      <c r="K17">
        <f t="shared" si="1"/>
        <v>23.760000000000005</v>
      </c>
      <c r="L17">
        <f t="shared" si="1"/>
        <v>23.760000000000005</v>
      </c>
      <c r="M17">
        <f t="shared" si="1"/>
        <v>23.760000000000005</v>
      </c>
      <c r="N17">
        <f t="shared" si="2"/>
        <v>23.760000000000005</v>
      </c>
      <c r="O17">
        <f t="shared" si="2"/>
        <v>23.760000000000005</v>
      </c>
      <c r="P17">
        <f t="shared" si="2"/>
        <v>23.760000000000005</v>
      </c>
      <c r="Q17">
        <f t="shared" si="2"/>
        <v>23.760000000000005</v>
      </c>
      <c r="R17">
        <f t="shared" si="2"/>
        <v>23.760000000000005</v>
      </c>
      <c r="S17">
        <f t="shared" si="2"/>
        <v>23.760000000000005</v>
      </c>
      <c r="T17">
        <f t="shared" si="2"/>
        <v>23.760000000000005</v>
      </c>
      <c r="U17">
        <f t="shared" si="2"/>
        <v>23.760000000000005</v>
      </c>
      <c r="V17">
        <f t="shared" si="2"/>
        <v>23.760000000000005</v>
      </c>
      <c r="W17">
        <f t="shared" si="2"/>
        <v>23.760000000000005</v>
      </c>
      <c r="X17">
        <f t="shared" si="3"/>
        <v>23.760000000000005</v>
      </c>
      <c r="Y17">
        <f t="shared" si="3"/>
        <v>23.760000000000005</v>
      </c>
      <c r="Z17">
        <f t="shared" si="3"/>
        <v>23.760000000000005</v>
      </c>
      <c r="AA17">
        <f t="shared" si="3"/>
        <v>23.760000000000005</v>
      </c>
      <c r="AB17">
        <f t="shared" si="3"/>
        <v>23.760000000000005</v>
      </c>
      <c r="AC17">
        <f t="shared" si="3"/>
        <v>23.760000000000005</v>
      </c>
      <c r="AD17">
        <f t="shared" si="3"/>
        <v>23.760000000000005</v>
      </c>
      <c r="AE17">
        <f t="shared" si="3"/>
        <v>23.760000000000005</v>
      </c>
      <c r="AF17">
        <f t="shared" si="3"/>
        <v>23.760000000000005</v>
      </c>
      <c r="AG17">
        <f t="shared" si="3"/>
        <v>23.760000000000005</v>
      </c>
      <c r="AH17">
        <f t="shared" si="4"/>
        <v>23.760000000000005</v>
      </c>
      <c r="AI17">
        <f t="shared" si="4"/>
        <v>23.760000000000005</v>
      </c>
      <c r="AJ17">
        <f t="shared" si="4"/>
        <v>23.760000000000005</v>
      </c>
      <c r="AK17">
        <f t="shared" si="4"/>
        <v>23.760000000000005</v>
      </c>
      <c r="AL17">
        <f t="shared" si="4"/>
        <v>23.760000000000005</v>
      </c>
      <c r="AM17">
        <f t="shared" si="4"/>
        <v>23.760000000000005</v>
      </c>
      <c r="AN17">
        <f t="shared" si="4"/>
        <v>23.760000000000005</v>
      </c>
      <c r="AO17">
        <f t="shared" si="4"/>
        <v>23.760000000000005</v>
      </c>
      <c r="AP17">
        <f t="shared" si="4"/>
        <v>23.760000000000005</v>
      </c>
      <c r="AQ17">
        <f t="shared" si="4"/>
        <v>23.760000000000005</v>
      </c>
      <c r="AR17">
        <f t="shared" si="5"/>
        <v>23.760000000000005</v>
      </c>
      <c r="AS17">
        <f t="shared" si="5"/>
        <v>23.760000000000005</v>
      </c>
      <c r="AT17">
        <f t="shared" si="5"/>
        <v>23.760000000000005</v>
      </c>
      <c r="AU17">
        <f t="shared" si="5"/>
        <v>23.760000000000005</v>
      </c>
      <c r="AV17">
        <f t="shared" si="5"/>
        <v>23.760000000000005</v>
      </c>
      <c r="AW17">
        <f t="shared" si="5"/>
        <v>23.760000000000005</v>
      </c>
      <c r="AX17">
        <f t="shared" si="5"/>
        <v>23.760000000000005</v>
      </c>
      <c r="AY17">
        <f t="shared" si="5"/>
        <v>23.760000000000005</v>
      </c>
      <c r="AZ17">
        <f t="shared" si="5"/>
        <v>23.760000000000005</v>
      </c>
      <c r="BA17" s="6"/>
    </row>
    <row r="18" spans="1:53" x14ac:dyDescent="0.2">
      <c r="A18">
        <f t="shared" si="6"/>
        <v>47</v>
      </c>
      <c r="B18" s="3">
        <f t="shared" si="0"/>
        <v>94</v>
      </c>
      <c r="C18">
        <f t="shared" si="1"/>
        <v>22.795000000000002</v>
      </c>
      <c r="D18">
        <f t="shared" si="1"/>
        <v>22.795000000000002</v>
      </c>
      <c r="E18">
        <f t="shared" si="1"/>
        <v>22.795000000000002</v>
      </c>
      <c r="F18">
        <f t="shared" si="1"/>
        <v>22.795000000000002</v>
      </c>
      <c r="G18">
        <f t="shared" si="1"/>
        <v>22.795000000000002</v>
      </c>
      <c r="H18">
        <f t="shared" si="1"/>
        <v>22.795000000000002</v>
      </c>
      <c r="I18">
        <f t="shared" si="1"/>
        <v>22.795000000000002</v>
      </c>
      <c r="J18">
        <f t="shared" si="1"/>
        <v>22.795000000000002</v>
      </c>
      <c r="K18">
        <f t="shared" si="1"/>
        <v>22.795000000000002</v>
      </c>
      <c r="L18">
        <f t="shared" si="1"/>
        <v>22.795000000000002</v>
      </c>
      <c r="M18">
        <f t="shared" si="1"/>
        <v>22.795000000000002</v>
      </c>
      <c r="N18">
        <f t="shared" si="2"/>
        <v>22.795000000000002</v>
      </c>
      <c r="O18">
        <f t="shared" si="2"/>
        <v>22.795000000000002</v>
      </c>
      <c r="P18">
        <f t="shared" si="2"/>
        <v>22.795000000000002</v>
      </c>
      <c r="Q18">
        <f t="shared" si="2"/>
        <v>22.795000000000002</v>
      </c>
      <c r="R18">
        <f t="shared" si="2"/>
        <v>22.795000000000002</v>
      </c>
      <c r="S18">
        <f t="shared" si="2"/>
        <v>22.795000000000002</v>
      </c>
      <c r="T18">
        <f t="shared" si="2"/>
        <v>22.795000000000002</v>
      </c>
      <c r="U18">
        <f t="shared" si="2"/>
        <v>22.795000000000002</v>
      </c>
      <c r="V18">
        <f t="shared" si="2"/>
        <v>22.795000000000002</v>
      </c>
      <c r="W18">
        <f t="shared" si="2"/>
        <v>22.795000000000002</v>
      </c>
      <c r="X18">
        <f t="shared" si="3"/>
        <v>22.795000000000002</v>
      </c>
      <c r="Y18">
        <f t="shared" si="3"/>
        <v>22.795000000000002</v>
      </c>
      <c r="Z18">
        <f t="shared" si="3"/>
        <v>22.795000000000002</v>
      </c>
      <c r="AA18">
        <f t="shared" si="3"/>
        <v>22.795000000000002</v>
      </c>
      <c r="AB18">
        <f t="shared" si="3"/>
        <v>22.795000000000002</v>
      </c>
      <c r="AC18">
        <f t="shared" si="3"/>
        <v>22.795000000000002</v>
      </c>
      <c r="AD18">
        <f t="shared" si="3"/>
        <v>22.795000000000002</v>
      </c>
      <c r="AE18">
        <f t="shared" si="3"/>
        <v>22.795000000000002</v>
      </c>
      <c r="AF18">
        <f t="shared" si="3"/>
        <v>22.795000000000002</v>
      </c>
      <c r="AG18">
        <f t="shared" si="3"/>
        <v>22.795000000000002</v>
      </c>
      <c r="AH18">
        <f t="shared" si="4"/>
        <v>22.795000000000002</v>
      </c>
      <c r="AI18">
        <f t="shared" si="4"/>
        <v>22.795000000000002</v>
      </c>
      <c r="AJ18">
        <f t="shared" si="4"/>
        <v>22.795000000000002</v>
      </c>
      <c r="AK18">
        <f t="shared" si="4"/>
        <v>22.795000000000002</v>
      </c>
      <c r="AL18">
        <f t="shared" si="4"/>
        <v>22.795000000000002</v>
      </c>
      <c r="AM18">
        <f t="shared" si="4"/>
        <v>22.795000000000002</v>
      </c>
      <c r="AN18">
        <f t="shared" si="4"/>
        <v>22.795000000000002</v>
      </c>
      <c r="AO18">
        <f t="shared" si="4"/>
        <v>22.795000000000002</v>
      </c>
      <c r="AP18">
        <f t="shared" si="4"/>
        <v>22.795000000000002</v>
      </c>
      <c r="AQ18">
        <f t="shared" si="4"/>
        <v>22.795000000000002</v>
      </c>
      <c r="AR18">
        <f t="shared" si="5"/>
        <v>22.795000000000002</v>
      </c>
      <c r="AS18">
        <f t="shared" si="5"/>
        <v>22.795000000000002</v>
      </c>
      <c r="AT18">
        <f t="shared" si="5"/>
        <v>22.795000000000002</v>
      </c>
      <c r="AU18">
        <f t="shared" si="5"/>
        <v>22.795000000000002</v>
      </c>
      <c r="AV18">
        <f t="shared" si="5"/>
        <v>22.795000000000002</v>
      </c>
      <c r="AW18">
        <f t="shared" si="5"/>
        <v>22.795000000000002</v>
      </c>
      <c r="AX18">
        <f t="shared" si="5"/>
        <v>22.795000000000002</v>
      </c>
      <c r="AY18">
        <f t="shared" si="5"/>
        <v>22.795000000000002</v>
      </c>
      <c r="AZ18">
        <f t="shared" si="5"/>
        <v>22.795000000000002</v>
      </c>
      <c r="BA18" s="6"/>
    </row>
    <row r="19" spans="1:53" x14ac:dyDescent="0.2">
      <c r="A19">
        <f t="shared" si="6"/>
        <v>46</v>
      </c>
      <c r="B19" s="3">
        <f t="shared" si="0"/>
        <v>92</v>
      </c>
      <c r="C19">
        <f t="shared" si="1"/>
        <v>21.850000000000005</v>
      </c>
      <c r="D19">
        <f t="shared" si="1"/>
        <v>21.850000000000005</v>
      </c>
      <c r="E19">
        <f t="shared" si="1"/>
        <v>21.850000000000005</v>
      </c>
      <c r="F19">
        <f t="shared" si="1"/>
        <v>21.850000000000005</v>
      </c>
      <c r="G19">
        <f t="shared" si="1"/>
        <v>21.850000000000005</v>
      </c>
      <c r="H19">
        <f t="shared" si="1"/>
        <v>21.850000000000005</v>
      </c>
      <c r="I19">
        <f t="shared" si="1"/>
        <v>21.850000000000005</v>
      </c>
      <c r="J19">
        <f t="shared" si="1"/>
        <v>21.850000000000005</v>
      </c>
      <c r="K19">
        <f t="shared" si="1"/>
        <v>21.850000000000005</v>
      </c>
      <c r="L19">
        <f t="shared" si="1"/>
        <v>21.850000000000005</v>
      </c>
      <c r="M19">
        <f t="shared" si="1"/>
        <v>21.850000000000005</v>
      </c>
      <c r="N19">
        <f t="shared" si="2"/>
        <v>21.850000000000005</v>
      </c>
      <c r="O19">
        <f t="shared" si="2"/>
        <v>21.850000000000005</v>
      </c>
      <c r="P19">
        <f t="shared" si="2"/>
        <v>21.850000000000005</v>
      </c>
      <c r="Q19">
        <f t="shared" si="2"/>
        <v>21.850000000000005</v>
      </c>
      <c r="R19">
        <f t="shared" si="2"/>
        <v>21.850000000000005</v>
      </c>
      <c r="S19">
        <f t="shared" si="2"/>
        <v>21.850000000000005</v>
      </c>
      <c r="T19">
        <f t="shared" si="2"/>
        <v>21.850000000000005</v>
      </c>
      <c r="U19">
        <f t="shared" si="2"/>
        <v>21.850000000000005</v>
      </c>
      <c r="V19">
        <f t="shared" si="2"/>
        <v>21.850000000000005</v>
      </c>
      <c r="W19">
        <f t="shared" si="2"/>
        <v>21.850000000000005</v>
      </c>
      <c r="X19">
        <f t="shared" si="3"/>
        <v>21.850000000000005</v>
      </c>
      <c r="Y19">
        <f t="shared" si="3"/>
        <v>21.850000000000005</v>
      </c>
      <c r="Z19">
        <f t="shared" si="3"/>
        <v>21.850000000000005</v>
      </c>
      <c r="AA19">
        <f t="shared" si="3"/>
        <v>21.850000000000005</v>
      </c>
      <c r="AB19">
        <f t="shared" si="3"/>
        <v>21.850000000000005</v>
      </c>
      <c r="AC19">
        <f t="shared" si="3"/>
        <v>21.850000000000005</v>
      </c>
      <c r="AD19">
        <f t="shared" si="3"/>
        <v>21.850000000000005</v>
      </c>
      <c r="AE19">
        <f t="shared" si="3"/>
        <v>21.850000000000005</v>
      </c>
      <c r="AF19">
        <f t="shared" si="3"/>
        <v>21.850000000000005</v>
      </c>
      <c r="AG19">
        <f t="shared" si="3"/>
        <v>21.850000000000005</v>
      </c>
      <c r="AH19">
        <f t="shared" si="4"/>
        <v>21.850000000000005</v>
      </c>
      <c r="AI19">
        <f t="shared" si="4"/>
        <v>21.850000000000005</v>
      </c>
      <c r="AJ19">
        <f t="shared" si="4"/>
        <v>21.850000000000005</v>
      </c>
      <c r="AK19">
        <f t="shared" si="4"/>
        <v>21.850000000000005</v>
      </c>
      <c r="AL19">
        <f t="shared" si="4"/>
        <v>21.850000000000005</v>
      </c>
      <c r="AM19">
        <f t="shared" si="4"/>
        <v>21.850000000000005</v>
      </c>
      <c r="AN19">
        <f t="shared" si="4"/>
        <v>21.850000000000005</v>
      </c>
      <c r="AO19">
        <f t="shared" si="4"/>
        <v>21.850000000000005</v>
      </c>
      <c r="AP19">
        <f t="shared" si="4"/>
        <v>21.850000000000005</v>
      </c>
      <c r="AQ19">
        <f t="shared" si="4"/>
        <v>21.850000000000005</v>
      </c>
      <c r="AR19">
        <f t="shared" si="5"/>
        <v>21.850000000000005</v>
      </c>
      <c r="AS19">
        <f t="shared" si="5"/>
        <v>21.850000000000005</v>
      </c>
      <c r="AT19">
        <f t="shared" si="5"/>
        <v>21.850000000000005</v>
      </c>
      <c r="AU19">
        <f t="shared" si="5"/>
        <v>21.850000000000005</v>
      </c>
      <c r="AV19">
        <f t="shared" si="5"/>
        <v>21.850000000000005</v>
      </c>
      <c r="AW19">
        <f t="shared" si="5"/>
        <v>21.850000000000005</v>
      </c>
      <c r="AX19">
        <f t="shared" si="5"/>
        <v>21.850000000000005</v>
      </c>
      <c r="AY19">
        <f t="shared" si="5"/>
        <v>21.850000000000005</v>
      </c>
      <c r="AZ19">
        <f t="shared" si="5"/>
        <v>21.850000000000005</v>
      </c>
      <c r="BA19" s="6"/>
    </row>
    <row r="20" spans="1:53" x14ac:dyDescent="0.2">
      <c r="A20">
        <f t="shared" si="6"/>
        <v>45</v>
      </c>
      <c r="B20" s="3">
        <f t="shared" si="0"/>
        <v>90</v>
      </c>
      <c r="C20">
        <f t="shared" si="1"/>
        <v>20.925000000000004</v>
      </c>
      <c r="D20">
        <f t="shared" si="1"/>
        <v>20.925000000000004</v>
      </c>
      <c r="E20">
        <f t="shared" si="1"/>
        <v>20.925000000000004</v>
      </c>
      <c r="F20">
        <f t="shared" si="1"/>
        <v>20.925000000000004</v>
      </c>
      <c r="G20">
        <f t="shared" si="1"/>
        <v>20.925000000000004</v>
      </c>
      <c r="H20">
        <f t="shared" si="1"/>
        <v>20.925000000000004</v>
      </c>
      <c r="I20">
        <f t="shared" si="1"/>
        <v>20.925000000000004</v>
      </c>
      <c r="J20">
        <f t="shared" si="1"/>
        <v>20.925000000000004</v>
      </c>
      <c r="K20">
        <f t="shared" si="1"/>
        <v>20.925000000000004</v>
      </c>
      <c r="L20">
        <f t="shared" si="1"/>
        <v>20.925000000000004</v>
      </c>
      <c r="M20">
        <f t="shared" si="1"/>
        <v>20.925000000000004</v>
      </c>
      <c r="N20">
        <f t="shared" si="2"/>
        <v>20.925000000000004</v>
      </c>
      <c r="O20">
        <f t="shared" si="2"/>
        <v>20.925000000000004</v>
      </c>
      <c r="P20">
        <f t="shared" si="2"/>
        <v>20.925000000000004</v>
      </c>
      <c r="Q20">
        <f t="shared" si="2"/>
        <v>20.925000000000004</v>
      </c>
      <c r="R20">
        <f t="shared" si="2"/>
        <v>20.925000000000004</v>
      </c>
      <c r="S20">
        <f t="shared" si="2"/>
        <v>20.925000000000004</v>
      </c>
      <c r="T20">
        <f t="shared" si="2"/>
        <v>20.925000000000004</v>
      </c>
      <c r="U20">
        <f t="shared" si="2"/>
        <v>20.925000000000004</v>
      </c>
      <c r="V20">
        <f t="shared" si="2"/>
        <v>20.925000000000004</v>
      </c>
      <c r="W20">
        <f t="shared" si="2"/>
        <v>20.925000000000004</v>
      </c>
      <c r="X20">
        <f t="shared" si="3"/>
        <v>20.925000000000004</v>
      </c>
      <c r="Y20">
        <f t="shared" si="3"/>
        <v>20.925000000000004</v>
      </c>
      <c r="Z20">
        <f t="shared" si="3"/>
        <v>20.925000000000004</v>
      </c>
      <c r="AA20">
        <f t="shared" si="3"/>
        <v>20.925000000000004</v>
      </c>
      <c r="AB20">
        <f t="shared" si="3"/>
        <v>20.925000000000004</v>
      </c>
      <c r="AC20">
        <f t="shared" si="3"/>
        <v>20.925000000000004</v>
      </c>
      <c r="AD20">
        <f t="shared" si="3"/>
        <v>20.925000000000004</v>
      </c>
      <c r="AE20">
        <f t="shared" si="3"/>
        <v>20.925000000000004</v>
      </c>
      <c r="AF20">
        <f t="shared" si="3"/>
        <v>20.925000000000004</v>
      </c>
      <c r="AG20">
        <f t="shared" si="3"/>
        <v>20.925000000000004</v>
      </c>
      <c r="AH20">
        <f t="shared" si="4"/>
        <v>20.925000000000004</v>
      </c>
      <c r="AI20">
        <f t="shared" si="4"/>
        <v>20.925000000000004</v>
      </c>
      <c r="AJ20">
        <f t="shared" si="4"/>
        <v>20.925000000000004</v>
      </c>
      <c r="AK20">
        <f t="shared" si="4"/>
        <v>20.925000000000004</v>
      </c>
      <c r="AL20">
        <f t="shared" si="4"/>
        <v>20.925000000000004</v>
      </c>
      <c r="AM20">
        <f t="shared" si="4"/>
        <v>20.925000000000004</v>
      </c>
      <c r="AN20">
        <f t="shared" si="4"/>
        <v>20.925000000000004</v>
      </c>
      <c r="AO20">
        <f t="shared" si="4"/>
        <v>20.925000000000004</v>
      </c>
      <c r="AP20">
        <f t="shared" si="4"/>
        <v>20.925000000000004</v>
      </c>
      <c r="AQ20">
        <f t="shared" si="4"/>
        <v>20.925000000000004</v>
      </c>
      <c r="AR20">
        <f t="shared" si="5"/>
        <v>20.925000000000004</v>
      </c>
      <c r="AS20">
        <f t="shared" si="5"/>
        <v>20.925000000000004</v>
      </c>
      <c r="AT20">
        <f t="shared" si="5"/>
        <v>20.925000000000004</v>
      </c>
      <c r="AU20">
        <f t="shared" si="5"/>
        <v>20.925000000000004</v>
      </c>
      <c r="AV20">
        <f t="shared" si="5"/>
        <v>20.925000000000004</v>
      </c>
      <c r="AW20">
        <f t="shared" si="5"/>
        <v>20.925000000000004</v>
      </c>
      <c r="AX20">
        <f t="shared" si="5"/>
        <v>20.925000000000004</v>
      </c>
      <c r="AY20">
        <f t="shared" si="5"/>
        <v>20.925000000000004</v>
      </c>
      <c r="AZ20">
        <f t="shared" si="5"/>
        <v>20.925000000000004</v>
      </c>
      <c r="BA20" s="6"/>
    </row>
    <row r="21" spans="1:53" x14ac:dyDescent="0.2">
      <c r="A21">
        <f t="shared" si="6"/>
        <v>44</v>
      </c>
      <c r="B21" s="3">
        <f t="shared" si="0"/>
        <v>88</v>
      </c>
      <c r="C21">
        <f t="shared" si="1"/>
        <v>20.020000000000003</v>
      </c>
      <c r="D21">
        <f t="shared" si="1"/>
        <v>20.020000000000003</v>
      </c>
      <c r="E21">
        <f t="shared" si="1"/>
        <v>20.020000000000003</v>
      </c>
      <c r="F21">
        <f t="shared" si="1"/>
        <v>20.020000000000003</v>
      </c>
      <c r="G21">
        <f t="shared" si="1"/>
        <v>20.020000000000003</v>
      </c>
      <c r="H21">
        <f t="shared" si="1"/>
        <v>20.020000000000003</v>
      </c>
      <c r="I21">
        <f t="shared" si="1"/>
        <v>20.020000000000003</v>
      </c>
      <c r="J21">
        <f t="shared" si="1"/>
        <v>20.020000000000003</v>
      </c>
      <c r="K21">
        <f t="shared" si="1"/>
        <v>20.020000000000003</v>
      </c>
      <c r="L21">
        <f t="shared" si="1"/>
        <v>20.020000000000003</v>
      </c>
      <c r="M21">
        <f t="shared" si="1"/>
        <v>20.020000000000003</v>
      </c>
      <c r="N21">
        <f t="shared" si="2"/>
        <v>20.020000000000003</v>
      </c>
      <c r="O21">
        <f t="shared" si="2"/>
        <v>20.020000000000003</v>
      </c>
      <c r="P21">
        <f t="shared" si="2"/>
        <v>20.020000000000003</v>
      </c>
      <c r="Q21">
        <f t="shared" si="2"/>
        <v>20.020000000000003</v>
      </c>
      <c r="R21">
        <f t="shared" si="2"/>
        <v>20.020000000000003</v>
      </c>
      <c r="S21">
        <f t="shared" si="2"/>
        <v>20.020000000000003</v>
      </c>
      <c r="T21">
        <f t="shared" si="2"/>
        <v>20.020000000000003</v>
      </c>
      <c r="U21">
        <f t="shared" si="2"/>
        <v>20.020000000000003</v>
      </c>
      <c r="V21">
        <f t="shared" si="2"/>
        <v>20.020000000000003</v>
      </c>
      <c r="W21">
        <f t="shared" si="2"/>
        <v>20.020000000000003</v>
      </c>
      <c r="X21">
        <f t="shared" si="3"/>
        <v>20.020000000000003</v>
      </c>
      <c r="Y21">
        <f t="shared" si="3"/>
        <v>20.020000000000003</v>
      </c>
      <c r="Z21">
        <f t="shared" si="3"/>
        <v>20.020000000000003</v>
      </c>
      <c r="AA21">
        <f t="shared" si="3"/>
        <v>20.020000000000003</v>
      </c>
      <c r="AB21">
        <f t="shared" si="3"/>
        <v>20.020000000000003</v>
      </c>
      <c r="AC21">
        <f t="shared" si="3"/>
        <v>20.020000000000003</v>
      </c>
      <c r="AD21">
        <f t="shared" si="3"/>
        <v>20.020000000000003</v>
      </c>
      <c r="AE21">
        <f t="shared" si="3"/>
        <v>20.020000000000003</v>
      </c>
      <c r="AF21">
        <f t="shared" si="3"/>
        <v>20.020000000000003</v>
      </c>
      <c r="AG21">
        <f t="shared" si="3"/>
        <v>20.020000000000003</v>
      </c>
      <c r="AH21">
        <f t="shared" si="4"/>
        <v>20.020000000000003</v>
      </c>
      <c r="AI21">
        <f t="shared" si="4"/>
        <v>20.020000000000003</v>
      </c>
      <c r="AJ21">
        <f t="shared" si="4"/>
        <v>20.020000000000003</v>
      </c>
      <c r="AK21">
        <f t="shared" si="4"/>
        <v>20.020000000000003</v>
      </c>
      <c r="AL21">
        <f t="shared" si="4"/>
        <v>20.020000000000003</v>
      </c>
      <c r="AM21">
        <f t="shared" si="4"/>
        <v>20.020000000000003</v>
      </c>
      <c r="AN21">
        <f t="shared" si="4"/>
        <v>20.020000000000003</v>
      </c>
      <c r="AO21">
        <f t="shared" si="4"/>
        <v>20.020000000000003</v>
      </c>
      <c r="AP21">
        <f t="shared" si="4"/>
        <v>20.020000000000003</v>
      </c>
      <c r="AQ21">
        <f t="shared" si="4"/>
        <v>20.020000000000003</v>
      </c>
      <c r="AR21">
        <f t="shared" si="5"/>
        <v>20.020000000000003</v>
      </c>
      <c r="AS21">
        <f t="shared" si="5"/>
        <v>20.020000000000003</v>
      </c>
      <c r="AT21">
        <f t="shared" si="5"/>
        <v>20.020000000000003</v>
      </c>
      <c r="AU21">
        <f t="shared" si="5"/>
        <v>20.020000000000003</v>
      </c>
      <c r="AV21">
        <f t="shared" si="5"/>
        <v>20.020000000000003</v>
      </c>
      <c r="AW21">
        <f t="shared" si="5"/>
        <v>20.020000000000003</v>
      </c>
      <c r="AX21">
        <f t="shared" si="5"/>
        <v>20.020000000000003</v>
      </c>
      <c r="AY21">
        <f t="shared" si="5"/>
        <v>20.020000000000003</v>
      </c>
      <c r="AZ21">
        <f t="shared" si="5"/>
        <v>20.020000000000003</v>
      </c>
      <c r="BA21" s="6"/>
    </row>
    <row r="22" spans="1:53" x14ac:dyDescent="0.2">
      <c r="A22">
        <f t="shared" si="6"/>
        <v>43</v>
      </c>
      <c r="B22" s="3">
        <f t="shared" si="0"/>
        <v>86</v>
      </c>
      <c r="C22">
        <f t="shared" si="1"/>
        <v>19.135000000000002</v>
      </c>
      <c r="D22">
        <f t="shared" si="1"/>
        <v>19.135000000000002</v>
      </c>
      <c r="E22">
        <f t="shared" si="1"/>
        <v>19.135000000000002</v>
      </c>
      <c r="F22">
        <f t="shared" si="1"/>
        <v>19.135000000000002</v>
      </c>
      <c r="G22">
        <f t="shared" si="1"/>
        <v>19.135000000000002</v>
      </c>
      <c r="H22">
        <f t="shared" si="1"/>
        <v>19.135000000000002</v>
      </c>
      <c r="I22">
        <f t="shared" si="1"/>
        <v>19.135000000000002</v>
      </c>
      <c r="J22">
        <f t="shared" si="1"/>
        <v>19.135000000000002</v>
      </c>
      <c r="K22">
        <f t="shared" si="1"/>
        <v>19.135000000000002</v>
      </c>
      <c r="L22">
        <f t="shared" si="1"/>
        <v>19.135000000000002</v>
      </c>
      <c r="M22">
        <f t="shared" si="1"/>
        <v>19.135000000000002</v>
      </c>
      <c r="N22">
        <f t="shared" si="2"/>
        <v>19.135000000000002</v>
      </c>
      <c r="O22">
        <f t="shared" si="2"/>
        <v>19.135000000000002</v>
      </c>
      <c r="P22">
        <f t="shared" si="2"/>
        <v>19.135000000000002</v>
      </c>
      <c r="Q22">
        <f t="shared" si="2"/>
        <v>19.135000000000002</v>
      </c>
      <c r="R22">
        <f t="shared" si="2"/>
        <v>19.135000000000002</v>
      </c>
      <c r="S22">
        <f t="shared" si="2"/>
        <v>19.135000000000002</v>
      </c>
      <c r="T22">
        <f t="shared" si="2"/>
        <v>19.135000000000002</v>
      </c>
      <c r="U22">
        <f t="shared" si="2"/>
        <v>19.135000000000002</v>
      </c>
      <c r="V22">
        <f t="shared" si="2"/>
        <v>19.135000000000002</v>
      </c>
      <c r="W22">
        <f t="shared" si="2"/>
        <v>19.135000000000002</v>
      </c>
      <c r="X22">
        <f t="shared" si="3"/>
        <v>19.135000000000002</v>
      </c>
      <c r="Y22">
        <f t="shared" si="3"/>
        <v>19.135000000000002</v>
      </c>
      <c r="Z22">
        <f t="shared" si="3"/>
        <v>19.135000000000002</v>
      </c>
      <c r="AA22">
        <f t="shared" si="3"/>
        <v>19.135000000000002</v>
      </c>
      <c r="AB22">
        <f t="shared" si="3"/>
        <v>19.135000000000002</v>
      </c>
      <c r="AC22">
        <f t="shared" si="3"/>
        <v>19.135000000000002</v>
      </c>
      <c r="AD22">
        <f t="shared" si="3"/>
        <v>19.135000000000002</v>
      </c>
      <c r="AE22">
        <f t="shared" si="3"/>
        <v>19.135000000000002</v>
      </c>
      <c r="AF22">
        <f t="shared" si="3"/>
        <v>19.135000000000002</v>
      </c>
      <c r="AG22">
        <f t="shared" si="3"/>
        <v>19.135000000000002</v>
      </c>
      <c r="AH22">
        <f t="shared" si="4"/>
        <v>19.135000000000002</v>
      </c>
      <c r="AI22">
        <f t="shared" si="4"/>
        <v>19.135000000000002</v>
      </c>
      <c r="AJ22">
        <f t="shared" si="4"/>
        <v>19.135000000000002</v>
      </c>
      <c r="AK22">
        <f t="shared" si="4"/>
        <v>19.135000000000002</v>
      </c>
      <c r="AL22">
        <f t="shared" si="4"/>
        <v>19.135000000000002</v>
      </c>
      <c r="AM22">
        <f t="shared" si="4"/>
        <v>19.135000000000002</v>
      </c>
      <c r="AN22">
        <f t="shared" si="4"/>
        <v>19.135000000000002</v>
      </c>
      <c r="AO22">
        <f t="shared" si="4"/>
        <v>19.135000000000002</v>
      </c>
      <c r="AP22">
        <f t="shared" si="4"/>
        <v>19.135000000000002</v>
      </c>
      <c r="AQ22">
        <f t="shared" si="4"/>
        <v>19.135000000000002</v>
      </c>
      <c r="AR22">
        <f t="shared" si="5"/>
        <v>19.135000000000002</v>
      </c>
      <c r="AS22">
        <f t="shared" si="5"/>
        <v>19.135000000000002</v>
      </c>
      <c r="AT22">
        <f t="shared" si="5"/>
        <v>19.135000000000002</v>
      </c>
      <c r="AU22">
        <f t="shared" si="5"/>
        <v>19.135000000000002</v>
      </c>
      <c r="AV22">
        <f t="shared" si="5"/>
        <v>19.135000000000002</v>
      </c>
      <c r="AW22">
        <f t="shared" si="5"/>
        <v>19.135000000000002</v>
      </c>
      <c r="AX22">
        <f t="shared" si="5"/>
        <v>19.135000000000002</v>
      </c>
      <c r="AY22">
        <f t="shared" si="5"/>
        <v>19.135000000000002</v>
      </c>
      <c r="AZ22">
        <f t="shared" si="5"/>
        <v>19.135000000000002</v>
      </c>
      <c r="BA22" s="6"/>
    </row>
    <row r="23" spans="1:53" x14ac:dyDescent="0.2">
      <c r="A23">
        <f t="shared" si="6"/>
        <v>42</v>
      </c>
      <c r="B23" s="3">
        <f t="shared" si="0"/>
        <v>84</v>
      </c>
      <c r="C23">
        <f t="shared" si="1"/>
        <v>18.270000000000003</v>
      </c>
      <c r="D23">
        <f t="shared" si="1"/>
        <v>18.270000000000003</v>
      </c>
      <c r="E23">
        <f t="shared" si="1"/>
        <v>18.270000000000003</v>
      </c>
      <c r="F23">
        <f t="shared" si="1"/>
        <v>18.270000000000003</v>
      </c>
      <c r="G23">
        <f t="shared" si="1"/>
        <v>18.270000000000003</v>
      </c>
      <c r="H23">
        <f t="shared" si="1"/>
        <v>18.270000000000003</v>
      </c>
      <c r="I23">
        <f t="shared" si="1"/>
        <v>18.270000000000003</v>
      </c>
      <c r="J23">
        <f t="shared" si="1"/>
        <v>18.270000000000003</v>
      </c>
      <c r="K23">
        <f t="shared" si="1"/>
        <v>18.270000000000003</v>
      </c>
      <c r="L23">
        <f t="shared" si="1"/>
        <v>18.270000000000003</v>
      </c>
      <c r="M23">
        <f t="shared" si="1"/>
        <v>18.270000000000003</v>
      </c>
      <c r="N23">
        <f t="shared" si="2"/>
        <v>18.270000000000003</v>
      </c>
      <c r="O23">
        <f t="shared" si="2"/>
        <v>18.270000000000003</v>
      </c>
      <c r="P23">
        <f t="shared" si="2"/>
        <v>18.270000000000003</v>
      </c>
      <c r="Q23">
        <f t="shared" si="2"/>
        <v>18.270000000000003</v>
      </c>
      <c r="R23">
        <f t="shared" si="2"/>
        <v>18.270000000000003</v>
      </c>
      <c r="S23">
        <f t="shared" si="2"/>
        <v>18.270000000000003</v>
      </c>
      <c r="T23">
        <f t="shared" si="2"/>
        <v>18.270000000000003</v>
      </c>
      <c r="U23">
        <f t="shared" si="2"/>
        <v>18.270000000000003</v>
      </c>
      <c r="V23">
        <f t="shared" si="2"/>
        <v>18.270000000000003</v>
      </c>
      <c r="W23">
        <f t="shared" si="2"/>
        <v>18.270000000000003</v>
      </c>
      <c r="X23">
        <f t="shared" si="3"/>
        <v>18.270000000000003</v>
      </c>
      <c r="Y23">
        <f t="shared" si="3"/>
        <v>18.270000000000003</v>
      </c>
      <c r="Z23">
        <f t="shared" si="3"/>
        <v>18.270000000000003</v>
      </c>
      <c r="AA23">
        <f t="shared" si="3"/>
        <v>18.270000000000003</v>
      </c>
      <c r="AB23">
        <f t="shared" si="3"/>
        <v>18.270000000000003</v>
      </c>
      <c r="AC23">
        <f t="shared" si="3"/>
        <v>18.270000000000003</v>
      </c>
      <c r="AD23">
        <f t="shared" si="3"/>
        <v>18.270000000000003</v>
      </c>
      <c r="AE23">
        <f t="shared" si="3"/>
        <v>18.270000000000003</v>
      </c>
      <c r="AF23">
        <f t="shared" si="3"/>
        <v>18.270000000000003</v>
      </c>
      <c r="AG23">
        <f t="shared" si="3"/>
        <v>18.270000000000003</v>
      </c>
      <c r="AH23">
        <f t="shared" si="4"/>
        <v>18.270000000000003</v>
      </c>
      <c r="AI23">
        <f t="shared" si="4"/>
        <v>18.270000000000003</v>
      </c>
      <c r="AJ23">
        <f t="shared" si="4"/>
        <v>18.270000000000003</v>
      </c>
      <c r="AK23">
        <f t="shared" si="4"/>
        <v>18.270000000000003</v>
      </c>
      <c r="AL23">
        <f t="shared" si="4"/>
        <v>18.270000000000003</v>
      </c>
      <c r="AM23">
        <f t="shared" si="4"/>
        <v>18.270000000000003</v>
      </c>
      <c r="AN23">
        <f t="shared" si="4"/>
        <v>18.270000000000003</v>
      </c>
      <c r="AO23">
        <f t="shared" si="4"/>
        <v>18.270000000000003</v>
      </c>
      <c r="AP23">
        <f t="shared" si="4"/>
        <v>18.270000000000003</v>
      </c>
      <c r="AQ23">
        <f t="shared" si="4"/>
        <v>18.270000000000003</v>
      </c>
      <c r="AR23">
        <f t="shared" si="5"/>
        <v>18.270000000000003</v>
      </c>
      <c r="AS23">
        <f t="shared" si="5"/>
        <v>18.270000000000003</v>
      </c>
      <c r="AT23">
        <f t="shared" si="5"/>
        <v>18.270000000000003</v>
      </c>
      <c r="AU23">
        <f t="shared" si="5"/>
        <v>18.270000000000003</v>
      </c>
      <c r="AV23">
        <f t="shared" si="5"/>
        <v>18.270000000000003</v>
      </c>
      <c r="AW23">
        <f t="shared" si="5"/>
        <v>18.270000000000003</v>
      </c>
      <c r="AX23">
        <f t="shared" si="5"/>
        <v>18.270000000000003</v>
      </c>
      <c r="AY23">
        <f t="shared" si="5"/>
        <v>18.270000000000003</v>
      </c>
      <c r="AZ23">
        <f t="shared" si="5"/>
        <v>18.270000000000003</v>
      </c>
      <c r="BA23" s="6"/>
    </row>
    <row r="24" spans="1:53" x14ac:dyDescent="0.2">
      <c r="A24">
        <f t="shared" si="6"/>
        <v>41</v>
      </c>
      <c r="B24" s="3">
        <f t="shared" si="0"/>
        <v>82</v>
      </c>
      <c r="C24">
        <f t="shared" si="1"/>
        <v>17.425000000000001</v>
      </c>
      <c r="D24">
        <f t="shared" si="1"/>
        <v>17.425000000000001</v>
      </c>
      <c r="E24">
        <f t="shared" si="1"/>
        <v>17.425000000000001</v>
      </c>
      <c r="F24">
        <f t="shared" si="1"/>
        <v>17.425000000000001</v>
      </c>
      <c r="G24">
        <f t="shared" si="1"/>
        <v>17.425000000000001</v>
      </c>
      <c r="H24">
        <f t="shared" si="1"/>
        <v>17.425000000000001</v>
      </c>
      <c r="I24">
        <f t="shared" si="1"/>
        <v>17.425000000000001</v>
      </c>
      <c r="J24">
        <f t="shared" si="1"/>
        <v>17.425000000000001</v>
      </c>
      <c r="K24">
        <f t="shared" si="1"/>
        <v>17.425000000000001</v>
      </c>
      <c r="L24">
        <f t="shared" si="1"/>
        <v>17.425000000000001</v>
      </c>
      <c r="M24">
        <f t="shared" si="1"/>
        <v>17.425000000000001</v>
      </c>
      <c r="N24">
        <f t="shared" si="2"/>
        <v>17.425000000000001</v>
      </c>
      <c r="O24">
        <f t="shared" si="2"/>
        <v>17.425000000000001</v>
      </c>
      <c r="P24">
        <f t="shared" si="2"/>
        <v>17.425000000000001</v>
      </c>
      <c r="Q24">
        <f t="shared" si="2"/>
        <v>17.425000000000001</v>
      </c>
      <c r="R24">
        <f t="shared" si="2"/>
        <v>17.425000000000001</v>
      </c>
      <c r="S24">
        <f t="shared" si="2"/>
        <v>17.425000000000001</v>
      </c>
      <c r="T24">
        <f t="shared" si="2"/>
        <v>17.425000000000001</v>
      </c>
      <c r="U24">
        <f t="shared" si="2"/>
        <v>17.425000000000001</v>
      </c>
      <c r="V24">
        <f t="shared" si="2"/>
        <v>17.425000000000001</v>
      </c>
      <c r="W24">
        <f t="shared" si="2"/>
        <v>17.425000000000001</v>
      </c>
      <c r="X24">
        <f t="shared" si="3"/>
        <v>17.425000000000001</v>
      </c>
      <c r="Y24">
        <f t="shared" si="3"/>
        <v>17.425000000000001</v>
      </c>
      <c r="Z24">
        <f t="shared" si="3"/>
        <v>17.425000000000001</v>
      </c>
      <c r="AA24">
        <f t="shared" si="3"/>
        <v>17.425000000000001</v>
      </c>
      <c r="AB24">
        <f t="shared" si="3"/>
        <v>17.425000000000001</v>
      </c>
      <c r="AC24">
        <f t="shared" si="3"/>
        <v>17.425000000000001</v>
      </c>
      <c r="AD24">
        <f t="shared" si="3"/>
        <v>17.425000000000001</v>
      </c>
      <c r="AE24">
        <f t="shared" si="3"/>
        <v>17.425000000000001</v>
      </c>
      <c r="AF24">
        <f t="shared" si="3"/>
        <v>17.425000000000001</v>
      </c>
      <c r="AG24">
        <f t="shared" si="3"/>
        <v>17.425000000000001</v>
      </c>
      <c r="AH24">
        <f t="shared" si="4"/>
        <v>17.425000000000001</v>
      </c>
      <c r="AI24">
        <f t="shared" si="4"/>
        <v>17.425000000000001</v>
      </c>
      <c r="AJ24">
        <f t="shared" si="4"/>
        <v>17.425000000000001</v>
      </c>
      <c r="AK24">
        <f t="shared" si="4"/>
        <v>17.425000000000001</v>
      </c>
      <c r="AL24">
        <f t="shared" si="4"/>
        <v>17.425000000000001</v>
      </c>
      <c r="AM24">
        <f t="shared" si="4"/>
        <v>17.425000000000001</v>
      </c>
      <c r="AN24">
        <f t="shared" si="4"/>
        <v>17.425000000000001</v>
      </c>
      <c r="AO24">
        <f t="shared" si="4"/>
        <v>17.425000000000001</v>
      </c>
      <c r="AP24">
        <f t="shared" si="4"/>
        <v>17.425000000000001</v>
      </c>
      <c r="AQ24">
        <f t="shared" si="4"/>
        <v>17.425000000000001</v>
      </c>
      <c r="AR24">
        <f t="shared" si="5"/>
        <v>17.425000000000001</v>
      </c>
      <c r="AS24">
        <f t="shared" si="5"/>
        <v>17.425000000000001</v>
      </c>
      <c r="AT24">
        <f t="shared" si="5"/>
        <v>17.425000000000001</v>
      </c>
      <c r="AU24">
        <f t="shared" si="5"/>
        <v>17.425000000000001</v>
      </c>
      <c r="AV24">
        <f t="shared" si="5"/>
        <v>17.425000000000001</v>
      </c>
      <c r="AW24">
        <f t="shared" si="5"/>
        <v>17.425000000000001</v>
      </c>
      <c r="AX24">
        <f t="shared" si="5"/>
        <v>17.425000000000001</v>
      </c>
      <c r="AY24">
        <f t="shared" si="5"/>
        <v>17.425000000000001</v>
      </c>
      <c r="AZ24">
        <f t="shared" si="5"/>
        <v>17.425000000000001</v>
      </c>
      <c r="BA24" s="6"/>
    </row>
    <row r="25" spans="1:53" x14ac:dyDescent="0.2">
      <c r="A25">
        <f t="shared" si="6"/>
        <v>40</v>
      </c>
      <c r="B25" s="3">
        <f t="shared" si="0"/>
        <v>80</v>
      </c>
      <c r="C25">
        <f t="shared" si="1"/>
        <v>16.600000000000005</v>
      </c>
      <c r="D25">
        <f t="shared" si="1"/>
        <v>16.600000000000005</v>
      </c>
      <c r="E25">
        <f t="shared" si="1"/>
        <v>16.600000000000005</v>
      </c>
      <c r="F25">
        <f t="shared" si="1"/>
        <v>16.600000000000005</v>
      </c>
      <c r="G25">
        <f t="shared" si="1"/>
        <v>16.600000000000005</v>
      </c>
      <c r="H25">
        <f t="shared" si="1"/>
        <v>16.600000000000005</v>
      </c>
      <c r="I25">
        <f t="shared" si="1"/>
        <v>16.600000000000005</v>
      </c>
      <c r="J25">
        <f t="shared" si="1"/>
        <v>16.600000000000005</v>
      </c>
      <c r="K25">
        <f t="shared" si="1"/>
        <v>16.600000000000005</v>
      </c>
      <c r="L25">
        <f t="shared" si="1"/>
        <v>16.600000000000005</v>
      </c>
      <c r="M25">
        <f t="shared" si="1"/>
        <v>16.600000000000005</v>
      </c>
      <c r="N25">
        <f t="shared" si="2"/>
        <v>16.600000000000005</v>
      </c>
      <c r="O25">
        <f t="shared" si="2"/>
        <v>16.600000000000005</v>
      </c>
      <c r="P25">
        <f t="shared" si="2"/>
        <v>16.600000000000005</v>
      </c>
      <c r="Q25">
        <f t="shared" si="2"/>
        <v>16.600000000000005</v>
      </c>
      <c r="R25">
        <f t="shared" si="2"/>
        <v>16.600000000000005</v>
      </c>
      <c r="S25">
        <f t="shared" si="2"/>
        <v>16.600000000000005</v>
      </c>
      <c r="T25">
        <f t="shared" si="2"/>
        <v>16.600000000000005</v>
      </c>
      <c r="U25">
        <f t="shared" si="2"/>
        <v>16.600000000000005</v>
      </c>
      <c r="V25">
        <f t="shared" si="2"/>
        <v>16.600000000000005</v>
      </c>
      <c r="W25">
        <f t="shared" si="2"/>
        <v>16.600000000000005</v>
      </c>
      <c r="X25">
        <f t="shared" si="3"/>
        <v>16.600000000000005</v>
      </c>
      <c r="Y25">
        <f t="shared" si="3"/>
        <v>16.600000000000005</v>
      </c>
      <c r="Z25">
        <f t="shared" si="3"/>
        <v>16.600000000000005</v>
      </c>
      <c r="AA25">
        <f t="shared" si="3"/>
        <v>16.600000000000005</v>
      </c>
      <c r="AB25">
        <f t="shared" si="3"/>
        <v>16.600000000000005</v>
      </c>
      <c r="AC25">
        <f t="shared" si="3"/>
        <v>16.600000000000005</v>
      </c>
      <c r="AD25">
        <f t="shared" si="3"/>
        <v>16.600000000000005</v>
      </c>
      <c r="AE25">
        <f t="shared" si="3"/>
        <v>16.600000000000005</v>
      </c>
      <c r="AF25">
        <f t="shared" si="3"/>
        <v>16.600000000000005</v>
      </c>
      <c r="AG25">
        <f t="shared" si="3"/>
        <v>16.600000000000005</v>
      </c>
      <c r="AH25">
        <f t="shared" si="4"/>
        <v>16.600000000000005</v>
      </c>
      <c r="AI25">
        <f t="shared" si="4"/>
        <v>16.600000000000005</v>
      </c>
      <c r="AJ25">
        <f t="shared" si="4"/>
        <v>16.600000000000005</v>
      </c>
      <c r="AK25">
        <f t="shared" si="4"/>
        <v>16.600000000000005</v>
      </c>
      <c r="AL25">
        <f t="shared" si="4"/>
        <v>16.600000000000005</v>
      </c>
      <c r="AM25">
        <f t="shared" si="4"/>
        <v>16.600000000000005</v>
      </c>
      <c r="AN25">
        <f t="shared" si="4"/>
        <v>16.600000000000005</v>
      </c>
      <c r="AO25">
        <f t="shared" si="4"/>
        <v>16.600000000000005</v>
      </c>
      <c r="AP25">
        <f t="shared" si="4"/>
        <v>16.600000000000005</v>
      </c>
      <c r="AQ25">
        <f t="shared" si="4"/>
        <v>16.600000000000005</v>
      </c>
      <c r="AR25">
        <f t="shared" si="5"/>
        <v>16.600000000000005</v>
      </c>
      <c r="AS25">
        <f t="shared" si="5"/>
        <v>16.600000000000005</v>
      </c>
      <c r="AT25">
        <f t="shared" si="5"/>
        <v>16.600000000000005</v>
      </c>
      <c r="AU25">
        <f t="shared" si="5"/>
        <v>16.600000000000005</v>
      </c>
      <c r="AV25">
        <f t="shared" si="5"/>
        <v>16.600000000000005</v>
      </c>
      <c r="AW25">
        <f t="shared" si="5"/>
        <v>16.600000000000005</v>
      </c>
      <c r="AX25">
        <f t="shared" si="5"/>
        <v>16.600000000000005</v>
      </c>
      <c r="AY25">
        <f t="shared" si="5"/>
        <v>16.600000000000005</v>
      </c>
      <c r="AZ25">
        <f t="shared" si="5"/>
        <v>16.600000000000005</v>
      </c>
      <c r="BA25" s="6"/>
    </row>
    <row r="26" spans="1:53" x14ac:dyDescent="0.2">
      <c r="A26">
        <f t="shared" si="6"/>
        <v>39</v>
      </c>
      <c r="B26" s="3">
        <f t="shared" si="0"/>
        <v>78</v>
      </c>
      <c r="C26">
        <f t="shared" ref="C26:M35" si="7">0.25*(sigma^2*$A26^2+(rate-d)*$A26)</f>
        <v>15.795000000000002</v>
      </c>
      <c r="D26">
        <f t="shared" si="7"/>
        <v>15.795000000000002</v>
      </c>
      <c r="E26">
        <f t="shared" si="7"/>
        <v>15.795000000000002</v>
      </c>
      <c r="F26">
        <f t="shared" si="7"/>
        <v>15.795000000000002</v>
      </c>
      <c r="G26">
        <f t="shared" si="7"/>
        <v>15.795000000000002</v>
      </c>
      <c r="H26">
        <f t="shared" si="7"/>
        <v>15.795000000000002</v>
      </c>
      <c r="I26">
        <f t="shared" si="7"/>
        <v>15.795000000000002</v>
      </c>
      <c r="J26">
        <f t="shared" si="7"/>
        <v>15.795000000000002</v>
      </c>
      <c r="K26">
        <f t="shared" si="7"/>
        <v>15.795000000000002</v>
      </c>
      <c r="L26">
        <f t="shared" si="7"/>
        <v>15.795000000000002</v>
      </c>
      <c r="M26">
        <f t="shared" si="7"/>
        <v>15.795000000000002</v>
      </c>
      <c r="N26">
        <f t="shared" ref="N26:W35" si="8">0.25*(sigma^2*$A26^2+(rate-d)*$A26)</f>
        <v>15.795000000000002</v>
      </c>
      <c r="O26">
        <f t="shared" si="8"/>
        <v>15.795000000000002</v>
      </c>
      <c r="P26">
        <f t="shared" si="8"/>
        <v>15.795000000000002</v>
      </c>
      <c r="Q26">
        <f t="shared" si="8"/>
        <v>15.795000000000002</v>
      </c>
      <c r="R26">
        <f t="shared" si="8"/>
        <v>15.795000000000002</v>
      </c>
      <c r="S26">
        <f t="shared" si="8"/>
        <v>15.795000000000002</v>
      </c>
      <c r="T26">
        <f t="shared" si="8"/>
        <v>15.795000000000002</v>
      </c>
      <c r="U26">
        <f t="shared" si="8"/>
        <v>15.795000000000002</v>
      </c>
      <c r="V26">
        <f t="shared" si="8"/>
        <v>15.795000000000002</v>
      </c>
      <c r="W26">
        <f t="shared" si="8"/>
        <v>15.795000000000002</v>
      </c>
      <c r="X26">
        <f t="shared" ref="X26:AG35" si="9">0.25*(sigma^2*$A26^2+(rate-d)*$A26)</f>
        <v>15.795000000000002</v>
      </c>
      <c r="Y26">
        <f t="shared" si="9"/>
        <v>15.795000000000002</v>
      </c>
      <c r="Z26">
        <f t="shared" si="9"/>
        <v>15.795000000000002</v>
      </c>
      <c r="AA26">
        <f t="shared" si="9"/>
        <v>15.795000000000002</v>
      </c>
      <c r="AB26">
        <f t="shared" si="9"/>
        <v>15.795000000000002</v>
      </c>
      <c r="AC26">
        <f t="shared" si="9"/>
        <v>15.795000000000002</v>
      </c>
      <c r="AD26">
        <f t="shared" si="9"/>
        <v>15.795000000000002</v>
      </c>
      <c r="AE26">
        <f t="shared" si="9"/>
        <v>15.795000000000002</v>
      </c>
      <c r="AF26">
        <f t="shared" si="9"/>
        <v>15.795000000000002</v>
      </c>
      <c r="AG26">
        <f t="shared" si="9"/>
        <v>15.795000000000002</v>
      </c>
      <c r="AH26">
        <f t="shared" ref="AH26:AQ35" si="10">0.25*(sigma^2*$A26^2+(rate-d)*$A26)</f>
        <v>15.795000000000002</v>
      </c>
      <c r="AI26">
        <f t="shared" si="10"/>
        <v>15.795000000000002</v>
      </c>
      <c r="AJ26">
        <f t="shared" si="10"/>
        <v>15.795000000000002</v>
      </c>
      <c r="AK26">
        <f t="shared" si="10"/>
        <v>15.795000000000002</v>
      </c>
      <c r="AL26">
        <f t="shared" si="10"/>
        <v>15.795000000000002</v>
      </c>
      <c r="AM26">
        <f t="shared" si="10"/>
        <v>15.795000000000002</v>
      </c>
      <c r="AN26">
        <f t="shared" si="10"/>
        <v>15.795000000000002</v>
      </c>
      <c r="AO26">
        <f t="shared" si="10"/>
        <v>15.795000000000002</v>
      </c>
      <c r="AP26">
        <f t="shared" si="10"/>
        <v>15.795000000000002</v>
      </c>
      <c r="AQ26">
        <f t="shared" si="10"/>
        <v>15.795000000000002</v>
      </c>
      <c r="AR26">
        <f t="shared" ref="AR26:AZ35" si="11">0.25*(sigma^2*$A26^2+(rate-d)*$A26)</f>
        <v>15.795000000000002</v>
      </c>
      <c r="AS26">
        <f t="shared" si="11"/>
        <v>15.795000000000002</v>
      </c>
      <c r="AT26">
        <f t="shared" si="11"/>
        <v>15.795000000000002</v>
      </c>
      <c r="AU26">
        <f t="shared" si="11"/>
        <v>15.795000000000002</v>
      </c>
      <c r="AV26">
        <f t="shared" si="11"/>
        <v>15.795000000000002</v>
      </c>
      <c r="AW26">
        <f t="shared" si="11"/>
        <v>15.795000000000002</v>
      </c>
      <c r="AX26">
        <f t="shared" si="11"/>
        <v>15.795000000000002</v>
      </c>
      <c r="AY26">
        <f t="shared" si="11"/>
        <v>15.795000000000002</v>
      </c>
      <c r="AZ26">
        <f t="shared" si="11"/>
        <v>15.795000000000002</v>
      </c>
      <c r="BA26" s="6"/>
    </row>
    <row r="27" spans="1:53" x14ac:dyDescent="0.2">
      <c r="A27">
        <f t="shared" si="6"/>
        <v>38</v>
      </c>
      <c r="B27" s="3">
        <f t="shared" si="0"/>
        <v>76</v>
      </c>
      <c r="C27">
        <f t="shared" si="7"/>
        <v>15.010000000000003</v>
      </c>
      <c r="D27">
        <f t="shared" si="7"/>
        <v>15.010000000000003</v>
      </c>
      <c r="E27">
        <f t="shared" si="7"/>
        <v>15.010000000000003</v>
      </c>
      <c r="F27">
        <f t="shared" si="7"/>
        <v>15.010000000000003</v>
      </c>
      <c r="G27">
        <f t="shared" si="7"/>
        <v>15.010000000000003</v>
      </c>
      <c r="H27">
        <f t="shared" si="7"/>
        <v>15.010000000000003</v>
      </c>
      <c r="I27">
        <f t="shared" si="7"/>
        <v>15.010000000000003</v>
      </c>
      <c r="J27">
        <f t="shared" si="7"/>
        <v>15.010000000000003</v>
      </c>
      <c r="K27">
        <f t="shared" si="7"/>
        <v>15.010000000000003</v>
      </c>
      <c r="L27">
        <f t="shared" si="7"/>
        <v>15.010000000000003</v>
      </c>
      <c r="M27">
        <f t="shared" si="7"/>
        <v>15.010000000000003</v>
      </c>
      <c r="N27">
        <f t="shared" si="8"/>
        <v>15.010000000000003</v>
      </c>
      <c r="O27">
        <f t="shared" si="8"/>
        <v>15.010000000000003</v>
      </c>
      <c r="P27">
        <f t="shared" si="8"/>
        <v>15.010000000000003</v>
      </c>
      <c r="Q27">
        <f t="shared" si="8"/>
        <v>15.010000000000003</v>
      </c>
      <c r="R27">
        <f t="shared" si="8"/>
        <v>15.010000000000003</v>
      </c>
      <c r="S27">
        <f t="shared" si="8"/>
        <v>15.010000000000003</v>
      </c>
      <c r="T27">
        <f t="shared" si="8"/>
        <v>15.010000000000003</v>
      </c>
      <c r="U27">
        <f t="shared" si="8"/>
        <v>15.010000000000003</v>
      </c>
      <c r="V27">
        <f t="shared" si="8"/>
        <v>15.010000000000003</v>
      </c>
      <c r="W27">
        <f t="shared" si="8"/>
        <v>15.010000000000003</v>
      </c>
      <c r="X27">
        <f t="shared" si="9"/>
        <v>15.010000000000003</v>
      </c>
      <c r="Y27">
        <f t="shared" si="9"/>
        <v>15.010000000000003</v>
      </c>
      <c r="Z27">
        <f t="shared" si="9"/>
        <v>15.010000000000003</v>
      </c>
      <c r="AA27">
        <f t="shared" si="9"/>
        <v>15.010000000000003</v>
      </c>
      <c r="AB27">
        <f t="shared" si="9"/>
        <v>15.010000000000003</v>
      </c>
      <c r="AC27">
        <f t="shared" si="9"/>
        <v>15.010000000000003</v>
      </c>
      <c r="AD27">
        <f t="shared" si="9"/>
        <v>15.010000000000003</v>
      </c>
      <c r="AE27">
        <f t="shared" si="9"/>
        <v>15.010000000000003</v>
      </c>
      <c r="AF27">
        <f t="shared" si="9"/>
        <v>15.010000000000003</v>
      </c>
      <c r="AG27">
        <f t="shared" si="9"/>
        <v>15.010000000000003</v>
      </c>
      <c r="AH27">
        <f t="shared" si="10"/>
        <v>15.010000000000003</v>
      </c>
      <c r="AI27">
        <f t="shared" si="10"/>
        <v>15.010000000000003</v>
      </c>
      <c r="AJ27">
        <f t="shared" si="10"/>
        <v>15.010000000000003</v>
      </c>
      <c r="AK27">
        <f t="shared" si="10"/>
        <v>15.010000000000003</v>
      </c>
      <c r="AL27">
        <f t="shared" si="10"/>
        <v>15.010000000000003</v>
      </c>
      <c r="AM27">
        <f t="shared" si="10"/>
        <v>15.010000000000003</v>
      </c>
      <c r="AN27">
        <f t="shared" si="10"/>
        <v>15.010000000000003</v>
      </c>
      <c r="AO27">
        <f t="shared" si="10"/>
        <v>15.010000000000003</v>
      </c>
      <c r="AP27">
        <f t="shared" si="10"/>
        <v>15.010000000000003</v>
      </c>
      <c r="AQ27">
        <f t="shared" si="10"/>
        <v>15.010000000000003</v>
      </c>
      <c r="AR27">
        <f t="shared" si="11"/>
        <v>15.010000000000003</v>
      </c>
      <c r="AS27">
        <f t="shared" si="11"/>
        <v>15.010000000000003</v>
      </c>
      <c r="AT27">
        <f t="shared" si="11"/>
        <v>15.010000000000003</v>
      </c>
      <c r="AU27">
        <f t="shared" si="11"/>
        <v>15.010000000000003</v>
      </c>
      <c r="AV27">
        <f t="shared" si="11"/>
        <v>15.010000000000003</v>
      </c>
      <c r="AW27">
        <f t="shared" si="11"/>
        <v>15.010000000000003</v>
      </c>
      <c r="AX27">
        <f t="shared" si="11"/>
        <v>15.010000000000003</v>
      </c>
      <c r="AY27">
        <f t="shared" si="11"/>
        <v>15.010000000000003</v>
      </c>
      <c r="AZ27">
        <f t="shared" si="11"/>
        <v>15.010000000000003</v>
      </c>
      <c r="BA27" s="6"/>
    </row>
    <row r="28" spans="1:53" x14ac:dyDescent="0.2">
      <c r="A28">
        <f t="shared" si="6"/>
        <v>37</v>
      </c>
      <c r="B28" s="3">
        <f t="shared" si="0"/>
        <v>74</v>
      </c>
      <c r="C28">
        <f t="shared" si="7"/>
        <v>14.245000000000003</v>
      </c>
      <c r="D28">
        <f t="shared" si="7"/>
        <v>14.245000000000003</v>
      </c>
      <c r="E28">
        <f t="shared" si="7"/>
        <v>14.245000000000003</v>
      </c>
      <c r="F28">
        <f t="shared" si="7"/>
        <v>14.245000000000003</v>
      </c>
      <c r="G28">
        <f t="shared" si="7"/>
        <v>14.245000000000003</v>
      </c>
      <c r="H28">
        <f t="shared" si="7"/>
        <v>14.245000000000003</v>
      </c>
      <c r="I28">
        <f t="shared" si="7"/>
        <v>14.245000000000003</v>
      </c>
      <c r="J28">
        <f t="shared" si="7"/>
        <v>14.245000000000003</v>
      </c>
      <c r="K28">
        <f t="shared" si="7"/>
        <v>14.245000000000003</v>
      </c>
      <c r="L28">
        <f t="shared" si="7"/>
        <v>14.245000000000003</v>
      </c>
      <c r="M28">
        <f t="shared" si="7"/>
        <v>14.245000000000003</v>
      </c>
      <c r="N28">
        <f t="shared" si="8"/>
        <v>14.245000000000003</v>
      </c>
      <c r="O28">
        <f t="shared" si="8"/>
        <v>14.245000000000003</v>
      </c>
      <c r="P28">
        <f t="shared" si="8"/>
        <v>14.245000000000003</v>
      </c>
      <c r="Q28">
        <f t="shared" si="8"/>
        <v>14.245000000000003</v>
      </c>
      <c r="R28">
        <f t="shared" si="8"/>
        <v>14.245000000000003</v>
      </c>
      <c r="S28">
        <f t="shared" si="8"/>
        <v>14.245000000000003</v>
      </c>
      <c r="T28">
        <f t="shared" si="8"/>
        <v>14.245000000000003</v>
      </c>
      <c r="U28">
        <f t="shared" si="8"/>
        <v>14.245000000000003</v>
      </c>
      <c r="V28">
        <f t="shared" si="8"/>
        <v>14.245000000000003</v>
      </c>
      <c r="W28">
        <f t="shared" si="8"/>
        <v>14.245000000000003</v>
      </c>
      <c r="X28">
        <f t="shared" si="9"/>
        <v>14.245000000000003</v>
      </c>
      <c r="Y28">
        <f t="shared" si="9"/>
        <v>14.245000000000003</v>
      </c>
      <c r="Z28">
        <f t="shared" si="9"/>
        <v>14.245000000000003</v>
      </c>
      <c r="AA28">
        <f t="shared" si="9"/>
        <v>14.245000000000003</v>
      </c>
      <c r="AB28">
        <f t="shared" si="9"/>
        <v>14.245000000000003</v>
      </c>
      <c r="AC28">
        <f t="shared" si="9"/>
        <v>14.245000000000003</v>
      </c>
      <c r="AD28">
        <f t="shared" si="9"/>
        <v>14.245000000000003</v>
      </c>
      <c r="AE28">
        <f t="shared" si="9"/>
        <v>14.245000000000003</v>
      </c>
      <c r="AF28">
        <f t="shared" si="9"/>
        <v>14.245000000000003</v>
      </c>
      <c r="AG28">
        <f t="shared" si="9"/>
        <v>14.245000000000003</v>
      </c>
      <c r="AH28">
        <f t="shared" si="10"/>
        <v>14.245000000000003</v>
      </c>
      <c r="AI28">
        <f t="shared" si="10"/>
        <v>14.245000000000003</v>
      </c>
      <c r="AJ28">
        <f t="shared" si="10"/>
        <v>14.245000000000003</v>
      </c>
      <c r="AK28">
        <f t="shared" si="10"/>
        <v>14.245000000000003</v>
      </c>
      <c r="AL28">
        <f t="shared" si="10"/>
        <v>14.245000000000003</v>
      </c>
      <c r="AM28">
        <f t="shared" si="10"/>
        <v>14.245000000000003</v>
      </c>
      <c r="AN28">
        <f t="shared" si="10"/>
        <v>14.245000000000003</v>
      </c>
      <c r="AO28">
        <f t="shared" si="10"/>
        <v>14.245000000000003</v>
      </c>
      <c r="AP28">
        <f t="shared" si="10"/>
        <v>14.245000000000003</v>
      </c>
      <c r="AQ28">
        <f t="shared" si="10"/>
        <v>14.245000000000003</v>
      </c>
      <c r="AR28">
        <f t="shared" si="11"/>
        <v>14.245000000000003</v>
      </c>
      <c r="AS28">
        <f t="shared" si="11"/>
        <v>14.245000000000003</v>
      </c>
      <c r="AT28">
        <f t="shared" si="11"/>
        <v>14.245000000000003</v>
      </c>
      <c r="AU28">
        <f t="shared" si="11"/>
        <v>14.245000000000003</v>
      </c>
      <c r="AV28">
        <f t="shared" si="11"/>
        <v>14.245000000000003</v>
      </c>
      <c r="AW28">
        <f t="shared" si="11"/>
        <v>14.245000000000003</v>
      </c>
      <c r="AX28">
        <f t="shared" si="11"/>
        <v>14.245000000000003</v>
      </c>
      <c r="AY28">
        <f t="shared" si="11"/>
        <v>14.245000000000003</v>
      </c>
      <c r="AZ28">
        <f t="shared" si="11"/>
        <v>14.245000000000003</v>
      </c>
      <c r="BA28" s="6"/>
    </row>
    <row r="29" spans="1:53" x14ac:dyDescent="0.2">
      <c r="A29">
        <f t="shared" si="6"/>
        <v>36</v>
      </c>
      <c r="B29" s="3">
        <f t="shared" si="0"/>
        <v>72</v>
      </c>
      <c r="C29">
        <f t="shared" si="7"/>
        <v>13.500000000000004</v>
      </c>
      <c r="D29">
        <f t="shared" si="7"/>
        <v>13.500000000000004</v>
      </c>
      <c r="E29">
        <f t="shared" si="7"/>
        <v>13.500000000000004</v>
      </c>
      <c r="F29">
        <f t="shared" si="7"/>
        <v>13.500000000000004</v>
      </c>
      <c r="G29">
        <f t="shared" si="7"/>
        <v>13.500000000000004</v>
      </c>
      <c r="H29">
        <f t="shared" si="7"/>
        <v>13.500000000000004</v>
      </c>
      <c r="I29">
        <f t="shared" si="7"/>
        <v>13.500000000000004</v>
      </c>
      <c r="J29">
        <f t="shared" si="7"/>
        <v>13.500000000000004</v>
      </c>
      <c r="K29">
        <f t="shared" si="7"/>
        <v>13.500000000000004</v>
      </c>
      <c r="L29">
        <f t="shared" si="7"/>
        <v>13.500000000000004</v>
      </c>
      <c r="M29">
        <f t="shared" si="7"/>
        <v>13.500000000000004</v>
      </c>
      <c r="N29">
        <f t="shared" si="8"/>
        <v>13.500000000000004</v>
      </c>
      <c r="O29">
        <f t="shared" si="8"/>
        <v>13.500000000000004</v>
      </c>
      <c r="P29">
        <f t="shared" si="8"/>
        <v>13.500000000000004</v>
      </c>
      <c r="Q29">
        <f t="shared" si="8"/>
        <v>13.500000000000004</v>
      </c>
      <c r="R29">
        <f t="shared" si="8"/>
        <v>13.500000000000004</v>
      </c>
      <c r="S29">
        <f t="shared" si="8"/>
        <v>13.500000000000004</v>
      </c>
      <c r="T29">
        <f t="shared" si="8"/>
        <v>13.500000000000004</v>
      </c>
      <c r="U29">
        <f t="shared" si="8"/>
        <v>13.500000000000004</v>
      </c>
      <c r="V29">
        <f t="shared" si="8"/>
        <v>13.500000000000004</v>
      </c>
      <c r="W29">
        <f t="shared" si="8"/>
        <v>13.500000000000004</v>
      </c>
      <c r="X29">
        <f t="shared" si="9"/>
        <v>13.500000000000004</v>
      </c>
      <c r="Y29">
        <f t="shared" si="9"/>
        <v>13.500000000000004</v>
      </c>
      <c r="Z29">
        <f t="shared" si="9"/>
        <v>13.500000000000004</v>
      </c>
      <c r="AA29">
        <f t="shared" si="9"/>
        <v>13.500000000000004</v>
      </c>
      <c r="AB29">
        <f t="shared" si="9"/>
        <v>13.500000000000004</v>
      </c>
      <c r="AC29">
        <f t="shared" si="9"/>
        <v>13.500000000000004</v>
      </c>
      <c r="AD29">
        <f t="shared" si="9"/>
        <v>13.500000000000004</v>
      </c>
      <c r="AE29">
        <f t="shared" si="9"/>
        <v>13.500000000000004</v>
      </c>
      <c r="AF29">
        <f t="shared" si="9"/>
        <v>13.500000000000004</v>
      </c>
      <c r="AG29">
        <f t="shared" si="9"/>
        <v>13.500000000000004</v>
      </c>
      <c r="AH29">
        <f t="shared" si="10"/>
        <v>13.500000000000004</v>
      </c>
      <c r="AI29">
        <f t="shared" si="10"/>
        <v>13.500000000000004</v>
      </c>
      <c r="AJ29">
        <f t="shared" si="10"/>
        <v>13.500000000000004</v>
      </c>
      <c r="AK29">
        <f t="shared" si="10"/>
        <v>13.500000000000004</v>
      </c>
      <c r="AL29">
        <f t="shared" si="10"/>
        <v>13.500000000000004</v>
      </c>
      <c r="AM29">
        <f t="shared" si="10"/>
        <v>13.500000000000004</v>
      </c>
      <c r="AN29">
        <f t="shared" si="10"/>
        <v>13.500000000000004</v>
      </c>
      <c r="AO29">
        <f t="shared" si="10"/>
        <v>13.500000000000004</v>
      </c>
      <c r="AP29">
        <f t="shared" si="10"/>
        <v>13.500000000000004</v>
      </c>
      <c r="AQ29">
        <f t="shared" si="10"/>
        <v>13.500000000000004</v>
      </c>
      <c r="AR29">
        <f t="shared" si="11"/>
        <v>13.500000000000004</v>
      </c>
      <c r="AS29">
        <f t="shared" si="11"/>
        <v>13.500000000000004</v>
      </c>
      <c r="AT29">
        <f t="shared" si="11"/>
        <v>13.500000000000004</v>
      </c>
      <c r="AU29">
        <f t="shared" si="11"/>
        <v>13.500000000000004</v>
      </c>
      <c r="AV29">
        <f t="shared" si="11"/>
        <v>13.500000000000004</v>
      </c>
      <c r="AW29">
        <f t="shared" si="11"/>
        <v>13.500000000000004</v>
      </c>
      <c r="AX29">
        <f t="shared" si="11"/>
        <v>13.500000000000004</v>
      </c>
      <c r="AY29">
        <f t="shared" si="11"/>
        <v>13.500000000000004</v>
      </c>
      <c r="AZ29">
        <f t="shared" si="11"/>
        <v>13.500000000000004</v>
      </c>
      <c r="BA29" s="6"/>
    </row>
    <row r="30" spans="1:53" x14ac:dyDescent="0.2">
      <c r="A30">
        <f t="shared" si="6"/>
        <v>35</v>
      </c>
      <c r="B30" s="3">
        <f t="shared" si="0"/>
        <v>70</v>
      </c>
      <c r="C30">
        <f t="shared" si="7"/>
        <v>12.775000000000002</v>
      </c>
      <c r="D30">
        <f t="shared" si="7"/>
        <v>12.775000000000002</v>
      </c>
      <c r="E30">
        <f t="shared" si="7"/>
        <v>12.775000000000002</v>
      </c>
      <c r="F30">
        <f t="shared" si="7"/>
        <v>12.775000000000002</v>
      </c>
      <c r="G30">
        <f t="shared" si="7"/>
        <v>12.775000000000002</v>
      </c>
      <c r="H30">
        <f t="shared" si="7"/>
        <v>12.775000000000002</v>
      </c>
      <c r="I30">
        <f t="shared" si="7"/>
        <v>12.775000000000002</v>
      </c>
      <c r="J30">
        <f t="shared" si="7"/>
        <v>12.775000000000002</v>
      </c>
      <c r="K30">
        <f t="shared" si="7"/>
        <v>12.775000000000002</v>
      </c>
      <c r="L30">
        <f t="shared" si="7"/>
        <v>12.775000000000002</v>
      </c>
      <c r="M30">
        <f t="shared" si="7"/>
        <v>12.775000000000002</v>
      </c>
      <c r="N30">
        <f t="shared" si="8"/>
        <v>12.775000000000002</v>
      </c>
      <c r="O30">
        <f t="shared" si="8"/>
        <v>12.775000000000002</v>
      </c>
      <c r="P30">
        <f t="shared" si="8"/>
        <v>12.775000000000002</v>
      </c>
      <c r="Q30">
        <f t="shared" si="8"/>
        <v>12.775000000000002</v>
      </c>
      <c r="R30">
        <f t="shared" si="8"/>
        <v>12.775000000000002</v>
      </c>
      <c r="S30">
        <f t="shared" si="8"/>
        <v>12.775000000000002</v>
      </c>
      <c r="T30">
        <f t="shared" si="8"/>
        <v>12.775000000000002</v>
      </c>
      <c r="U30">
        <f t="shared" si="8"/>
        <v>12.775000000000002</v>
      </c>
      <c r="V30">
        <f t="shared" si="8"/>
        <v>12.775000000000002</v>
      </c>
      <c r="W30">
        <f t="shared" si="8"/>
        <v>12.775000000000002</v>
      </c>
      <c r="X30">
        <f t="shared" si="9"/>
        <v>12.775000000000002</v>
      </c>
      <c r="Y30">
        <f t="shared" si="9"/>
        <v>12.775000000000002</v>
      </c>
      <c r="Z30">
        <f t="shared" si="9"/>
        <v>12.775000000000002</v>
      </c>
      <c r="AA30">
        <f t="shared" si="9"/>
        <v>12.775000000000002</v>
      </c>
      <c r="AB30">
        <f t="shared" si="9"/>
        <v>12.775000000000002</v>
      </c>
      <c r="AC30">
        <f t="shared" si="9"/>
        <v>12.775000000000002</v>
      </c>
      <c r="AD30">
        <f t="shared" si="9"/>
        <v>12.775000000000002</v>
      </c>
      <c r="AE30">
        <f t="shared" si="9"/>
        <v>12.775000000000002</v>
      </c>
      <c r="AF30">
        <f t="shared" si="9"/>
        <v>12.775000000000002</v>
      </c>
      <c r="AG30">
        <f t="shared" si="9"/>
        <v>12.775000000000002</v>
      </c>
      <c r="AH30">
        <f t="shared" si="10"/>
        <v>12.775000000000002</v>
      </c>
      <c r="AI30">
        <f t="shared" si="10"/>
        <v>12.775000000000002</v>
      </c>
      <c r="AJ30">
        <f t="shared" si="10"/>
        <v>12.775000000000002</v>
      </c>
      <c r="AK30">
        <f t="shared" si="10"/>
        <v>12.775000000000002</v>
      </c>
      <c r="AL30">
        <f t="shared" si="10"/>
        <v>12.775000000000002</v>
      </c>
      <c r="AM30">
        <f t="shared" si="10"/>
        <v>12.775000000000002</v>
      </c>
      <c r="AN30">
        <f t="shared" si="10"/>
        <v>12.775000000000002</v>
      </c>
      <c r="AO30">
        <f t="shared" si="10"/>
        <v>12.775000000000002</v>
      </c>
      <c r="AP30">
        <f t="shared" si="10"/>
        <v>12.775000000000002</v>
      </c>
      <c r="AQ30">
        <f t="shared" si="10"/>
        <v>12.775000000000002</v>
      </c>
      <c r="AR30">
        <f t="shared" si="11"/>
        <v>12.775000000000002</v>
      </c>
      <c r="AS30">
        <f t="shared" si="11"/>
        <v>12.775000000000002</v>
      </c>
      <c r="AT30">
        <f t="shared" si="11"/>
        <v>12.775000000000002</v>
      </c>
      <c r="AU30">
        <f t="shared" si="11"/>
        <v>12.775000000000002</v>
      </c>
      <c r="AV30">
        <f t="shared" si="11"/>
        <v>12.775000000000002</v>
      </c>
      <c r="AW30">
        <f t="shared" si="11"/>
        <v>12.775000000000002</v>
      </c>
      <c r="AX30">
        <f t="shared" si="11"/>
        <v>12.775000000000002</v>
      </c>
      <c r="AY30">
        <f t="shared" si="11"/>
        <v>12.775000000000002</v>
      </c>
      <c r="AZ30">
        <f t="shared" si="11"/>
        <v>12.775000000000002</v>
      </c>
      <c r="BA30" s="6"/>
    </row>
    <row r="31" spans="1:53" x14ac:dyDescent="0.2">
      <c r="A31">
        <f t="shared" si="6"/>
        <v>34</v>
      </c>
      <c r="B31" s="3">
        <f t="shared" si="0"/>
        <v>68</v>
      </c>
      <c r="C31">
        <f t="shared" si="7"/>
        <v>12.070000000000002</v>
      </c>
      <c r="D31">
        <f t="shared" si="7"/>
        <v>12.070000000000002</v>
      </c>
      <c r="E31">
        <f t="shared" si="7"/>
        <v>12.070000000000002</v>
      </c>
      <c r="F31">
        <f t="shared" si="7"/>
        <v>12.070000000000002</v>
      </c>
      <c r="G31">
        <f t="shared" si="7"/>
        <v>12.070000000000002</v>
      </c>
      <c r="H31">
        <f t="shared" si="7"/>
        <v>12.070000000000002</v>
      </c>
      <c r="I31">
        <f t="shared" si="7"/>
        <v>12.070000000000002</v>
      </c>
      <c r="J31">
        <f t="shared" si="7"/>
        <v>12.070000000000002</v>
      </c>
      <c r="K31">
        <f t="shared" si="7"/>
        <v>12.070000000000002</v>
      </c>
      <c r="L31">
        <f t="shared" si="7"/>
        <v>12.070000000000002</v>
      </c>
      <c r="M31">
        <f t="shared" si="7"/>
        <v>12.070000000000002</v>
      </c>
      <c r="N31">
        <f t="shared" si="8"/>
        <v>12.070000000000002</v>
      </c>
      <c r="O31">
        <f t="shared" si="8"/>
        <v>12.070000000000002</v>
      </c>
      <c r="P31">
        <f t="shared" si="8"/>
        <v>12.070000000000002</v>
      </c>
      <c r="Q31">
        <f t="shared" si="8"/>
        <v>12.070000000000002</v>
      </c>
      <c r="R31">
        <f t="shared" si="8"/>
        <v>12.070000000000002</v>
      </c>
      <c r="S31">
        <f t="shared" si="8"/>
        <v>12.070000000000002</v>
      </c>
      <c r="T31">
        <f t="shared" si="8"/>
        <v>12.070000000000002</v>
      </c>
      <c r="U31">
        <f t="shared" si="8"/>
        <v>12.070000000000002</v>
      </c>
      <c r="V31">
        <f t="shared" si="8"/>
        <v>12.070000000000002</v>
      </c>
      <c r="W31">
        <f t="shared" si="8"/>
        <v>12.070000000000002</v>
      </c>
      <c r="X31">
        <f t="shared" si="9"/>
        <v>12.070000000000002</v>
      </c>
      <c r="Y31">
        <f t="shared" si="9"/>
        <v>12.070000000000002</v>
      </c>
      <c r="Z31">
        <f t="shared" si="9"/>
        <v>12.070000000000002</v>
      </c>
      <c r="AA31">
        <f t="shared" si="9"/>
        <v>12.070000000000002</v>
      </c>
      <c r="AB31">
        <f t="shared" si="9"/>
        <v>12.070000000000002</v>
      </c>
      <c r="AC31">
        <f t="shared" si="9"/>
        <v>12.070000000000002</v>
      </c>
      <c r="AD31">
        <f t="shared" si="9"/>
        <v>12.070000000000002</v>
      </c>
      <c r="AE31">
        <f t="shared" si="9"/>
        <v>12.070000000000002</v>
      </c>
      <c r="AF31">
        <f t="shared" si="9"/>
        <v>12.070000000000002</v>
      </c>
      <c r="AG31">
        <f t="shared" si="9"/>
        <v>12.070000000000002</v>
      </c>
      <c r="AH31">
        <f t="shared" si="10"/>
        <v>12.070000000000002</v>
      </c>
      <c r="AI31">
        <f t="shared" si="10"/>
        <v>12.070000000000002</v>
      </c>
      <c r="AJ31">
        <f t="shared" si="10"/>
        <v>12.070000000000002</v>
      </c>
      <c r="AK31">
        <f t="shared" si="10"/>
        <v>12.070000000000002</v>
      </c>
      <c r="AL31">
        <f t="shared" si="10"/>
        <v>12.070000000000002</v>
      </c>
      <c r="AM31">
        <f t="shared" si="10"/>
        <v>12.070000000000002</v>
      </c>
      <c r="AN31">
        <f t="shared" si="10"/>
        <v>12.070000000000002</v>
      </c>
      <c r="AO31">
        <f t="shared" si="10"/>
        <v>12.070000000000002</v>
      </c>
      <c r="AP31">
        <f t="shared" si="10"/>
        <v>12.070000000000002</v>
      </c>
      <c r="AQ31">
        <f t="shared" si="10"/>
        <v>12.070000000000002</v>
      </c>
      <c r="AR31">
        <f t="shared" si="11"/>
        <v>12.070000000000002</v>
      </c>
      <c r="AS31">
        <f t="shared" si="11"/>
        <v>12.070000000000002</v>
      </c>
      <c r="AT31">
        <f t="shared" si="11"/>
        <v>12.070000000000002</v>
      </c>
      <c r="AU31">
        <f t="shared" si="11"/>
        <v>12.070000000000002</v>
      </c>
      <c r="AV31">
        <f t="shared" si="11"/>
        <v>12.070000000000002</v>
      </c>
      <c r="AW31">
        <f t="shared" si="11"/>
        <v>12.070000000000002</v>
      </c>
      <c r="AX31">
        <f t="shared" si="11"/>
        <v>12.070000000000002</v>
      </c>
      <c r="AY31">
        <f t="shared" si="11"/>
        <v>12.070000000000002</v>
      </c>
      <c r="AZ31">
        <f t="shared" si="11"/>
        <v>12.070000000000002</v>
      </c>
      <c r="BA31" s="6"/>
    </row>
    <row r="32" spans="1:53" x14ac:dyDescent="0.2">
      <c r="A32">
        <f t="shared" si="6"/>
        <v>33</v>
      </c>
      <c r="B32" s="3">
        <f t="shared" si="0"/>
        <v>66</v>
      </c>
      <c r="C32">
        <f t="shared" si="7"/>
        <v>11.385000000000002</v>
      </c>
      <c r="D32">
        <f t="shared" si="7"/>
        <v>11.385000000000002</v>
      </c>
      <c r="E32">
        <f t="shared" si="7"/>
        <v>11.385000000000002</v>
      </c>
      <c r="F32">
        <f t="shared" si="7"/>
        <v>11.385000000000002</v>
      </c>
      <c r="G32">
        <f t="shared" si="7"/>
        <v>11.385000000000002</v>
      </c>
      <c r="H32">
        <f t="shared" si="7"/>
        <v>11.385000000000002</v>
      </c>
      <c r="I32">
        <f t="shared" si="7"/>
        <v>11.385000000000002</v>
      </c>
      <c r="J32">
        <f t="shared" si="7"/>
        <v>11.385000000000002</v>
      </c>
      <c r="K32">
        <f t="shared" si="7"/>
        <v>11.385000000000002</v>
      </c>
      <c r="L32">
        <f t="shared" si="7"/>
        <v>11.385000000000002</v>
      </c>
      <c r="M32">
        <f t="shared" si="7"/>
        <v>11.385000000000002</v>
      </c>
      <c r="N32">
        <f t="shared" si="8"/>
        <v>11.385000000000002</v>
      </c>
      <c r="O32">
        <f t="shared" si="8"/>
        <v>11.385000000000002</v>
      </c>
      <c r="P32">
        <f t="shared" si="8"/>
        <v>11.385000000000002</v>
      </c>
      <c r="Q32">
        <f t="shared" si="8"/>
        <v>11.385000000000002</v>
      </c>
      <c r="R32">
        <f t="shared" si="8"/>
        <v>11.385000000000002</v>
      </c>
      <c r="S32">
        <f t="shared" si="8"/>
        <v>11.385000000000002</v>
      </c>
      <c r="T32">
        <f t="shared" si="8"/>
        <v>11.385000000000002</v>
      </c>
      <c r="U32">
        <f t="shared" si="8"/>
        <v>11.385000000000002</v>
      </c>
      <c r="V32">
        <f t="shared" si="8"/>
        <v>11.385000000000002</v>
      </c>
      <c r="W32">
        <f t="shared" si="8"/>
        <v>11.385000000000002</v>
      </c>
      <c r="X32">
        <f t="shared" si="9"/>
        <v>11.385000000000002</v>
      </c>
      <c r="Y32">
        <f t="shared" si="9"/>
        <v>11.385000000000002</v>
      </c>
      <c r="Z32">
        <f t="shared" si="9"/>
        <v>11.385000000000002</v>
      </c>
      <c r="AA32">
        <f t="shared" si="9"/>
        <v>11.385000000000002</v>
      </c>
      <c r="AB32">
        <f t="shared" si="9"/>
        <v>11.385000000000002</v>
      </c>
      <c r="AC32">
        <f t="shared" si="9"/>
        <v>11.385000000000002</v>
      </c>
      <c r="AD32">
        <f t="shared" si="9"/>
        <v>11.385000000000002</v>
      </c>
      <c r="AE32">
        <f t="shared" si="9"/>
        <v>11.385000000000002</v>
      </c>
      <c r="AF32">
        <f t="shared" si="9"/>
        <v>11.385000000000002</v>
      </c>
      <c r="AG32">
        <f t="shared" si="9"/>
        <v>11.385000000000002</v>
      </c>
      <c r="AH32">
        <f t="shared" si="10"/>
        <v>11.385000000000002</v>
      </c>
      <c r="AI32">
        <f t="shared" si="10"/>
        <v>11.385000000000002</v>
      </c>
      <c r="AJ32">
        <f t="shared" si="10"/>
        <v>11.385000000000002</v>
      </c>
      <c r="AK32">
        <f t="shared" si="10"/>
        <v>11.385000000000002</v>
      </c>
      <c r="AL32">
        <f t="shared" si="10"/>
        <v>11.385000000000002</v>
      </c>
      <c r="AM32">
        <f t="shared" si="10"/>
        <v>11.385000000000002</v>
      </c>
      <c r="AN32">
        <f t="shared" si="10"/>
        <v>11.385000000000002</v>
      </c>
      <c r="AO32">
        <f t="shared" si="10"/>
        <v>11.385000000000002</v>
      </c>
      <c r="AP32">
        <f t="shared" si="10"/>
        <v>11.385000000000002</v>
      </c>
      <c r="AQ32">
        <f t="shared" si="10"/>
        <v>11.385000000000002</v>
      </c>
      <c r="AR32">
        <f t="shared" si="11"/>
        <v>11.385000000000002</v>
      </c>
      <c r="AS32">
        <f t="shared" si="11"/>
        <v>11.385000000000002</v>
      </c>
      <c r="AT32">
        <f t="shared" si="11"/>
        <v>11.385000000000002</v>
      </c>
      <c r="AU32">
        <f t="shared" si="11"/>
        <v>11.385000000000002</v>
      </c>
      <c r="AV32">
        <f t="shared" si="11"/>
        <v>11.385000000000002</v>
      </c>
      <c r="AW32">
        <f t="shared" si="11"/>
        <v>11.385000000000002</v>
      </c>
      <c r="AX32">
        <f t="shared" si="11"/>
        <v>11.385000000000002</v>
      </c>
      <c r="AY32">
        <f t="shared" si="11"/>
        <v>11.385000000000002</v>
      </c>
      <c r="AZ32">
        <f t="shared" si="11"/>
        <v>11.385000000000002</v>
      </c>
      <c r="BA32" s="6"/>
    </row>
    <row r="33" spans="1:53" x14ac:dyDescent="0.2">
      <c r="A33">
        <f t="shared" si="6"/>
        <v>32</v>
      </c>
      <c r="B33" s="3">
        <f t="shared" si="0"/>
        <v>64</v>
      </c>
      <c r="C33">
        <f t="shared" si="7"/>
        <v>10.720000000000002</v>
      </c>
      <c r="D33">
        <f t="shared" si="7"/>
        <v>10.720000000000002</v>
      </c>
      <c r="E33">
        <f t="shared" si="7"/>
        <v>10.720000000000002</v>
      </c>
      <c r="F33">
        <f t="shared" si="7"/>
        <v>10.720000000000002</v>
      </c>
      <c r="G33">
        <f t="shared" si="7"/>
        <v>10.720000000000002</v>
      </c>
      <c r="H33">
        <f t="shared" si="7"/>
        <v>10.720000000000002</v>
      </c>
      <c r="I33">
        <f t="shared" si="7"/>
        <v>10.720000000000002</v>
      </c>
      <c r="J33">
        <f t="shared" si="7"/>
        <v>10.720000000000002</v>
      </c>
      <c r="K33">
        <f t="shared" si="7"/>
        <v>10.720000000000002</v>
      </c>
      <c r="L33">
        <f t="shared" si="7"/>
        <v>10.720000000000002</v>
      </c>
      <c r="M33">
        <f t="shared" si="7"/>
        <v>10.720000000000002</v>
      </c>
      <c r="N33">
        <f t="shared" si="8"/>
        <v>10.720000000000002</v>
      </c>
      <c r="O33">
        <f t="shared" si="8"/>
        <v>10.720000000000002</v>
      </c>
      <c r="P33">
        <f t="shared" si="8"/>
        <v>10.720000000000002</v>
      </c>
      <c r="Q33">
        <f t="shared" si="8"/>
        <v>10.720000000000002</v>
      </c>
      <c r="R33">
        <f t="shared" si="8"/>
        <v>10.720000000000002</v>
      </c>
      <c r="S33">
        <f t="shared" si="8"/>
        <v>10.720000000000002</v>
      </c>
      <c r="T33">
        <f t="shared" si="8"/>
        <v>10.720000000000002</v>
      </c>
      <c r="U33">
        <f t="shared" si="8"/>
        <v>10.720000000000002</v>
      </c>
      <c r="V33">
        <f t="shared" si="8"/>
        <v>10.720000000000002</v>
      </c>
      <c r="W33">
        <f t="shared" si="8"/>
        <v>10.720000000000002</v>
      </c>
      <c r="X33">
        <f t="shared" si="9"/>
        <v>10.720000000000002</v>
      </c>
      <c r="Y33">
        <f t="shared" si="9"/>
        <v>10.720000000000002</v>
      </c>
      <c r="Z33">
        <f t="shared" si="9"/>
        <v>10.720000000000002</v>
      </c>
      <c r="AA33">
        <f t="shared" si="9"/>
        <v>10.720000000000002</v>
      </c>
      <c r="AB33">
        <f t="shared" si="9"/>
        <v>10.720000000000002</v>
      </c>
      <c r="AC33">
        <f t="shared" si="9"/>
        <v>10.720000000000002</v>
      </c>
      <c r="AD33">
        <f t="shared" si="9"/>
        <v>10.720000000000002</v>
      </c>
      <c r="AE33">
        <f t="shared" si="9"/>
        <v>10.720000000000002</v>
      </c>
      <c r="AF33">
        <f t="shared" si="9"/>
        <v>10.720000000000002</v>
      </c>
      <c r="AG33">
        <f t="shared" si="9"/>
        <v>10.720000000000002</v>
      </c>
      <c r="AH33">
        <f t="shared" si="10"/>
        <v>10.720000000000002</v>
      </c>
      <c r="AI33">
        <f t="shared" si="10"/>
        <v>10.720000000000002</v>
      </c>
      <c r="AJ33">
        <f t="shared" si="10"/>
        <v>10.720000000000002</v>
      </c>
      <c r="AK33">
        <f t="shared" si="10"/>
        <v>10.720000000000002</v>
      </c>
      <c r="AL33">
        <f t="shared" si="10"/>
        <v>10.720000000000002</v>
      </c>
      <c r="AM33">
        <f t="shared" si="10"/>
        <v>10.720000000000002</v>
      </c>
      <c r="AN33">
        <f t="shared" si="10"/>
        <v>10.720000000000002</v>
      </c>
      <c r="AO33">
        <f t="shared" si="10"/>
        <v>10.720000000000002</v>
      </c>
      <c r="AP33">
        <f t="shared" si="10"/>
        <v>10.720000000000002</v>
      </c>
      <c r="AQ33">
        <f t="shared" si="10"/>
        <v>10.720000000000002</v>
      </c>
      <c r="AR33">
        <f t="shared" si="11"/>
        <v>10.720000000000002</v>
      </c>
      <c r="AS33">
        <f t="shared" si="11"/>
        <v>10.720000000000002</v>
      </c>
      <c r="AT33">
        <f t="shared" si="11"/>
        <v>10.720000000000002</v>
      </c>
      <c r="AU33">
        <f t="shared" si="11"/>
        <v>10.720000000000002</v>
      </c>
      <c r="AV33">
        <f t="shared" si="11"/>
        <v>10.720000000000002</v>
      </c>
      <c r="AW33">
        <f t="shared" si="11"/>
        <v>10.720000000000002</v>
      </c>
      <c r="AX33">
        <f t="shared" si="11"/>
        <v>10.720000000000002</v>
      </c>
      <c r="AY33">
        <f t="shared" si="11"/>
        <v>10.720000000000002</v>
      </c>
      <c r="AZ33">
        <f t="shared" si="11"/>
        <v>10.720000000000002</v>
      </c>
      <c r="BA33" s="6"/>
    </row>
    <row r="34" spans="1:53" x14ac:dyDescent="0.2">
      <c r="A34">
        <f t="shared" si="6"/>
        <v>31</v>
      </c>
      <c r="B34" s="3">
        <f t="shared" si="0"/>
        <v>62</v>
      </c>
      <c r="C34">
        <f t="shared" si="7"/>
        <v>10.075000000000001</v>
      </c>
      <c r="D34">
        <f t="shared" si="7"/>
        <v>10.075000000000001</v>
      </c>
      <c r="E34">
        <f t="shared" si="7"/>
        <v>10.075000000000001</v>
      </c>
      <c r="F34">
        <f t="shared" si="7"/>
        <v>10.075000000000001</v>
      </c>
      <c r="G34">
        <f t="shared" si="7"/>
        <v>10.075000000000001</v>
      </c>
      <c r="H34">
        <f t="shared" si="7"/>
        <v>10.075000000000001</v>
      </c>
      <c r="I34">
        <f t="shared" si="7"/>
        <v>10.075000000000001</v>
      </c>
      <c r="J34">
        <f t="shared" si="7"/>
        <v>10.075000000000001</v>
      </c>
      <c r="K34">
        <f t="shared" si="7"/>
        <v>10.075000000000001</v>
      </c>
      <c r="L34">
        <f t="shared" si="7"/>
        <v>10.075000000000001</v>
      </c>
      <c r="M34">
        <f t="shared" si="7"/>
        <v>10.075000000000001</v>
      </c>
      <c r="N34">
        <f t="shared" si="8"/>
        <v>10.075000000000001</v>
      </c>
      <c r="O34">
        <f t="shared" si="8"/>
        <v>10.075000000000001</v>
      </c>
      <c r="P34">
        <f t="shared" si="8"/>
        <v>10.075000000000001</v>
      </c>
      <c r="Q34">
        <f t="shared" si="8"/>
        <v>10.075000000000001</v>
      </c>
      <c r="R34">
        <f t="shared" si="8"/>
        <v>10.075000000000001</v>
      </c>
      <c r="S34">
        <f t="shared" si="8"/>
        <v>10.075000000000001</v>
      </c>
      <c r="T34">
        <f t="shared" si="8"/>
        <v>10.075000000000001</v>
      </c>
      <c r="U34">
        <f t="shared" si="8"/>
        <v>10.075000000000001</v>
      </c>
      <c r="V34">
        <f t="shared" si="8"/>
        <v>10.075000000000001</v>
      </c>
      <c r="W34">
        <f t="shared" si="8"/>
        <v>10.075000000000001</v>
      </c>
      <c r="X34">
        <f t="shared" si="9"/>
        <v>10.075000000000001</v>
      </c>
      <c r="Y34">
        <f t="shared" si="9"/>
        <v>10.075000000000001</v>
      </c>
      <c r="Z34">
        <f t="shared" si="9"/>
        <v>10.075000000000001</v>
      </c>
      <c r="AA34">
        <f t="shared" si="9"/>
        <v>10.075000000000001</v>
      </c>
      <c r="AB34">
        <f t="shared" si="9"/>
        <v>10.075000000000001</v>
      </c>
      <c r="AC34">
        <f t="shared" si="9"/>
        <v>10.075000000000001</v>
      </c>
      <c r="AD34">
        <f t="shared" si="9"/>
        <v>10.075000000000001</v>
      </c>
      <c r="AE34">
        <f t="shared" si="9"/>
        <v>10.075000000000001</v>
      </c>
      <c r="AF34">
        <f t="shared" si="9"/>
        <v>10.075000000000001</v>
      </c>
      <c r="AG34">
        <f t="shared" si="9"/>
        <v>10.075000000000001</v>
      </c>
      <c r="AH34">
        <f t="shared" si="10"/>
        <v>10.075000000000001</v>
      </c>
      <c r="AI34">
        <f t="shared" si="10"/>
        <v>10.075000000000001</v>
      </c>
      <c r="AJ34">
        <f t="shared" si="10"/>
        <v>10.075000000000001</v>
      </c>
      <c r="AK34">
        <f t="shared" si="10"/>
        <v>10.075000000000001</v>
      </c>
      <c r="AL34">
        <f t="shared" si="10"/>
        <v>10.075000000000001</v>
      </c>
      <c r="AM34">
        <f t="shared" si="10"/>
        <v>10.075000000000001</v>
      </c>
      <c r="AN34">
        <f t="shared" si="10"/>
        <v>10.075000000000001</v>
      </c>
      <c r="AO34">
        <f t="shared" si="10"/>
        <v>10.075000000000001</v>
      </c>
      <c r="AP34">
        <f t="shared" si="10"/>
        <v>10.075000000000001</v>
      </c>
      <c r="AQ34">
        <f t="shared" si="10"/>
        <v>10.075000000000001</v>
      </c>
      <c r="AR34">
        <f t="shared" si="11"/>
        <v>10.075000000000001</v>
      </c>
      <c r="AS34">
        <f t="shared" si="11"/>
        <v>10.075000000000001</v>
      </c>
      <c r="AT34">
        <f t="shared" si="11"/>
        <v>10.075000000000001</v>
      </c>
      <c r="AU34">
        <f t="shared" si="11"/>
        <v>10.075000000000001</v>
      </c>
      <c r="AV34">
        <f t="shared" si="11"/>
        <v>10.075000000000001</v>
      </c>
      <c r="AW34">
        <f t="shared" si="11"/>
        <v>10.075000000000001</v>
      </c>
      <c r="AX34">
        <f t="shared" si="11"/>
        <v>10.075000000000001</v>
      </c>
      <c r="AY34">
        <f t="shared" si="11"/>
        <v>10.075000000000001</v>
      </c>
      <c r="AZ34">
        <f t="shared" si="11"/>
        <v>10.075000000000001</v>
      </c>
      <c r="BA34" s="6"/>
    </row>
    <row r="35" spans="1:53" x14ac:dyDescent="0.2">
      <c r="A35">
        <f t="shared" si="6"/>
        <v>30</v>
      </c>
      <c r="B35" s="3">
        <f t="shared" si="0"/>
        <v>60</v>
      </c>
      <c r="C35">
        <f t="shared" si="7"/>
        <v>9.4500000000000011</v>
      </c>
      <c r="D35">
        <f t="shared" si="7"/>
        <v>9.4500000000000011</v>
      </c>
      <c r="E35">
        <f t="shared" si="7"/>
        <v>9.4500000000000011</v>
      </c>
      <c r="F35">
        <f t="shared" si="7"/>
        <v>9.4500000000000011</v>
      </c>
      <c r="G35">
        <f t="shared" si="7"/>
        <v>9.4500000000000011</v>
      </c>
      <c r="H35">
        <f t="shared" si="7"/>
        <v>9.4500000000000011</v>
      </c>
      <c r="I35">
        <f t="shared" si="7"/>
        <v>9.4500000000000011</v>
      </c>
      <c r="J35">
        <f t="shared" si="7"/>
        <v>9.4500000000000011</v>
      </c>
      <c r="K35">
        <f t="shared" si="7"/>
        <v>9.4500000000000011</v>
      </c>
      <c r="L35">
        <f t="shared" si="7"/>
        <v>9.4500000000000011</v>
      </c>
      <c r="M35">
        <f t="shared" si="7"/>
        <v>9.4500000000000011</v>
      </c>
      <c r="N35">
        <f t="shared" si="8"/>
        <v>9.4500000000000011</v>
      </c>
      <c r="O35">
        <f t="shared" si="8"/>
        <v>9.4500000000000011</v>
      </c>
      <c r="P35">
        <f t="shared" si="8"/>
        <v>9.4500000000000011</v>
      </c>
      <c r="Q35">
        <f t="shared" si="8"/>
        <v>9.4500000000000011</v>
      </c>
      <c r="R35">
        <f t="shared" si="8"/>
        <v>9.4500000000000011</v>
      </c>
      <c r="S35">
        <f t="shared" si="8"/>
        <v>9.4500000000000011</v>
      </c>
      <c r="T35">
        <f t="shared" si="8"/>
        <v>9.4500000000000011</v>
      </c>
      <c r="U35">
        <f t="shared" si="8"/>
        <v>9.4500000000000011</v>
      </c>
      <c r="V35">
        <f t="shared" si="8"/>
        <v>9.4500000000000011</v>
      </c>
      <c r="W35">
        <f t="shared" si="8"/>
        <v>9.4500000000000011</v>
      </c>
      <c r="X35">
        <f t="shared" si="9"/>
        <v>9.4500000000000011</v>
      </c>
      <c r="Y35">
        <f t="shared" si="9"/>
        <v>9.4500000000000011</v>
      </c>
      <c r="Z35">
        <f t="shared" si="9"/>
        <v>9.4500000000000011</v>
      </c>
      <c r="AA35">
        <f t="shared" si="9"/>
        <v>9.4500000000000011</v>
      </c>
      <c r="AB35">
        <f t="shared" si="9"/>
        <v>9.4500000000000011</v>
      </c>
      <c r="AC35">
        <f t="shared" si="9"/>
        <v>9.4500000000000011</v>
      </c>
      <c r="AD35">
        <f t="shared" si="9"/>
        <v>9.4500000000000011</v>
      </c>
      <c r="AE35">
        <f t="shared" si="9"/>
        <v>9.4500000000000011</v>
      </c>
      <c r="AF35">
        <f t="shared" si="9"/>
        <v>9.4500000000000011</v>
      </c>
      <c r="AG35">
        <f t="shared" si="9"/>
        <v>9.4500000000000011</v>
      </c>
      <c r="AH35">
        <f t="shared" si="10"/>
        <v>9.4500000000000011</v>
      </c>
      <c r="AI35">
        <f t="shared" si="10"/>
        <v>9.4500000000000011</v>
      </c>
      <c r="AJ35">
        <f t="shared" si="10"/>
        <v>9.4500000000000011</v>
      </c>
      <c r="AK35">
        <f t="shared" si="10"/>
        <v>9.4500000000000011</v>
      </c>
      <c r="AL35">
        <f t="shared" si="10"/>
        <v>9.4500000000000011</v>
      </c>
      <c r="AM35">
        <f t="shared" si="10"/>
        <v>9.4500000000000011</v>
      </c>
      <c r="AN35">
        <f t="shared" si="10"/>
        <v>9.4500000000000011</v>
      </c>
      <c r="AO35">
        <f t="shared" si="10"/>
        <v>9.4500000000000011</v>
      </c>
      <c r="AP35">
        <f t="shared" si="10"/>
        <v>9.4500000000000011</v>
      </c>
      <c r="AQ35">
        <f t="shared" si="10"/>
        <v>9.4500000000000011</v>
      </c>
      <c r="AR35">
        <f t="shared" si="11"/>
        <v>9.4500000000000011</v>
      </c>
      <c r="AS35">
        <f t="shared" si="11"/>
        <v>9.4500000000000011</v>
      </c>
      <c r="AT35">
        <f t="shared" si="11"/>
        <v>9.4500000000000011</v>
      </c>
      <c r="AU35">
        <f t="shared" si="11"/>
        <v>9.4500000000000011</v>
      </c>
      <c r="AV35">
        <f t="shared" si="11"/>
        <v>9.4500000000000011</v>
      </c>
      <c r="AW35">
        <f t="shared" si="11"/>
        <v>9.4500000000000011</v>
      </c>
      <c r="AX35">
        <f t="shared" si="11"/>
        <v>9.4500000000000011</v>
      </c>
      <c r="AY35">
        <f t="shared" si="11"/>
        <v>9.4500000000000011</v>
      </c>
      <c r="AZ35">
        <f t="shared" si="11"/>
        <v>9.4500000000000011</v>
      </c>
      <c r="BA35" s="6"/>
    </row>
    <row r="36" spans="1:53" x14ac:dyDescent="0.2">
      <c r="A36">
        <f t="shared" si="6"/>
        <v>29</v>
      </c>
      <c r="B36" s="3">
        <f t="shared" si="0"/>
        <v>58</v>
      </c>
      <c r="C36">
        <f t="shared" ref="C36:M45" si="12">0.25*(sigma^2*$A36^2+(rate-d)*$A36)</f>
        <v>8.8450000000000024</v>
      </c>
      <c r="D36">
        <f t="shared" si="12"/>
        <v>8.8450000000000024</v>
      </c>
      <c r="E36">
        <f t="shared" si="12"/>
        <v>8.8450000000000024</v>
      </c>
      <c r="F36">
        <f t="shared" si="12"/>
        <v>8.8450000000000024</v>
      </c>
      <c r="G36">
        <f t="shared" si="12"/>
        <v>8.8450000000000024</v>
      </c>
      <c r="H36">
        <f t="shared" si="12"/>
        <v>8.8450000000000024</v>
      </c>
      <c r="I36">
        <f t="shared" si="12"/>
        <v>8.8450000000000024</v>
      </c>
      <c r="J36">
        <f t="shared" si="12"/>
        <v>8.8450000000000024</v>
      </c>
      <c r="K36">
        <f t="shared" si="12"/>
        <v>8.8450000000000024</v>
      </c>
      <c r="L36">
        <f t="shared" si="12"/>
        <v>8.8450000000000024</v>
      </c>
      <c r="M36">
        <f t="shared" si="12"/>
        <v>8.8450000000000024</v>
      </c>
      <c r="N36">
        <f t="shared" ref="N36:W45" si="13">0.25*(sigma^2*$A36^2+(rate-d)*$A36)</f>
        <v>8.8450000000000024</v>
      </c>
      <c r="O36">
        <f t="shared" si="13"/>
        <v>8.8450000000000024</v>
      </c>
      <c r="P36">
        <f t="shared" si="13"/>
        <v>8.8450000000000024</v>
      </c>
      <c r="Q36">
        <f t="shared" si="13"/>
        <v>8.8450000000000024</v>
      </c>
      <c r="R36">
        <f t="shared" si="13"/>
        <v>8.8450000000000024</v>
      </c>
      <c r="S36">
        <f t="shared" si="13"/>
        <v>8.8450000000000024</v>
      </c>
      <c r="T36">
        <f t="shared" si="13"/>
        <v>8.8450000000000024</v>
      </c>
      <c r="U36">
        <f t="shared" si="13"/>
        <v>8.8450000000000024</v>
      </c>
      <c r="V36">
        <f t="shared" si="13"/>
        <v>8.8450000000000024</v>
      </c>
      <c r="W36">
        <f t="shared" si="13"/>
        <v>8.8450000000000024</v>
      </c>
      <c r="X36">
        <f t="shared" ref="X36:AG45" si="14">0.25*(sigma^2*$A36^2+(rate-d)*$A36)</f>
        <v>8.8450000000000024</v>
      </c>
      <c r="Y36">
        <f t="shared" si="14"/>
        <v>8.8450000000000024</v>
      </c>
      <c r="Z36">
        <f t="shared" si="14"/>
        <v>8.8450000000000024</v>
      </c>
      <c r="AA36">
        <f t="shared" si="14"/>
        <v>8.8450000000000024</v>
      </c>
      <c r="AB36">
        <f t="shared" si="14"/>
        <v>8.8450000000000024</v>
      </c>
      <c r="AC36">
        <f t="shared" si="14"/>
        <v>8.8450000000000024</v>
      </c>
      <c r="AD36">
        <f t="shared" si="14"/>
        <v>8.8450000000000024</v>
      </c>
      <c r="AE36">
        <f t="shared" si="14"/>
        <v>8.8450000000000024</v>
      </c>
      <c r="AF36">
        <f t="shared" si="14"/>
        <v>8.8450000000000024</v>
      </c>
      <c r="AG36">
        <f t="shared" si="14"/>
        <v>8.8450000000000024</v>
      </c>
      <c r="AH36">
        <f t="shared" ref="AH36:AQ45" si="15">0.25*(sigma^2*$A36^2+(rate-d)*$A36)</f>
        <v>8.8450000000000024</v>
      </c>
      <c r="AI36">
        <f t="shared" si="15"/>
        <v>8.8450000000000024</v>
      </c>
      <c r="AJ36">
        <f t="shared" si="15"/>
        <v>8.8450000000000024</v>
      </c>
      <c r="AK36">
        <f t="shared" si="15"/>
        <v>8.8450000000000024</v>
      </c>
      <c r="AL36">
        <f t="shared" si="15"/>
        <v>8.8450000000000024</v>
      </c>
      <c r="AM36">
        <f t="shared" si="15"/>
        <v>8.8450000000000024</v>
      </c>
      <c r="AN36">
        <f t="shared" si="15"/>
        <v>8.8450000000000024</v>
      </c>
      <c r="AO36">
        <f t="shared" si="15"/>
        <v>8.8450000000000024</v>
      </c>
      <c r="AP36">
        <f t="shared" si="15"/>
        <v>8.8450000000000024</v>
      </c>
      <c r="AQ36">
        <f t="shared" si="15"/>
        <v>8.8450000000000024</v>
      </c>
      <c r="AR36">
        <f t="shared" ref="AR36:AZ45" si="16">0.25*(sigma^2*$A36^2+(rate-d)*$A36)</f>
        <v>8.8450000000000024</v>
      </c>
      <c r="AS36">
        <f t="shared" si="16"/>
        <v>8.8450000000000024</v>
      </c>
      <c r="AT36">
        <f t="shared" si="16"/>
        <v>8.8450000000000024</v>
      </c>
      <c r="AU36">
        <f t="shared" si="16"/>
        <v>8.8450000000000024</v>
      </c>
      <c r="AV36">
        <f t="shared" si="16"/>
        <v>8.8450000000000024</v>
      </c>
      <c r="AW36">
        <f t="shared" si="16"/>
        <v>8.8450000000000024</v>
      </c>
      <c r="AX36">
        <f t="shared" si="16"/>
        <v>8.8450000000000024</v>
      </c>
      <c r="AY36">
        <f t="shared" si="16"/>
        <v>8.8450000000000024</v>
      </c>
      <c r="AZ36">
        <f t="shared" si="16"/>
        <v>8.8450000000000024</v>
      </c>
      <c r="BA36" s="6"/>
    </row>
    <row r="37" spans="1:53" x14ac:dyDescent="0.2">
      <c r="A37">
        <f t="shared" si="6"/>
        <v>28</v>
      </c>
      <c r="B37" s="3">
        <f t="shared" si="0"/>
        <v>56</v>
      </c>
      <c r="C37">
        <f t="shared" si="12"/>
        <v>8.2600000000000016</v>
      </c>
      <c r="D37">
        <f t="shared" si="12"/>
        <v>8.2600000000000016</v>
      </c>
      <c r="E37">
        <f t="shared" si="12"/>
        <v>8.2600000000000016</v>
      </c>
      <c r="F37">
        <f t="shared" si="12"/>
        <v>8.2600000000000016</v>
      </c>
      <c r="G37">
        <f t="shared" si="12"/>
        <v>8.2600000000000016</v>
      </c>
      <c r="H37">
        <f t="shared" si="12"/>
        <v>8.2600000000000016</v>
      </c>
      <c r="I37">
        <f t="shared" si="12"/>
        <v>8.2600000000000016</v>
      </c>
      <c r="J37">
        <f t="shared" si="12"/>
        <v>8.2600000000000016</v>
      </c>
      <c r="K37">
        <f t="shared" si="12"/>
        <v>8.2600000000000016</v>
      </c>
      <c r="L37">
        <f t="shared" si="12"/>
        <v>8.2600000000000016</v>
      </c>
      <c r="M37">
        <f t="shared" si="12"/>
        <v>8.2600000000000016</v>
      </c>
      <c r="N37">
        <f t="shared" si="13"/>
        <v>8.2600000000000016</v>
      </c>
      <c r="O37">
        <f t="shared" si="13"/>
        <v>8.2600000000000016</v>
      </c>
      <c r="P37">
        <f t="shared" si="13"/>
        <v>8.2600000000000016</v>
      </c>
      <c r="Q37">
        <f t="shared" si="13"/>
        <v>8.2600000000000016</v>
      </c>
      <c r="R37">
        <f t="shared" si="13"/>
        <v>8.2600000000000016</v>
      </c>
      <c r="S37">
        <f t="shared" si="13"/>
        <v>8.2600000000000016</v>
      </c>
      <c r="T37">
        <f t="shared" si="13"/>
        <v>8.2600000000000016</v>
      </c>
      <c r="U37">
        <f t="shared" si="13"/>
        <v>8.2600000000000016</v>
      </c>
      <c r="V37">
        <f t="shared" si="13"/>
        <v>8.2600000000000016</v>
      </c>
      <c r="W37">
        <f t="shared" si="13"/>
        <v>8.2600000000000016</v>
      </c>
      <c r="X37">
        <f t="shared" si="14"/>
        <v>8.2600000000000016</v>
      </c>
      <c r="Y37">
        <f t="shared" si="14"/>
        <v>8.2600000000000016</v>
      </c>
      <c r="Z37">
        <f t="shared" si="14"/>
        <v>8.2600000000000016</v>
      </c>
      <c r="AA37">
        <f t="shared" si="14"/>
        <v>8.2600000000000016</v>
      </c>
      <c r="AB37">
        <f t="shared" si="14"/>
        <v>8.2600000000000016</v>
      </c>
      <c r="AC37">
        <f t="shared" si="14"/>
        <v>8.2600000000000016</v>
      </c>
      <c r="AD37">
        <f t="shared" si="14"/>
        <v>8.2600000000000016</v>
      </c>
      <c r="AE37">
        <f t="shared" si="14"/>
        <v>8.2600000000000016</v>
      </c>
      <c r="AF37">
        <f t="shared" si="14"/>
        <v>8.2600000000000016</v>
      </c>
      <c r="AG37">
        <f t="shared" si="14"/>
        <v>8.2600000000000016</v>
      </c>
      <c r="AH37">
        <f t="shared" si="15"/>
        <v>8.2600000000000016</v>
      </c>
      <c r="AI37">
        <f t="shared" si="15"/>
        <v>8.2600000000000016</v>
      </c>
      <c r="AJ37">
        <f t="shared" si="15"/>
        <v>8.2600000000000016</v>
      </c>
      <c r="AK37">
        <f t="shared" si="15"/>
        <v>8.2600000000000016</v>
      </c>
      <c r="AL37">
        <f t="shared" si="15"/>
        <v>8.2600000000000016</v>
      </c>
      <c r="AM37">
        <f t="shared" si="15"/>
        <v>8.2600000000000016</v>
      </c>
      <c r="AN37">
        <f t="shared" si="15"/>
        <v>8.2600000000000016</v>
      </c>
      <c r="AO37">
        <f t="shared" si="15"/>
        <v>8.2600000000000016</v>
      </c>
      <c r="AP37">
        <f t="shared" si="15"/>
        <v>8.2600000000000016</v>
      </c>
      <c r="AQ37">
        <f t="shared" si="15"/>
        <v>8.2600000000000016</v>
      </c>
      <c r="AR37">
        <f t="shared" si="16"/>
        <v>8.2600000000000016</v>
      </c>
      <c r="AS37">
        <f t="shared" si="16"/>
        <v>8.2600000000000016</v>
      </c>
      <c r="AT37">
        <f t="shared" si="16"/>
        <v>8.2600000000000016</v>
      </c>
      <c r="AU37">
        <f t="shared" si="16"/>
        <v>8.2600000000000016</v>
      </c>
      <c r="AV37">
        <f t="shared" si="16"/>
        <v>8.2600000000000016</v>
      </c>
      <c r="AW37">
        <f t="shared" si="16"/>
        <v>8.2600000000000016</v>
      </c>
      <c r="AX37">
        <f t="shared" si="16"/>
        <v>8.2600000000000016</v>
      </c>
      <c r="AY37">
        <f t="shared" si="16"/>
        <v>8.2600000000000016</v>
      </c>
      <c r="AZ37">
        <f t="shared" si="16"/>
        <v>8.2600000000000016</v>
      </c>
      <c r="BA37" s="6"/>
    </row>
    <row r="38" spans="1:53" x14ac:dyDescent="0.2">
      <c r="A38">
        <f t="shared" si="6"/>
        <v>27</v>
      </c>
      <c r="B38" s="3">
        <f t="shared" si="0"/>
        <v>54</v>
      </c>
      <c r="C38">
        <f t="shared" si="12"/>
        <v>7.6950000000000021</v>
      </c>
      <c r="D38">
        <f t="shared" si="12"/>
        <v>7.6950000000000021</v>
      </c>
      <c r="E38">
        <f t="shared" si="12"/>
        <v>7.6950000000000021</v>
      </c>
      <c r="F38">
        <f t="shared" si="12"/>
        <v>7.6950000000000021</v>
      </c>
      <c r="G38">
        <f t="shared" si="12"/>
        <v>7.6950000000000021</v>
      </c>
      <c r="H38">
        <f t="shared" si="12"/>
        <v>7.6950000000000021</v>
      </c>
      <c r="I38">
        <f t="shared" si="12"/>
        <v>7.6950000000000021</v>
      </c>
      <c r="J38">
        <f t="shared" si="12"/>
        <v>7.6950000000000021</v>
      </c>
      <c r="K38">
        <f t="shared" si="12"/>
        <v>7.6950000000000021</v>
      </c>
      <c r="L38">
        <f t="shared" si="12"/>
        <v>7.6950000000000021</v>
      </c>
      <c r="M38">
        <f t="shared" si="12"/>
        <v>7.6950000000000021</v>
      </c>
      <c r="N38">
        <f t="shared" si="13"/>
        <v>7.6950000000000021</v>
      </c>
      <c r="O38">
        <f t="shared" si="13"/>
        <v>7.6950000000000021</v>
      </c>
      <c r="P38">
        <f t="shared" si="13"/>
        <v>7.6950000000000021</v>
      </c>
      <c r="Q38">
        <f t="shared" si="13"/>
        <v>7.6950000000000021</v>
      </c>
      <c r="R38">
        <f t="shared" si="13"/>
        <v>7.6950000000000021</v>
      </c>
      <c r="S38">
        <f t="shared" si="13"/>
        <v>7.6950000000000021</v>
      </c>
      <c r="T38">
        <f t="shared" si="13"/>
        <v>7.6950000000000021</v>
      </c>
      <c r="U38">
        <f t="shared" si="13"/>
        <v>7.6950000000000021</v>
      </c>
      <c r="V38">
        <f t="shared" si="13"/>
        <v>7.6950000000000021</v>
      </c>
      <c r="W38">
        <f t="shared" si="13"/>
        <v>7.6950000000000021</v>
      </c>
      <c r="X38">
        <f t="shared" si="14"/>
        <v>7.6950000000000021</v>
      </c>
      <c r="Y38">
        <f t="shared" si="14"/>
        <v>7.6950000000000021</v>
      </c>
      <c r="Z38">
        <f t="shared" si="14"/>
        <v>7.6950000000000021</v>
      </c>
      <c r="AA38">
        <f t="shared" si="14"/>
        <v>7.6950000000000021</v>
      </c>
      <c r="AB38">
        <f t="shared" si="14"/>
        <v>7.6950000000000021</v>
      </c>
      <c r="AC38">
        <f t="shared" si="14"/>
        <v>7.6950000000000021</v>
      </c>
      <c r="AD38">
        <f t="shared" si="14"/>
        <v>7.6950000000000021</v>
      </c>
      <c r="AE38">
        <f t="shared" si="14"/>
        <v>7.6950000000000021</v>
      </c>
      <c r="AF38">
        <f t="shared" si="14"/>
        <v>7.6950000000000021</v>
      </c>
      <c r="AG38">
        <f t="shared" si="14"/>
        <v>7.6950000000000021</v>
      </c>
      <c r="AH38">
        <f t="shared" si="15"/>
        <v>7.6950000000000021</v>
      </c>
      <c r="AI38">
        <f t="shared" si="15"/>
        <v>7.6950000000000021</v>
      </c>
      <c r="AJ38">
        <f t="shared" si="15"/>
        <v>7.6950000000000021</v>
      </c>
      <c r="AK38">
        <f t="shared" si="15"/>
        <v>7.6950000000000021</v>
      </c>
      <c r="AL38">
        <f t="shared" si="15"/>
        <v>7.6950000000000021</v>
      </c>
      <c r="AM38">
        <f t="shared" si="15"/>
        <v>7.6950000000000021</v>
      </c>
      <c r="AN38">
        <f t="shared" si="15"/>
        <v>7.6950000000000021</v>
      </c>
      <c r="AO38">
        <f t="shared" si="15"/>
        <v>7.6950000000000021</v>
      </c>
      <c r="AP38">
        <f t="shared" si="15"/>
        <v>7.6950000000000021</v>
      </c>
      <c r="AQ38">
        <f t="shared" si="15"/>
        <v>7.6950000000000021</v>
      </c>
      <c r="AR38">
        <f t="shared" si="16"/>
        <v>7.6950000000000021</v>
      </c>
      <c r="AS38">
        <f t="shared" si="16"/>
        <v>7.6950000000000021</v>
      </c>
      <c r="AT38">
        <f t="shared" si="16"/>
        <v>7.6950000000000021</v>
      </c>
      <c r="AU38">
        <f t="shared" si="16"/>
        <v>7.6950000000000021</v>
      </c>
      <c r="AV38">
        <f t="shared" si="16"/>
        <v>7.6950000000000021</v>
      </c>
      <c r="AW38">
        <f t="shared" si="16"/>
        <v>7.6950000000000021</v>
      </c>
      <c r="AX38">
        <f t="shared" si="16"/>
        <v>7.6950000000000021</v>
      </c>
      <c r="AY38">
        <f t="shared" si="16"/>
        <v>7.6950000000000021</v>
      </c>
      <c r="AZ38">
        <f t="shared" si="16"/>
        <v>7.6950000000000021</v>
      </c>
      <c r="BA38" s="6"/>
    </row>
    <row r="39" spans="1:53" x14ac:dyDescent="0.2">
      <c r="A39">
        <f t="shared" si="6"/>
        <v>26</v>
      </c>
      <c r="B39" s="3">
        <f t="shared" si="0"/>
        <v>52</v>
      </c>
      <c r="C39">
        <f t="shared" si="12"/>
        <v>7.1500000000000012</v>
      </c>
      <c r="D39">
        <f t="shared" si="12"/>
        <v>7.1500000000000012</v>
      </c>
      <c r="E39">
        <f t="shared" si="12"/>
        <v>7.1500000000000012</v>
      </c>
      <c r="F39">
        <f t="shared" si="12"/>
        <v>7.1500000000000012</v>
      </c>
      <c r="G39">
        <f t="shared" si="12"/>
        <v>7.1500000000000012</v>
      </c>
      <c r="H39">
        <f t="shared" si="12"/>
        <v>7.1500000000000012</v>
      </c>
      <c r="I39">
        <f t="shared" si="12"/>
        <v>7.1500000000000012</v>
      </c>
      <c r="J39">
        <f t="shared" si="12"/>
        <v>7.1500000000000012</v>
      </c>
      <c r="K39">
        <f t="shared" si="12"/>
        <v>7.1500000000000012</v>
      </c>
      <c r="L39">
        <f t="shared" si="12"/>
        <v>7.1500000000000012</v>
      </c>
      <c r="M39">
        <f t="shared" si="12"/>
        <v>7.1500000000000012</v>
      </c>
      <c r="N39">
        <f t="shared" si="13"/>
        <v>7.1500000000000012</v>
      </c>
      <c r="O39">
        <f t="shared" si="13"/>
        <v>7.1500000000000012</v>
      </c>
      <c r="P39">
        <f t="shared" si="13"/>
        <v>7.1500000000000012</v>
      </c>
      <c r="Q39">
        <f t="shared" si="13"/>
        <v>7.1500000000000012</v>
      </c>
      <c r="R39">
        <f t="shared" si="13"/>
        <v>7.1500000000000012</v>
      </c>
      <c r="S39">
        <f t="shared" si="13"/>
        <v>7.1500000000000012</v>
      </c>
      <c r="T39">
        <f t="shared" si="13"/>
        <v>7.1500000000000012</v>
      </c>
      <c r="U39">
        <f t="shared" si="13"/>
        <v>7.1500000000000012</v>
      </c>
      <c r="V39">
        <f t="shared" si="13"/>
        <v>7.1500000000000012</v>
      </c>
      <c r="W39">
        <f t="shared" si="13"/>
        <v>7.1500000000000012</v>
      </c>
      <c r="X39">
        <f t="shared" si="14"/>
        <v>7.1500000000000012</v>
      </c>
      <c r="Y39">
        <f t="shared" si="14"/>
        <v>7.1500000000000012</v>
      </c>
      <c r="Z39">
        <f t="shared" si="14"/>
        <v>7.1500000000000012</v>
      </c>
      <c r="AA39">
        <f t="shared" si="14"/>
        <v>7.1500000000000012</v>
      </c>
      <c r="AB39">
        <f t="shared" si="14"/>
        <v>7.1500000000000012</v>
      </c>
      <c r="AC39">
        <f t="shared" si="14"/>
        <v>7.1500000000000012</v>
      </c>
      <c r="AD39">
        <f t="shared" si="14"/>
        <v>7.1500000000000012</v>
      </c>
      <c r="AE39">
        <f t="shared" si="14"/>
        <v>7.1500000000000012</v>
      </c>
      <c r="AF39">
        <f t="shared" si="14"/>
        <v>7.1500000000000012</v>
      </c>
      <c r="AG39">
        <f t="shared" si="14"/>
        <v>7.1500000000000012</v>
      </c>
      <c r="AH39">
        <f t="shared" si="15"/>
        <v>7.1500000000000012</v>
      </c>
      <c r="AI39">
        <f t="shared" si="15"/>
        <v>7.1500000000000012</v>
      </c>
      <c r="AJ39">
        <f t="shared" si="15"/>
        <v>7.1500000000000012</v>
      </c>
      <c r="AK39">
        <f t="shared" si="15"/>
        <v>7.1500000000000012</v>
      </c>
      <c r="AL39">
        <f t="shared" si="15"/>
        <v>7.1500000000000012</v>
      </c>
      <c r="AM39">
        <f t="shared" si="15"/>
        <v>7.1500000000000012</v>
      </c>
      <c r="AN39">
        <f t="shared" si="15"/>
        <v>7.1500000000000012</v>
      </c>
      <c r="AO39">
        <f t="shared" si="15"/>
        <v>7.1500000000000012</v>
      </c>
      <c r="AP39">
        <f t="shared" si="15"/>
        <v>7.1500000000000012</v>
      </c>
      <c r="AQ39">
        <f t="shared" si="15"/>
        <v>7.1500000000000012</v>
      </c>
      <c r="AR39">
        <f t="shared" si="16"/>
        <v>7.1500000000000012</v>
      </c>
      <c r="AS39">
        <f t="shared" si="16"/>
        <v>7.1500000000000012</v>
      </c>
      <c r="AT39">
        <f t="shared" si="16"/>
        <v>7.1500000000000012</v>
      </c>
      <c r="AU39">
        <f t="shared" si="16"/>
        <v>7.1500000000000012</v>
      </c>
      <c r="AV39">
        <f t="shared" si="16"/>
        <v>7.1500000000000012</v>
      </c>
      <c r="AW39">
        <f t="shared" si="16"/>
        <v>7.1500000000000012</v>
      </c>
      <c r="AX39">
        <f t="shared" si="16"/>
        <v>7.1500000000000012</v>
      </c>
      <c r="AY39">
        <f t="shared" si="16"/>
        <v>7.1500000000000012</v>
      </c>
      <c r="AZ39">
        <f t="shared" si="16"/>
        <v>7.1500000000000012</v>
      </c>
      <c r="BA39" s="6"/>
    </row>
    <row r="40" spans="1:53" x14ac:dyDescent="0.2">
      <c r="A40">
        <f t="shared" si="6"/>
        <v>25</v>
      </c>
      <c r="B40" s="3">
        <f t="shared" si="0"/>
        <v>50</v>
      </c>
      <c r="C40">
        <f t="shared" si="12"/>
        <v>6.6250000000000009</v>
      </c>
      <c r="D40">
        <f t="shared" si="12"/>
        <v>6.6250000000000009</v>
      </c>
      <c r="E40">
        <f t="shared" si="12"/>
        <v>6.6250000000000009</v>
      </c>
      <c r="F40">
        <f t="shared" si="12"/>
        <v>6.6250000000000009</v>
      </c>
      <c r="G40">
        <f t="shared" si="12"/>
        <v>6.6250000000000009</v>
      </c>
      <c r="H40">
        <f t="shared" si="12"/>
        <v>6.6250000000000009</v>
      </c>
      <c r="I40">
        <f t="shared" si="12"/>
        <v>6.6250000000000009</v>
      </c>
      <c r="J40">
        <f t="shared" si="12"/>
        <v>6.6250000000000009</v>
      </c>
      <c r="K40">
        <f t="shared" si="12"/>
        <v>6.6250000000000009</v>
      </c>
      <c r="L40">
        <f t="shared" si="12"/>
        <v>6.6250000000000009</v>
      </c>
      <c r="M40">
        <f t="shared" si="12"/>
        <v>6.6250000000000009</v>
      </c>
      <c r="N40">
        <f t="shared" si="13"/>
        <v>6.6250000000000009</v>
      </c>
      <c r="O40">
        <f t="shared" si="13"/>
        <v>6.6250000000000009</v>
      </c>
      <c r="P40">
        <f t="shared" si="13"/>
        <v>6.6250000000000009</v>
      </c>
      <c r="Q40">
        <f t="shared" si="13"/>
        <v>6.6250000000000009</v>
      </c>
      <c r="R40">
        <f t="shared" si="13"/>
        <v>6.6250000000000009</v>
      </c>
      <c r="S40">
        <f t="shared" si="13"/>
        <v>6.6250000000000009</v>
      </c>
      <c r="T40">
        <f t="shared" si="13"/>
        <v>6.6250000000000009</v>
      </c>
      <c r="U40">
        <f t="shared" si="13"/>
        <v>6.6250000000000009</v>
      </c>
      <c r="V40">
        <f t="shared" si="13"/>
        <v>6.6250000000000009</v>
      </c>
      <c r="W40">
        <f t="shared" si="13"/>
        <v>6.6250000000000009</v>
      </c>
      <c r="X40">
        <f t="shared" si="14"/>
        <v>6.6250000000000009</v>
      </c>
      <c r="Y40">
        <f t="shared" si="14"/>
        <v>6.6250000000000009</v>
      </c>
      <c r="Z40">
        <f t="shared" si="14"/>
        <v>6.6250000000000009</v>
      </c>
      <c r="AA40">
        <f t="shared" si="14"/>
        <v>6.6250000000000009</v>
      </c>
      <c r="AB40">
        <f t="shared" si="14"/>
        <v>6.6250000000000009</v>
      </c>
      <c r="AC40">
        <f t="shared" si="14"/>
        <v>6.6250000000000009</v>
      </c>
      <c r="AD40">
        <f t="shared" si="14"/>
        <v>6.6250000000000009</v>
      </c>
      <c r="AE40">
        <f t="shared" si="14"/>
        <v>6.6250000000000009</v>
      </c>
      <c r="AF40">
        <f t="shared" si="14"/>
        <v>6.6250000000000009</v>
      </c>
      <c r="AG40">
        <f t="shared" si="14"/>
        <v>6.6250000000000009</v>
      </c>
      <c r="AH40">
        <f t="shared" si="15"/>
        <v>6.6250000000000009</v>
      </c>
      <c r="AI40">
        <f t="shared" si="15"/>
        <v>6.6250000000000009</v>
      </c>
      <c r="AJ40">
        <f t="shared" si="15"/>
        <v>6.6250000000000009</v>
      </c>
      <c r="AK40">
        <f t="shared" si="15"/>
        <v>6.6250000000000009</v>
      </c>
      <c r="AL40">
        <f t="shared" si="15"/>
        <v>6.6250000000000009</v>
      </c>
      <c r="AM40">
        <f t="shared" si="15"/>
        <v>6.6250000000000009</v>
      </c>
      <c r="AN40">
        <f t="shared" si="15"/>
        <v>6.6250000000000009</v>
      </c>
      <c r="AO40">
        <f t="shared" si="15"/>
        <v>6.6250000000000009</v>
      </c>
      <c r="AP40">
        <f t="shared" si="15"/>
        <v>6.6250000000000009</v>
      </c>
      <c r="AQ40">
        <f t="shared" si="15"/>
        <v>6.6250000000000009</v>
      </c>
      <c r="AR40">
        <f t="shared" si="16"/>
        <v>6.6250000000000009</v>
      </c>
      <c r="AS40">
        <f t="shared" si="16"/>
        <v>6.6250000000000009</v>
      </c>
      <c r="AT40">
        <f t="shared" si="16"/>
        <v>6.6250000000000009</v>
      </c>
      <c r="AU40">
        <f t="shared" si="16"/>
        <v>6.6250000000000009</v>
      </c>
      <c r="AV40">
        <f t="shared" si="16"/>
        <v>6.6250000000000009</v>
      </c>
      <c r="AW40">
        <f t="shared" si="16"/>
        <v>6.6250000000000009</v>
      </c>
      <c r="AX40">
        <f t="shared" si="16"/>
        <v>6.6250000000000009</v>
      </c>
      <c r="AY40">
        <f t="shared" si="16"/>
        <v>6.6250000000000009</v>
      </c>
      <c r="AZ40">
        <f t="shared" si="16"/>
        <v>6.6250000000000009</v>
      </c>
      <c r="BA40" s="6"/>
    </row>
    <row r="41" spans="1:53" x14ac:dyDescent="0.2">
      <c r="A41">
        <f t="shared" si="6"/>
        <v>24</v>
      </c>
      <c r="B41" s="3">
        <f t="shared" si="0"/>
        <v>48</v>
      </c>
      <c r="C41">
        <f t="shared" si="12"/>
        <v>6.1200000000000019</v>
      </c>
      <c r="D41">
        <f t="shared" si="12"/>
        <v>6.1200000000000019</v>
      </c>
      <c r="E41">
        <f t="shared" si="12"/>
        <v>6.1200000000000019</v>
      </c>
      <c r="F41">
        <f t="shared" si="12"/>
        <v>6.1200000000000019</v>
      </c>
      <c r="G41">
        <f t="shared" si="12"/>
        <v>6.1200000000000019</v>
      </c>
      <c r="H41">
        <f t="shared" si="12"/>
        <v>6.1200000000000019</v>
      </c>
      <c r="I41">
        <f t="shared" si="12"/>
        <v>6.1200000000000019</v>
      </c>
      <c r="J41">
        <f t="shared" si="12"/>
        <v>6.1200000000000019</v>
      </c>
      <c r="K41">
        <f t="shared" si="12"/>
        <v>6.1200000000000019</v>
      </c>
      <c r="L41">
        <f t="shared" si="12"/>
        <v>6.1200000000000019</v>
      </c>
      <c r="M41">
        <f t="shared" si="12"/>
        <v>6.1200000000000019</v>
      </c>
      <c r="N41">
        <f t="shared" si="13"/>
        <v>6.1200000000000019</v>
      </c>
      <c r="O41">
        <f t="shared" si="13"/>
        <v>6.1200000000000019</v>
      </c>
      <c r="P41">
        <f t="shared" si="13"/>
        <v>6.1200000000000019</v>
      </c>
      <c r="Q41">
        <f t="shared" si="13"/>
        <v>6.1200000000000019</v>
      </c>
      <c r="R41">
        <f t="shared" si="13"/>
        <v>6.1200000000000019</v>
      </c>
      <c r="S41">
        <f t="shared" si="13"/>
        <v>6.1200000000000019</v>
      </c>
      <c r="T41">
        <f t="shared" si="13"/>
        <v>6.1200000000000019</v>
      </c>
      <c r="U41">
        <f t="shared" si="13"/>
        <v>6.1200000000000019</v>
      </c>
      <c r="V41">
        <f t="shared" si="13"/>
        <v>6.1200000000000019</v>
      </c>
      <c r="W41">
        <f t="shared" si="13"/>
        <v>6.1200000000000019</v>
      </c>
      <c r="X41">
        <f t="shared" si="14"/>
        <v>6.1200000000000019</v>
      </c>
      <c r="Y41">
        <f t="shared" si="14"/>
        <v>6.1200000000000019</v>
      </c>
      <c r="Z41">
        <f t="shared" si="14"/>
        <v>6.1200000000000019</v>
      </c>
      <c r="AA41">
        <f t="shared" si="14"/>
        <v>6.1200000000000019</v>
      </c>
      <c r="AB41">
        <f t="shared" si="14"/>
        <v>6.1200000000000019</v>
      </c>
      <c r="AC41">
        <f t="shared" si="14"/>
        <v>6.1200000000000019</v>
      </c>
      <c r="AD41">
        <f t="shared" si="14"/>
        <v>6.1200000000000019</v>
      </c>
      <c r="AE41">
        <f t="shared" si="14"/>
        <v>6.1200000000000019</v>
      </c>
      <c r="AF41">
        <f t="shared" si="14"/>
        <v>6.1200000000000019</v>
      </c>
      <c r="AG41">
        <f t="shared" si="14"/>
        <v>6.1200000000000019</v>
      </c>
      <c r="AH41">
        <f t="shared" si="15"/>
        <v>6.1200000000000019</v>
      </c>
      <c r="AI41">
        <f t="shared" si="15"/>
        <v>6.1200000000000019</v>
      </c>
      <c r="AJ41">
        <f t="shared" si="15"/>
        <v>6.1200000000000019</v>
      </c>
      <c r="AK41">
        <f t="shared" si="15"/>
        <v>6.1200000000000019</v>
      </c>
      <c r="AL41">
        <f t="shared" si="15"/>
        <v>6.1200000000000019</v>
      </c>
      <c r="AM41">
        <f t="shared" si="15"/>
        <v>6.1200000000000019</v>
      </c>
      <c r="AN41">
        <f t="shared" si="15"/>
        <v>6.1200000000000019</v>
      </c>
      <c r="AO41">
        <f t="shared" si="15"/>
        <v>6.1200000000000019</v>
      </c>
      <c r="AP41">
        <f t="shared" si="15"/>
        <v>6.1200000000000019</v>
      </c>
      <c r="AQ41">
        <f t="shared" si="15"/>
        <v>6.1200000000000019</v>
      </c>
      <c r="AR41">
        <f t="shared" si="16"/>
        <v>6.1200000000000019</v>
      </c>
      <c r="AS41">
        <f t="shared" si="16"/>
        <v>6.1200000000000019</v>
      </c>
      <c r="AT41">
        <f t="shared" si="16"/>
        <v>6.1200000000000019</v>
      </c>
      <c r="AU41">
        <f t="shared" si="16"/>
        <v>6.1200000000000019</v>
      </c>
      <c r="AV41">
        <f t="shared" si="16"/>
        <v>6.1200000000000019</v>
      </c>
      <c r="AW41">
        <f t="shared" si="16"/>
        <v>6.1200000000000019</v>
      </c>
      <c r="AX41">
        <f t="shared" si="16"/>
        <v>6.1200000000000019</v>
      </c>
      <c r="AY41">
        <f t="shared" si="16"/>
        <v>6.1200000000000019</v>
      </c>
      <c r="AZ41">
        <f t="shared" si="16"/>
        <v>6.1200000000000019</v>
      </c>
      <c r="BA41" s="6"/>
    </row>
    <row r="42" spans="1:53" x14ac:dyDescent="0.2">
      <c r="A42">
        <f t="shared" si="6"/>
        <v>23</v>
      </c>
      <c r="B42" s="3">
        <f t="shared" si="0"/>
        <v>46</v>
      </c>
      <c r="C42">
        <f t="shared" si="12"/>
        <v>5.6350000000000007</v>
      </c>
      <c r="D42">
        <f t="shared" si="12"/>
        <v>5.6350000000000007</v>
      </c>
      <c r="E42">
        <f t="shared" si="12"/>
        <v>5.6350000000000007</v>
      </c>
      <c r="F42">
        <f t="shared" si="12"/>
        <v>5.6350000000000007</v>
      </c>
      <c r="G42">
        <f t="shared" si="12"/>
        <v>5.6350000000000007</v>
      </c>
      <c r="H42">
        <f t="shared" si="12"/>
        <v>5.6350000000000007</v>
      </c>
      <c r="I42">
        <f t="shared" si="12"/>
        <v>5.6350000000000007</v>
      </c>
      <c r="J42">
        <f t="shared" si="12"/>
        <v>5.6350000000000007</v>
      </c>
      <c r="K42">
        <f t="shared" si="12"/>
        <v>5.6350000000000007</v>
      </c>
      <c r="L42">
        <f t="shared" si="12"/>
        <v>5.6350000000000007</v>
      </c>
      <c r="M42">
        <f t="shared" si="12"/>
        <v>5.6350000000000007</v>
      </c>
      <c r="N42">
        <f t="shared" si="13"/>
        <v>5.6350000000000007</v>
      </c>
      <c r="O42">
        <f t="shared" si="13"/>
        <v>5.6350000000000007</v>
      </c>
      <c r="P42">
        <f t="shared" si="13"/>
        <v>5.6350000000000007</v>
      </c>
      <c r="Q42">
        <f t="shared" si="13"/>
        <v>5.6350000000000007</v>
      </c>
      <c r="R42">
        <f t="shared" si="13"/>
        <v>5.6350000000000007</v>
      </c>
      <c r="S42">
        <f t="shared" si="13"/>
        <v>5.6350000000000007</v>
      </c>
      <c r="T42">
        <f t="shared" si="13"/>
        <v>5.6350000000000007</v>
      </c>
      <c r="U42">
        <f t="shared" si="13"/>
        <v>5.6350000000000007</v>
      </c>
      <c r="V42">
        <f t="shared" si="13"/>
        <v>5.6350000000000007</v>
      </c>
      <c r="W42">
        <f t="shared" si="13"/>
        <v>5.6350000000000007</v>
      </c>
      <c r="X42">
        <f t="shared" si="14"/>
        <v>5.6350000000000007</v>
      </c>
      <c r="Y42">
        <f t="shared" si="14"/>
        <v>5.6350000000000007</v>
      </c>
      <c r="Z42">
        <f t="shared" si="14"/>
        <v>5.6350000000000007</v>
      </c>
      <c r="AA42">
        <f t="shared" si="14"/>
        <v>5.6350000000000007</v>
      </c>
      <c r="AB42">
        <f t="shared" si="14"/>
        <v>5.6350000000000007</v>
      </c>
      <c r="AC42">
        <f t="shared" si="14"/>
        <v>5.6350000000000007</v>
      </c>
      <c r="AD42">
        <f t="shared" si="14"/>
        <v>5.6350000000000007</v>
      </c>
      <c r="AE42">
        <f t="shared" si="14"/>
        <v>5.6350000000000007</v>
      </c>
      <c r="AF42">
        <f t="shared" si="14"/>
        <v>5.6350000000000007</v>
      </c>
      <c r="AG42">
        <f t="shared" si="14"/>
        <v>5.6350000000000007</v>
      </c>
      <c r="AH42">
        <f t="shared" si="15"/>
        <v>5.6350000000000007</v>
      </c>
      <c r="AI42">
        <f t="shared" si="15"/>
        <v>5.6350000000000007</v>
      </c>
      <c r="AJ42">
        <f t="shared" si="15"/>
        <v>5.6350000000000007</v>
      </c>
      <c r="AK42">
        <f t="shared" si="15"/>
        <v>5.6350000000000007</v>
      </c>
      <c r="AL42">
        <f t="shared" si="15"/>
        <v>5.6350000000000007</v>
      </c>
      <c r="AM42">
        <f t="shared" si="15"/>
        <v>5.6350000000000007</v>
      </c>
      <c r="AN42">
        <f t="shared" si="15"/>
        <v>5.6350000000000007</v>
      </c>
      <c r="AO42">
        <f t="shared" si="15"/>
        <v>5.6350000000000007</v>
      </c>
      <c r="AP42">
        <f t="shared" si="15"/>
        <v>5.6350000000000007</v>
      </c>
      <c r="AQ42">
        <f t="shared" si="15"/>
        <v>5.6350000000000007</v>
      </c>
      <c r="AR42">
        <f t="shared" si="16"/>
        <v>5.6350000000000007</v>
      </c>
      <c r="AS42">
        <f t="shared" si="16"/>
        <v>5.6350000000000007</v>
      </c>
      <c r="AT42">
        <f t="shared" si="16"/>
        <v>5.6350000000000007</v>
      </c>
      <c r="AU42">
        <f t="shared" si="16"/>
        <v>5.6350000000000007</v>
      </c>
      <c r="AV42">
        <f t="shared" si="16"/>
        <v>5.6350000000000007</v>
      </c>
      <c r="AW42">
        <f t="shared" si="16"/>
        <v>5.6350000000000007</v>
      </c>
      <c r="AX42">
        <f t="shared" si="16"/>
        <v>5.6350000000000007</v>
      </c>
      <c r="AY42">
        <f t="shared" si="16"/>
        <v>5.6350000000000007</v>
      </c>
      <c r="AZ42">
        <f t="shared" si="16"/>
        <v>5.6350000000000007</v>
      </c>
      <c r="BA42" s="6"/>
    </row>
    <row r="43" spans="1:53" x14ac:dyDescent="0.2">
      <c r="A43">
        <f t="shared" si="6"/>
        <v>22</v>
      </c>
      <c r="B43" s="3">
        <f t="shared" si="0"/>
        <v>44</v>
      </c>
      <c r="C43">
        <f t="shared" si="12"/>
        <v>5.1700000000000008</v>
      </c>
      <c r="D43">
        <f t="shared" si="12"/>
        <v>5.1700000000000008</v>
      </c>
      <c r="E43">
        <f t="shared" si="12"/>
        <v>5.1700000000000008</v>
      </c>
      <c r="F43">
        <f t="shared" si="12"/>
        <v>5.1700000000000008</v>
      </c>
      <c r="G43">
        <f t="shared" si="12"/>
        <v>5.1700000000000008</v>
      </c>
      <c r="H43">
        <f t="shared" si="12"/>
        <v>5.1700000000000008</v>
      </c>
      <c r="I43">
        <f t="shared" si="12"/>
        <v>5.1700000000000008</v>
      </c>
      <c r="J43">
        <f t="shared" si="12"/>
        <v>5.1700000000000008</v>
      </c>
      <c r="K43">
        <f t="shared" si="12"/>
        <v>5.1700000000000008</v>
      </c>
      <c r="L43">
        <f t="shared" si="12"/>
        <v>5.1700000000000008</v>
      </c>
      <c r="M43">
        <f t="shared" si="12"/>
        <v>5.1700000000000008</v>
      </c>
      <c r="N43">
        <f t="shared" si="13"/>
        <v>5.1700000000000008</v>
      </c>
      <c r="O43">
        <f t="shared" si="13"/>
        <v>5.1700000000000008</v>
      </c>
      <c r="P43">
        <f t="shared" si="13"/>
        <v>5.1700000000000008</v>
      </c>
      <c r="Q43">
        <f t="shared" si="13"/>
        <v>5.1700000000000008</v>
      </c>
      <c r="R43">
        <f t="shared" si="13"/>
        <v>5.1700000000000008</v>
      </c>
      <c r="S43">
        <f t="shared" si="13"/>
        <v>5.1700000000000008</v>
      </c>
      <c r="T43">
        <f t="shared" si="13"/>
        <v>5.1700000000000008</v>
      </c>
      <c r="U43">
        <f t="shared" si="13"/>
        <v>5.1700000000000008</v>
      </c>
      <c r="V43">
        <f t="shared" si="13"/>
        <v>5.1700000000000008</v>
      </c>
      <c r="W43">
        <f t="shared" si="13"/>
        <v>5.1700000000000008</v>
      </c>
      <c r="X43">
        <f t="shared" si="14"/>
        <v>5.1700000000000008</v>
      </c>
      <c r="Y43">
        <f t="shared" si="14"/>
        <v>5.1700000000000008</v>
      </c>
      <c r="Z43">
        <f t="shared" si="14"/>
        <v>5.1700000000000008</v>
      </c>
      <c r="AA43">
        <f t="shared" si="14"/>
        <v>5.1700000000000008</v>
      </c>
      <c r="AB43">
        <f t="shared" si="14"/>
        <v>5.1700000000000008</v>
      </c>
      <c r="AC43">
        <f t="shared" si="14"/>
        <v>5.1700000000000008</v>
      </c>
      <c r="AD43">
        <f t="shared" si="14"/>
        <v>5.1700000000000008</v>
      </c>
      <c r="AE43">
        <f t="shared" si="14"/>
        <v>5.1700000000000008</v>
      </c>
      <c r="AF43">
        <f t="shared" si="14"/>
        <v>5.1700000000000008</v>
      </c>
      <c r="AG43">
        <f t="shared" si="14"/>
        <v>5.1700000000000008</v>
      </c>
      <c r="AH43">
        <f t="shared" si="15"/>
        <v>5.1700000000000008</v>
      </c>
      <c r="AI43">
        <f t="shared" si="15"/>
        <v>5.1700000000000008</v>
      </c>
      <c r="AJ43">
        <f t="shared" si="15"/>
        <v>5.1700000000000008</v>
      </c>
      <c r="AK43">
        <f t="shared" si="15"/>
        <v>5.1700000000000008</v>
      </c>
      <c r="AL43">
        <f t="shared" si="15"/>
        <v>5.1700000000000008</v>
      </c>
      <c r="AM43">
        <f t="shared" si="15"/>
        <v>5.1700000000000008</v>
      </c>
      <c r="AN43">
        <f t="shared" si="15"/>
        <v>5.1700000000000008</v>
      </c>
      <c r="AO43">
        <f t="shared" si="15"/>
        <v>5.1700000000000008</v>
      </c>
      <c r="AP43">
        <f t="shared" si="15"/>
        <v>5.1700000000000008</v>
      </c>
      <c r="AQ43">
        <f t="shared" si="15"/>
        <v>5.1700000000000008</v>
      </c>
      <c r="AR43">
        <f t="shared" si="16"/>
        <v>5.1700000000000008</v>
      </c>
      <c r="AS43">
        <f t="shared" si="16"/>
        <v>5.1700000000000008</v>
      </c>
      <c r="AT43">
        <f t="shared" si="16"/>
        <v>5.1700000000000008</v>
      </c>
      <c r="AU43">
        <f t="shared" si="16"/>
        <v>5.1700000000000008</v>
      </c>
      <c r="AV43">
        <f t="shared" si="16"/>
        <v>5.1700000000000008</v>
      </c>
      <c r="AW43">
        <f t="shared" si="16"/>
        <v>5.1700000000000008</v>
      </c>
      <c r="AX43">
        <f t="shared" si="16"/>
        <v>5.1700000000000008</v>
      </c>
      <c r="AY43">
        <f t="shared" si="16"/>
        <v>5.1700000000000008</v>
      </c>
      <c r="AZ43">
        <f t="shared" si="16"/>
        <v>5.1700000000000008</v>
      </c>
      <c r="BA43" s="6"/>
    </row>
    <row r="44" spans="1:53" x14ac:dyDescent="0.2">
      <c r="A44">
        <f t="shared" si="6"/>
        <v>21</v>
      </c>
      <c r="B44" s="3">
        <f t="shared" si="0"/>
        <v>42</v>
      </c>
      <c r="C44">
        <f t="shared" si="12"/>
        <v>4.7250000000000014</v>
      </c>
      <c r="D44">
        <f t="shared" si="12"/>
        <v>4.7250000000000014</v>
      </c>
      <c r="E44">
        <f t="shared" si="12"/>
        <v>4.7250000000000014</v>
      </c>
      <c r="F44">
        <f t="shared" si="12"/>
        <v>4.7250000000000014</v>
      </c>
      <c r="G44">
        <f t="shared" si="12"/>
        <v>4.7250000000000014</v>
      </c>
      <c r="H44">
        <f t="shared" si="12"/>
        <v>4.7250000000000014</v>
      </c>
      <c r="I44">
        <f t="shared" si="12"/>
        <v>4.7250000000000014</v>
      </c>
      <c r="J44">
        <f t="shared" si="12"/>
        <v>4.7250000000000014</v>
      </c>
      <c r="K44">
        <f t="shared" si="12"/>
        <v>4.7250000000000014</v>
      </c>
      <c r="L44">
        <f t="shared" si="12"/>
        <v>4.7250000000000014</v>
      </c>
      <c r="M44">
        <f t="shared" si="12"/>
        <v>4.7250000000000014</v>
      </c>
      <c r="N44">
        <f t="shared" si="13"/>
        <v>4.7250000000000014</v>
      </c>
      <c r="O44">
        <f t="shared" si="13"/>
        <v>4.7250000000000014</v>
      </c>
      <c r="P44">
        <f t="shared" si="13"/>
        <v>4.7250000000000014</v>
      </c>
      <c r="Q44">
        <f t="shared" si="13"/>
        <v>4.7250000000000014</v>
      </c>
      <c r="R44">
        <f t="shared" si="13"/>
        <v>4.7250000000000014</v>
      </c>
      <c r="S44">
        <f t="shared" si="13"/>
        <v>4.7250000000000014</v>
      </c>
      <c r="T44">
        <f t="shared" si="13"/>
        <v>4.7250000000000014</v>
      </c>
      <c r="U44">
        <f t="shared" si="13"/>
        <v>4.7250000000000014</v>
      </c>
      <c r="V44">
        <f t="shared" si="13"/>
        <v>4.7250000000000014</v>
      </c>
      <c r="W44">
        <f t="shared" si="13"/>
        <v>4.7250000000000014</v>
      </c>
      <c r="X44">
        <f t="shared" si="14"/>
        <v>4.7250000000000014</v>
      </c>
      <c r="Y44">
        <f t="shared" si="14"/>
        <v>4.7250000000000014</v>
      </c>
      <c r="Z44">
        <f t="shared" si="14"/>
        <v>4.7250000000000014</v>
      </c>
      <c r="AA44">
        <f t="shared" si="14"/>
        <v>4.7250000000000014</v>
      </c>
      <c r="AB44">
        <f t="shared" si="14"/>
        <v>4.7250000000000014</v>
      </c>
      <c r="AC44">
        <f t="shared" si="14"/>
        <v>4.7250000000000014</v>
      </c>
      <c r="AD44">
        <f t="shared" si="14"/>
        <v>4.7250000000000014</v>
      </c>
      <c r="AE44">
        <f t="shared" si="14"/>
        <v>4.7250000000000014</v>
      </c>
      <c r="AF44">
        <f t="shared" si="14"/>
        <v>4.7250000000000014</v>
      </c>
      <c r="AG44">
        <f t="shared" si="14"/>
        <v>4.7250000000000014</v>
      </c>
      <c r="AH44">
        <f t="shared" si="15"/>
        <v>4.7250000000000014</v>
      </c>
      <c r="AI44">
        <f t="shared" si="15"/>
        <v>4.7250000000000014</v>
      </c>
      <c r="AJ44">
        <f t="shared" si="15"/>
        <v>4.7250000000000014</v>
      </c>
      <c r="AK44">
        <f t="shared" si="15"/>
        <v>4.7250000000000014</v>
      </c>
      <c r="AL44">
        <f t="shared" si="15"/>
        <v>4.7250000000000014</v>
      </c>
      <c r="AM44">
        <f t="shared" si="15"/>
        <v>4.7250000000000014</v>
      </c>
      <c r="AN44">
        <f t="shared" si="15"/>
        <v>4.7250000000000014</v>
      </c>
      <c r="AO44">
        <f t="shared" si="15"/>
        <v>4.7250000000000014</v>
      </c>
      <c r="AP44">
        <f t="shared" si="15"/>
        <v>4.7250000000000014</v>
      </c>
      <c r="AQ44">
        <f t="shared" si="15"/>
        <v>4.7250000000000014</v>
      </c>
      <c r="AR44">
        <f t="shared" si="16"/>
        <v>4.7250000000000014</v>
      </c>
      <c r="AS44">
        <f t="shared" si="16"/>
        <v>4.7250000000000014</v>
      </c>
      <c r="AT44">
        <f t="shared" si="16"/>
        <v>4.7250000000000014</v>
      </c>
      <c r="AU44">
        <f t="shared" si="16"/>
        <v>4.7250000000000014</v>
      </c>
      <c r="AV44">
        <f t="shared" si="16"/>
        <v>4.7250000000000014</v>
      </c>
      <c r="AW44">
        <f t="shared" si="16"/>
        <v>4.7250000000000014</v>
      </c>
      <c r="AX44">
        <f t="shared" si="16"/>
        <v>4.7250000000000014</v>
      </c>
      <c r="AY44">
        <f t="shared" si="16"/>
        <v>4.7250000000000014</v>
      </c>
      <c r="AZ44">
        <f t="shared" si="16"/>
        <v>4.7250000000000014</v>
      </c>
      <c r="BA44" s="6"/>
    </row>
    <row r="45" spans="1:53" x14ac:dyDescent="0.2">
      <c r="A45">
        <f t="shared" si="6"/>
        <v>20</v>
      </c>
      <c r="B45" s="3">
        <f t="shared" si="0"/>
        <v>40</v>
      </c>
      <c r="C45">
        <f t="shared" si="12"/>
        <v>4.3000000000000007</v>
      </c>
      <c r="D45">
        <f t="shared" si="12"/>
        <v>4.3000000000000007</v>
      </c>
      <c r="E45">
        <f t="shared" si="12"/>
        <v>4.3000000000000007</v>
      </c>
      <c r="F45">
        <f t="shared" si="12"/>
        <v>4.3000000000000007</v>
      </c>
      <c r="G45">
        <f t="shared" si="12"/>
        <v>4.3000000000000007</v>
      </c>
      <c r="H45">
        <f t="shared" si="12"/>
        <v>4.3000000000000007</v>
      </c>
      <c r="I45">
        <f t="shared" si="12"/>
        <v>4.3000000000000007</v>
      </c>
      <c r="J45">
        <f t="shared" si="12"/>
        <v>4.3000000000000007</v>
      </c>
      <c r="K45">
        <f t="shared" si="12"/>
        <v>4.3000000000000007</v>
      </c>
      <c r="L45">
        <f t="shared" si="12"/>
        <v>4.3000000000000007</v>
      </c>
      <c r="M45">
        <f t="shared" si="12"/>
        <v>4.3000000000000007</v>
      </c>
      <c r="N45">
        <f t="shared" si="13"/>
        <v>4.3000000000000007</v>
      </c>
      <c r="O45">
        <f t="shared" si="13"/>
        <v>4.3000000000000007</v>
      </c>
      <c r="P45">
        <f t="shared" si="13"/>
        <v>4.3000000000000007</v>
      </c>
      <c r="Q45">
        <f t="shared" si="13"/>
        <v>4.3000000000000007</v>
      </c>
      <c r="R45">
        <f t="shared" si="13"/>
        <v>4.3000000000000007</v>
      </c>
      <c r="S45">
        <f t="shared" si="13"/>
        <v>4.3000000000000007</v>
      </c>
      <c r="T45">
        <f t="shared" si="13"/>
        <v>4.3000000000000007</v>
      </c>
      <c r="U45">
        <f t="shared" si="13"/>
        <v>4.3000000000000007</v>
      </c>
      <c r="V45">
        <f t="shared" si="13"/>
        <v>4.3000000000000007</v>
      </c>
      <c r="W45">
        <f t="shared" si="13"/>
        <v>4.3000000000000007</v>
      </c>
      <c r="X45">
        <f t="shared" si="14"/>
        <v>4.3000000000000007</v>
      </c>
      <c r="Y45">
        <f t="shared" si="14"/>
        <v>4.3000000000000007</v>
      </c>
      <c r="Z45">
        <f t="shared" si="14"/>
        <v>4.3000000000000007</v>
      </c>
      <c r="AA45">
        <f t="shared" si="14"/>
        <v>4.3000000000000007</v>
      </c>
      <c r="AB45">
        <f t="shared" si="14"/>
        <v>4.3000000000000007</v>
      </c>
      <c r="AC45">
        <f t="shared" si="14"/>
        <v>4.3000000000000007</v>
      </c>
      <c r="AD45">
        <f t="shared" si="14"/>
        <v>4.3000000000000007</v>
      </c>
      <c r="AE45">
        <f t="shared" si="14"/>
        <v>4.3000000000000007</v>
      </c>
      <c r="AF45">
        <f t="shared" si="14"/>
        <v>4.3000000000000007</v>
      </c>
      <c r="AG45">
        <f t="shared" si="14"/>
        <v>4.3000000000000007</v>
      </c>
      <c r="AH45">
        <f t="shared" si="15"/>
        <v>4.3000000000000007</v>
      </c>
      <c r="AI45">
        <f t="shared" si="15"/>
        <v>4.3000000000000007</v>
      </c>
      <c r="AJ45">
        <f t="shared" si="15"/>
        <v>4.3000000000000007</v>
      </c>
      <c r="AK45">
        <f t="shared" si="15"/>
        <v>4.3000000000000007</v>
      </c>
      <c r="AL45">
        <f t="shared" si="15"/>
        <v>4.3000000000000007</v>
      </c>
      <c r="AM45">
        <f t="shared" si="15"/>
        <v>4.3000000000000007</v>
      </c>
      <c r="AN45">
        <f t="shared" si="15"/>
        <v>4.3000000000000007</v>
      </c>
      <c r="AO45">
        <f t="shared" si="15"/>
        <v>4.3000000000000007</v>
      </c>
      <c r="AP45">
        <f t="shared" si="15"/>
        <v>4.3000000000000007</v>
      </c>
      <c r="AQ45">
        <f t="shared" si="15"/>
        <v>4.3000000000000007</v>
      </c>
      <c r="AR45">
        <f t="shared" si="16"/>
        <v>4.3000000000000007</v>
      </c>
      <c r="AS45">
        <f t="shared" si="16"/>
        <v>4.3000000000000007</v>
      </c>
      <c r="AT45">
        <f t="shared" si="16"/>
        <v>4.3000000000000007</v>
      </c>
      <c r="AU45">
        <f t="shared" si="16"/>
        <v>4.3000000000000007</v>
      </c>
      <c r="AV45">
        <f t="shared" si="16"/>
        <v>4.3000000000000007</v>
      </c>
      <c r="AW45">
        <f t="shared" si="16"/>
        <v>4.3000000000000007</v>
      </c>
      <c r="AX45">
        <f t="shared" si="16"/>
        <v>4.3000000000000007</v>
      </c>
      <c r="AY45">
        <f t="shared" si="16"/>
        <v>4.3000000000000007</v>
      </c>
      <c r="AZ45">
        <f t="shared" si="16"/>
        <v>4.3000000000000007</v>
      </c>
      <c r="BA45" s="6"/>
    </row>
    <row r="46" spans="1:53" x14ac:dyDescent="0.2">
      <c r="A46">
        <f t="shared" si="6"/>
        <v>19</v>
      </c>
      <c r="B46" s="3">
        <f t="shared" si="0"/>
        <v>38</v>
      </c>
      <c r="C46">
        <f t="shared" ref="C46:M55" si="17">0.25*(sigma^2*$A46^2+(rate-d)*$A46)</f>
        <v>3.8950000000000009</v>
      </c>
      <c r="D46">
        <f t="shared" si="17"/>
        <v>3.8950000000000009</v>
      </c>
      <c r="E46">
        <f t="shared" si="17"/>
        <v>3.8950000000000009</v>
      </c>
      <c r="F46">
        <f t="shared" si="17"/>
        <v>3.8950000000000009</v>
      </c>
      <c r="G46">
        <f t="shared" si="17"/>
        <v>3.8950000000000009</v>
      </c>
      <c r="H46">
        <f t="shared" si="17"/>
        <v>3.8950000000000009</v>
      </c>
      <c r="I46">
        <f t="shared" si="17"/>
        <v>3.8950000000000009</v>
      </c>
      <c r="J46">
        <f t="shared" si="17"/>
        <v>3.8950000000000009</v>
      </c>
      <c r="K46">
        <f t="shared" si="17"/>
        <v>3.8950000000000009</v>
      </c>
      <c r="L46">
        <f t="shared" si="17"/>
        <v>3.8950000000000009</v>
      </c>
      <c r="M46">
        <f t="shared" si="17"/>
        <v>3.8950000000000009</v>
      </c>
      <c r="N46">
        <f t="shared" ref="N46:W55" si="18">0.25*(sigma^2*$A46^2+(rate-d)*$A46)</f>
        <v>3.8950000000000009</v>
      </c>
      <c r="O46">
        <f t="shared" si="18"/>
        <v>3.8950000000000009</v>
      </c>
      <c r="P46">
        <f t="shared" si="18"/>
        <v>3.8950000000000009</v>
      </c>
      <c r="Q46">
        <f t="shared" si="18"/>
        <v>3.8950000000000009</v>
      </c>
      <c r="R46">
        <f t="shared" si="18"/>
        <v>3.8950000000000009</v>
      </c>
      <c r="S46">
        <f t="shared" si="18"/>
        <v>3.8950000000000009</v>
      </c>
      <c r="T46">
        <f t="shared" si="18"/>
        <v>3.8950000000000009</v>
      </c>
      <c r="U46">
        <f t="shared" si="18"/>
        <v>3.8950000000000009</v>
      </c>
      <c r="V46">
        <f t="shared" si="18"/>
        <v>3.8950000000000009</v>
      </c>
      <c r="W46">
        <f t="shared" si="18"/>
        <v>3.8950000000000009</v>
      </c>
      <c r="X46">
        <f t="shared" ref="X46:AG55" si="19">0.25*(sigma^2*$A46^2+(rate-d)*$A46)</f>
        <v>3.8950000000000009</v>
      </c>
      <c r="Y46">
        <f t="shared" si="19"/>
        <v>3.8950000000000009</v>
      </c>
      <c r="Z46">
        <f t="shared" si="19"/>
        <v>3.8950000000000009</v>
      </c>
      <c r="AA46">
        <f t="shared" si="19"/>
        <v>3.8950000000000009</v>
      </c>
      <c r="AB46">
        <f t="shared" si="19"/>
        <v>3.8950000000000009</v>
      </c>
      <c r="AC46">
        <f t="shared" si="19"/>
        <v>3.8950000000000009</v>
      </c>
      <c r="AD46">
        <f t="shared" si="19"/>
        <v>3.8950000000000009</v>
      </c>
      <c r="AE46">
        <f t="shared" si="19"/>
        <v>3.8950000000000009</v>
      </c>
      <c r="AF46">
        <f t="shared" si="19"/>
        <v>3.8950000000000009</v>
      </c>
      <c r="AG46">
        <f t="shared" si="19"/>
        <v>3.8950000000000009</v>
      </c>
      <c r="AH46">
        <f t="shared" ref="AH46:AQ55" si="20">0.25*(sigma^2*$A46^2+(rate-d)*$A46)</f>
        <v>3.8950000000000009</v>
      </c>
      <c r="AI46">
        <f t="shared" si="20"/>
        <v>3.8950000000000009</v>
      </c>
      <c r="AJ46">
        <f t="shared" si="20"/>
        <v>3.8950000000000009</v>
      </c>
      <c r="AK46">
        <f t="shared" si="20"/>
        <v>3.8950000000000009</v>
      </c>
      <c r="AL46">
        <f t="shared" si="20"/>
        <v>3.8950000000000009</v>
      </c>
      <c r="AM46">
        <f t="shared" si="20"/>
        <v>3.8950000000000009</v>
      </c>
      <c r="AN46">
        <f t="shared" si="20"/>
        <v>3.8950000000000009</v>
      </c>
      <c r="AO46">
        <f t="shared" si="20"/>
        <v>3.8950000000000009</v>
      </c>
      <c r="AP46">
        <f t="shared" si="20"/>
        <v>3.8950000000000009</v>
      </c>
      <c r="AQ46">
        <f t="shared" si="20"/>
        <v>3.8950000000000009</v>
      </c>
      <c r="AR46">
        <f t="shared" ref="AR46:AZ55" si="21">0.25*(sigma^2*$A46^2+(rate-d)*$A46)</f>
        <v>3.8950000000000009</v>
      </c>
      <c r="AS46">
        <f t="shared" si="21"/>
        <v>3.8950000000000009</v>
      </c>
      <c r="AT46">
        <f t="shared" si="21"/>
        <v>3.8950000000000009</v>
      </c>
      <c r="AU46">
        <f t="shared" si="21"/>
        <v>3.8950000000000009</v>
      </c>
      <c r="AV46">
        <f t="shared" si="21"/>
        <v>3.8950000000000009</v>
      </c>
      <c r="AW46">
        <f t="shared" si="21"/>
        <v>3.8950000000000009</v>
      </c>
      <c r="AX46">
        <f t="shared" si="21"/>
        <v>3.8950000000000009</v>
      </c>
      <c r="AY46">
        <f t="shared" si="21"/>
        <v>3.8950000000000009</v>
      </c>
      <c r="AZ46">
        <f t="shared" si="21"/>
        <v>3.8950000000000009</v>
      </c>
      <c r="BA46" s="6"/>
    </row>
    <row r="47" spans="1:53" x14ac:dyDescent="0.2">
      <c r="A47">
        <f t="shared" si="6"/>
        <v>18</v>
      </c>
      <c r="B47" s="3">
        <f t="shared" ref="B47:B65" si="22">Smin+dS*A47</f>
        <v>36</v>
      </c>
      <c r="C47">
        <f t="shared" si="17"/>
        <v>3.5100000000000007</v>
      </c>
      <c r="D47">
        <f t="shared" si="17"/>
        <v>3.5100000000000007</v>
      </c>
      <c r="E47">
        <f t="shared" si="17"/>
        <v>3.5100000000000007</v>
      </c>
      <c r="F47">
        <f t="shared" si="17"/>
        <v>3.5100000000000007</v>
      </c>
      <c r="G47">
        <f t="shared" si="17"/>
        <v>3.5100000000000007</v>
      </c>
      <c r="H47">
        <f t="shared" si="17"/>
        <v>3.5100000000000007</v>
      </c>
      <c r="I47">
        <f t="shared" si="17"/>
        <v>3.5100000000000007</v>
      </c>
      <c r="J47">
        <f t="shared" si="17"/>
        <v>3.5100000000000007</v>
      </c>
      <c r="K47">
        <f t="shared" si="17"/>
        <v>3.5100000000000007</v>
      </c>
      <c r="L47">
        <f t="shared" si="17"/>
        <v>3.5100000000000007</v>
      </c>
      <c r="M47">
        <f t="shared" si="17"/>
        <v>3.5100000000000007</v>
      </c>
      <c r="N47">
        <f t="shared" si="18"/>
        <v>3.5100000000000007</v>
      </c>
      <c r="O47">
        <f t="shared" si="18"/>
        <v>3.5100000000000007</v>
      </c>
      <c r="P47">
        <f t="shared" si="18"/>
        <v>3.5100000000000007</v>
      </c>
      <c r="Q47">
        <f t="shared" si="18"/>
        <v>3.5100000000000007</v>
      </c>
      <c r="R47">
        <f t="shared" si="18"/>
        <v>3.5100000000000007</v>
      </c>
      <c r="S47">
        <f t="shared" si="18"/>
        <v>3.5100000000000007</v>
      </c>
      <c r="T47">
        <f t="shared" si="18"/>
        <v>3.5100000000000007</v>
      </c>
      <c r="U47">
        <f t="shared" si="18"/>
        <v>3.5100000000000007</v>
      </c>
      <c r="V47">
        <f t="shared" si="18"/>
        <v>3.5100000000000007</v>
      </c>
      <c r="W47">
        <f t="shared" si="18"/>
        <v>3.5100000000000007</v>
      </c>
      <c r="X47">
        <f t="shared" si="19"/>
        <v>3.5100000000000007</v>
      </c>
      <c r="Y47">
        <f t="shared" si="19"/>
        <v>3.5100000000000007</v>
      </c>
      <c r="Z47">
        <f t="shared" si="19"/>
        <v>3.5100000000000007</v>
      </c>
      <c r="AA47">
        <f t="shared" si="19"/>
        <v>3.5100000000000007</v>
      </c>
      <c r="AB47">
        <f t="shared" si="19"/>
        <v>3.5100000000000007</v>
      </c>
      <c r="AC47">
        <f t="shared" si="19"/>
        <v>3.5100000000000007</v>
      </c>
      <c r="AD47">
        <f t="shared" si="19"/>
        <v>3.5100000000000007</v>
      </c>
      <c r="AE47">
        <f t="shared" si="19"/>
        <v>3.5100000000000007</v>
      </c>
      <c r="AF47">
        <f t="shared" si="19"/>
        <v>3.5100000000000007</v>
      </c>
      <c r="AG47">
        <f t="shared" si="19"/>
        <v>3.5100000000000007</v>
      </c>
      <c r="AH47">
        <f t="shared" si="20"/>
        <v>3.5100000000000007</v>
      </c>
      <c r="AI47">
        <f t="shared" si="20"/>
        <v>3.5100000000000007</v>
      </c>
      <c r="AJ47">
        <f t="shared" si="20"/>
        <v>3.5100000000000007</v>
      </c>
      <c r="AK47">
        <f t="shared" si="20"/>
        <v>3.5100000000000007</v>
      </c>
      <c r="AL47">
        <f t="shared" si="20"/>
        <v>3.5100000000000007</v>
      </c>
      <c r="AM47">
        <f t="shared" si="20"/>
        <v>3.5100000000000007</v>
      </c>
      <c r="AN47">
        <f t="shared" si="20"/>
        <v>3.5100000000000007</v>
      </c>
      <c r="AO47">
        <f t="shared" si="20"/>
        <v>3.5100000000000007</v>
      </c>
      <c r="AP47">
        <f t="shared" si="20"/>
        <v>3.5100000000000007</v>
      </c>
      <c r="AQ47">
        <f t="shared" si="20"/>
        <v>3.5100000000000007</v>
      </c>
      <c r="AR47">
        <f t="shared" si="21"/>
        <v>3.5100000000000007</v>
      </c>
      <c r="AS47">
        <f t="shared" si="21"/>
        <v>3.5100000000000007</v>
      </c>
      <c r="AT47">
        <f t="shared" si="21"/>
        <v>3.5100000000000007</v>
      </c>
      <c r="AU47">
        <f t="shared" si="21"/>
        <v>3.5100000000000007</v>
      </c>
      <c r="AV47">
        <f t="shared" si="21"/>
        <v>3.5100000000000007</v>
      </c>
      <c r="AW47">
        <f t="shared" si="21"/>
        <v>3.5100000000000007</v>
      </c>
      <c r="AX47">
        <f t="shared" si="21"/>
        <v>3.5100000000000007</v>
      </c>
      <c r="AY47">
        <f t="shared" si="21"/>
        <v>3.5100000000000007</v>
      </c>
      <c r="AZ47">
        <f t="shared" si="21"/>
        <v>3.5100000000000007</v>
      </c>
      <c r="BA47" s="6"/>
    </row>
    <row r="48" spans="1:53" x14ac:dyDescent="0.2">
      <c r="A48">
        <f t="shared" si="6"/>
        <v>17</v>
      </c>
      <c r="B48" s="3">
        <f t="shared" si="22"/>
        <v>34</v>
      </c>
      <c r="C48">
        <f t="shared" si="17"/>
        <v>3.1450000000000005</v>
      </c>
      <c r="D48">
        <f t="shared" si="17"/>
        <v>3.1450000000000005</v>
      </c>
      <c r="E48">
        <f t="shared" si="17"/>
        <v>3.1450000000000005</v>
      </c>
      <c r="F48">
        <f t="shared" si="17"/>
        <v>3.1450000000000005</v>
      </c>
      <c r="G48">
        <f t="shared" si="17"/>
        <v>3.1450000000000005</v>
      </c>
      <c r="H48">
        <f t="shared" si="17"/>
        <v>3.1450000000000005</v>
      </c>
      <c r="I48">
        <f t="shared" si="17"/>
        <v>3.1450000000000005</v>
      </c>
      <c r="J48">
        <f t="shared" si="17"/>
        <v>3.1450000000000005</v>
      </c>
      <c r="K48">
        <f t="shared" si="17"/>
        <v>3.1450000000000005</v>
      </c>
      <c r="L48">
        <f t="shared" si="17"/>
        <v>3.1450000000000005</v>
      </c>
      <c r="M48">
        <f t="shared" si="17"/>
        <v>3.1450000000000005</v>
      </c>
      <c r="N48">
        <f t="shared" si="18"/>
        <v>3.1450000000000005</v>
      </c>
      <c r="O48">
        <f t="shared" si="18"/>
        <v>3.1450000000000005</v>
      </c>
      <c r="P48">
        <f t="shared" si="18"/>
        <v>3.1450000000000005</v>
      </c>
      <c r="Q48">
        <f t="shared" si="18"/>
        <v>3.1450000000000005</v>
      </c>
      <c r="R48">
        <f t="shared" si="18"/>
        <v>3.1450000000000005</v>
      </c>
      <c r="S48">
        <f t="shared" si="18"/>
        <v>3.1450000000000005</v>
      </c>
      <c r="T48">
        <f t="shared" si="18"/>
        <v>3.1450000000000005</v>
      </c>
      <c r="U48">
        <f t="shared" si="18"/>
        <v>3.1450000000000005</v>
      </c>
      <c r="V48">
        <f t="shared" si="18"/>
        <v>3.1450000000000005</v>
      </c>
      <c r="W48">
        <f t="shared" si="18"/>
        <v>3.1450000000000005</v>
      </c>
      <c r="X48">
        <f t="shared" si="19"/>
        <v>3.1450000000000005</v>
      </c>
      <c r="Y48">
        <f t="shared" si="19"/>
        <v>3.1450000000000005</v>
      </c>
      <c r="Z48">
        <f t="shared" si="19"/>
        <v>3.1450000000000005</v>
      </c>
      <c r="AA48">
        <f t="shared" si="19"/>
        <v>3.1450000000000005</v>
      </c>
      <c r="AB48">
        <f t="shared" si="19"/>
        <v>3.1450000000000005</v>
      </c>
      <c r="AC48">
        <f t="shared" si="19"/>
        <v>3.1450000000000005</v>
      </c>
      <c r="AD48">
        <f t="shared" si="19"/>
        <v>3.1450000000000005</v>
      </c>
      <c r="AE48">
        <f t="shared" si="19"/>
        <v>3.1450000000000005</v>
      </c>
      <c r="AF48">
        <f t="shared" si="19"/>
        <v>3.1450000000000005</v>
      </c>
      <c r="AG48">
        <f t="shared" si="19"/>
        <v>3.1450000000000005</v>
      </c>
      <c r="AH48">
        <f t="shared" si="20"/>
        <v>3.1450000000000005</v>
      </c>
      <c r="AI48">
        <f t="shared" si="20"/>
        <v>3.1450000000000005</v>
      </c>
      <c r="AJ48">
        <f t="shared" si="20"/>
        <v>3.1450000000000005</v>
      </c>
      <c r="AK48">
        <f t="shared" si="20"/>
        <v>3.1450000000000005</v>
      </c>
      <c r="AL48">
        <f t="shared" si="20"/>
        <v>3.1450000000000005</v>
      </c>
      <c r="AM48">
        <f t="shared" si="20"/>
        <v>3.1450000000000005</v>
      </c>
      <c r="AN48">
        <f t="shared" si="20"/>
        <v>3.1450000000000005</v>
      </c>
      <c r="AO48">
        <f t="shared" si="20"/>
        <v>3.1450000000000005</v>
      </c>
      <c r="AP48">
        <f t="shared" si="20"/>
        <v>3.1450000000000005</v>
      </c>
      <c r="AQ48">
        <f t="shared" si="20"/>
        <v>3.1450000000000005</v>
      </c>
      <c r="AR48">
        <f t="shared" si="21"/>
        <v>3.1450000000000005</v>
      </c>
      <c r="AS48">
        <f t="shared" si="21"/>
        <v>3.1450000000000005</v>
      </c>
      <c r="AT48">
        <f t="shared" si="21"/>
        <v>3.1450000000000005</v>
      </c>
      <c r="AU48">
        <f t="shared" si="21"/>
        <v>3.1450000000000005</v>
      </c>
      <c r="AV48">
        <f t="shared" si="21"/>
        <v>3.1450000000000005</v>
      </c>
      <c r="AW48">
        <f t="shared" si="21"/>
        <v>3.1450000000000005</v>
      </c>
      <c r="AX48">
        <f t="shared" si="21"/>
        <v>3.1450000000000005</v>
      </c>
      <c r="AY48">
        <f t="shared" si="21"/>
        <v>3.1450000000000005</v>
      </c>
      <c r="AZ48">
        <f t="shared" si="21"/>
        <v>3.1450000000000005</v>
      </c>
      <c r="BA48" s="6"/>
    </row>
    <row r="49" spans="1:53" x14ac:dyDescent="0.2">
      <c r="A49">
        <f t="shared" si="6"/>
        <v>16</v>
      </c>
      <c r="B49" s="3">
        <f t="shared" si="22"/>
        <v>32</v>
      </c>
      <c r="C49">
        <f t="shared" si="17"/>
        <v>2.8000000000000007</v>
      </c>
      <c r="D49">
        <f t="shared" si="17"/>
        <v>2.8000000000000007</v>
      </c>
      <c r="E49">
        <f t="shared" si="17"/>
        <v>2.8000000000000007</v>
      </c>
      <c r="F49">
        <f t="shared" si="17"/>
        <v>2.8000000000000007</v>
      </c>
      <c r="G49">
        <f t="shared" si="17"/>
        <v>2.8000000000000007</v>
      </c>
      <c r="H49">
        <f t="shared" si="17"/>
        <v>2.8000000000000007</v>
      </c>
      <c r="I49">
        <f t="shared" si="17"/>
        <v>2.8000000000000007</v>
      </c>
      <c r="J49">
        <f t="shared" si="17"/>
        <v>2.8000000000000007</v>
      </c>
      <c r="K49">
        <f t="shared" si="17"/>
        <v>2.8000000000000007</v>
      </c>
      <c r="L49">
        <f t="shared" si="17"/>
        <v>2.8000000000000007</v>
      </c>
      <c r="M49">
        <f t="shared" si="17"/>
        <v>2.8000000000000007</v>
      </c>
      <c r="N49">
        <f t="shared" si="18"/>
        <v>2.8000000000000007</v>
      </c>
      <c r="O49">
        <f t="shared" si="18"/>
        <v>2.8000000000000007</v>
      </c>
      <c r="P49">
        <f t="shared" si="18"/>
        <v>2.8000000000000007</v>
      </c>
      <c r="Q49">
        <f t="shared" si="18"/>
        <v>2.8000000000000007</v>
      </c>
      <c r="R49">
        <f t="shared" si="18"/>
        <v>2.8000000000000007</v>
      </c>
      <c r="S49">
        <f t="shared" si="18"/>
        <v>2.8000000000000007</v>
      </c>
      <c r="T49">
        <f t="shared" si="18"/>
        <v>2.8000000000000007</v>
      </c>
      <c r="U49">
        <f t="shared" si="18"/>
        <v>2.8000000000000007</v>
      </c>
      <c r="V49">
        <f t="shared" si="18"/>
        <v>2.8000000000000007</v>
      </c>
      <c r="W49">
        <f t="shared" si="18"/>
        <v>2.8000000000000007</v>
      </c>
      <c r="X49">
        <f t="shared" si="19"/>
        <v>2.8000000000000007</v>
      </c>
      <c r="Y49">
        <f t="shared" si="19"/>
        <v>2.8000000000000007</v>
      </c>
      <c r="Z49">
        <f t="shared" si="19"/>
        <v>2.8000000000000007</v>
      </c>
      <c r="AA49">
        <f t="shared" si="19"/>
        <v>2.8000000000000007</v>
      </c>
      <c r="AB49">
        <f t="shared" si="19"/>
        <v>2.8000000000000007</v>
      </c>
      <c r="AC49">
        <f t="shared" si="19"/>
        <v>2.8000000000000007</v>
      </c>
      <c r="AD49">
        <f t="shared" si="19"/>
        <v>2.8000000000000007</v>
      </c>
      <c r="AE49">
        <f t="shared" si="19"/>
        <v>2.8000000000000007</v>
      </c>
      <c r="AF49">
        <f t="shared" si="19"/>
        <v>2.8000000000000007</v>
      </c>
      <c r="AG49">
        <f t="shared" si="19"/>
        <v>2.8000000000000007</v>
      </c>
      <c r="AH49">
        <f t="shared" si="20"/>
        <v>2.8000000000000007</v>
      </c>
      <c r="AI49">
        <f t="shared" si="20"/>
        <v>2.8000000000000007</v>
      </c>
      <c r="AJ49">
        <f t="shared" si="20"/>
        <v>2.8000000000000007</v>
      </c>
      <c r="AK49">
        <f t="shared" si="20"/>
        <v>2.8000000000000007</v>
      </c>
      <c r="AL49">
        <f t="shared" si="20"/>
        <v>2.8000000000000007</v>
      </c>
      <c r="AM49">
        <f t="shared" si="20"/>
        <v>2.8000000000000007</v>
      </c>
      <c r="AN49">
        <f t="shared" si="20"/>
        <v>2.8000000000000007</v>
      </c>
      <c r="AO49">
        <f t="shared" si="20"/>
        <v>2.8000000000000007</v>
      </c>
      <c r="AP49">
        <f t="shared" si="20"/>
        <v>2.8000000000000007</v>
      </c>
      <c r="AQ49">
        <f t="shared" si="20"/>
        <v>2.8000000000000007</v>
      </c>
      <c r="AR49">
        <f t="shared" si="21"/>
        <v>2.8000000000000007</v>
      </c>
      <c r="AS49">
        <f t="shared" si="21"/>
        <v>2.8000000000000007</v>
      </c>
      <c r="AT49">
        <f t="shared" si="21"/>
        <v>2.8000000000000007</v>
      </c>
      <c r="AU49">
        <f t="shared" si="21"/>
        <v>2.8000000000000007</v>
      </c>
      <c r="AV49">
        <f t="shared" si="21"/>
        <v>2.8000000000000007</v>
      </c>
      <c r="AW49">
        <f t="shared" si="21"/>
        <v>2.8000000000000007</v>
      </c>
      <c r="AX49">
        <f t="shared" si="21"/>
        <v>2.8000000000000007</v>
      </c>
      <c r="AY49">
        <f t="shared" si="21"/>
        <v>2.8000000000000007</v>
      </c>
      <c r="AZ49">
        <f t="shared" si="21"/>
        <v>2.8000000000000007</v>
      </c>
      <c r="BA49" s="6"/>
    </row>
    <row r="50" spans="1:53" x14ac:dyDescent="0.2">
      <c r="A50">
        <f t="shared" si="6"/>
        <v>15</v>
      </c>
      <c r="B50" s="3">
        <f t="shared" si="22"/>
        <v>30</v>
      </c>
      <c r="C50">
        <f t="shared" si="17"/>
        <v>2.4750000000000005</v>
      </c>
      <c r="D50">
        <f t="shared" si="17"/>
        <v>2.4750000000000005</v>
      </c>
      <c r="E50">
        <f t="shared" si="17"/>
        <v>2.4750000000000005</v>
      </c>
      <c r="F50">
        <f t="shared" si="17"/>
        <v>2.4750000000000005</v>
      </c>
      <c r="G50">
        <f t="shared" si="17"/>
        <v>2.4750000000000005</v>
      </c>
      <c r="H50">
        <f t="shared" si="17"/>
        <v>2.4750000000000005</v>
      </c>
      <c r="I50">
        <f t="shared" si="17"/>
        <v>2.4750000000000005</v>
      </c>
      <c r="J50">
        <f t="shared" si="17"/>
        <v>2.4750000000000005</v>
      </c>
      <c r="K50">
        <f t="shared" si="17"/>
        <v>2.4750000000000005</v>
      </c>
      <c r="L50">
        <f t="shared" si="17"/>
        <v>2.4750000000000005</v>
      </c>
      <c r="M50">
        <f t="shared" si="17"/>
        <v>2.4750000000000005</v>
      </c>
      <c r="N50">
        <f t="shared" si="18"/>
        <v>2.4750000000000005</v>
      </c>
      <c r="O50">
        <f t="shared" si="18"/>
        <v>2.4750000000000005</v>
      </c>
      <c r="P50">
        <f t="shared" si="18"/>
        <v>2.4750000000000005</v>
      </c>
      <c r="Q50">
        <f t="shared" si="18"/>
        <v>2.4750000000000005</v>
      </c>
      <c r="R50">
        <f t="shared" si="18"/>
        <v>2.4750000000000005</v>
      </c>
      <c r="S50">
        <f t="shared" si="18"/>
        <v>2.4750000000000005</v>
      </c>
      <c r="T50">
        <f t="shared" si="18"/>
        <v>2.4750000000000005</v>
      </c>
      <c r="U50">
        <f t="shared" si="18"/>
        <v>2.4750000000000005</v>
      </c>
      <c r="V50">
        <f t="shared" si="18"/>
        <v>2.4750000000000005</v>
      </c>
      <c r="W50">
        <f t="shared" si="18"/>
        <v>2.4750000000000005</v>
      </c>
      <c r="X50">
        <f t="shared" si="19"/>
        <v>2.4750000000000005</v>
      </c>
      <c r="Y50">
        <f t="shared" si="19"/>
        <v>2.4750000000000005</v>
      </c>
      <c r="Z50">
        <f t="shared" si="19"/>
        <v>2.4750000000000005</v>
      </c>
      <c r="AA50">
        <f t="shared" si="19"/>
        <v>2.4750000000000005</v>
      </c>
      <c r="AB50">
        <f t="shared" si="19"/>
        <v>2.4750000000000005</v>
      </c>
      <c r="AC50">
        <f t="shared" si="19"/>
        <v>2.4750000000000005</v>
      </c>
      <c r="AD50">
        <f t="shared" si="19"/>
        <v>2.4750000000000005</v>
      </c>
      <c r="AE50">
        <f t="shared" si="19"/>
        <v>2.4750000000000005</v>
      </c>
      <c r="AF50">
        <f t="shared" si="19"/>
        <v>2.4750000000000005</v>
      </c>
      <c r="AG50">
        <f t="shared" si="19"/>
        <v>2.4750000000000005</v>
      </c>
      <c r="AH50">
        <f t="shared" si="20"/>
        <v>2.4750000000000005</v>
      </c>
      <c r="AI50">
        <f t="shared" si="20"/>
        <v>2.4750000000000005</v>
      </c>
      <c r="AJ50">
        <f t="shared" si="20"/>
        <v>2.4750000000000005</v>
      </c>
      <c r="AK50">
        <f t="shared" si="20"/>
        <v>2.4750000000000005</v>
      </c>
      <c r="AL50">
        <f t="shared" si="20"/>
        <v>2.4750000000000005</v>
      </c>
      <c r="AM50">
        <f t="shared" si="20"/>
        <v>2.4750000000000005</v>
      </c>
      <c r="AN50">
        <f t="shared" si="20"/>
        <v>2.4750000000000005</v>
      </c>
      <c r="AO50">
        <f t="shared" si="20"/>
        <v>2.4750000000000005</v>
      </c>
      <c r="AP50">
        <f t="shared" si="20"/>
        <v>2.4750000000000005</v>
      </c>
      <c r="AQ50">
        <f t="shared" si="20"/>
        <v>2.4750000000000005</v>
      </c>
      <c r="AR50">
        <f t="shared" si="21"/>
        <v>2.4750000000000005</v>
      </c>
      <c r="AS50">
        <f t="shared" si="21"/>
        <v>2.4750000000000005</v>
      </c>
      <c r="AT50">
        <f t="shared" si="21"/>
        <v>2.4750000000000005</v>
      </c>
      <c r="AU50">
        <f t="shared" si="21"/>
        <v>2.4750000000000005</v>
      </c>
      <c r="AV50">
        <f t="shared" si="21"/>
        <v>2.4750000000000005</v>
      </c>
      <c r="AW50">
        <f t="shared" si="21"/>
        <v>2.4750000000000005</v>
      </c>
      <c r="AX50">
        <f t="shared" si="21"/>
        <v>2.4750000000000005</v>
      </c>
      <c r="AY50">
        <f t="shared" si="21"/>
        <v>2.4750000000000005</v>
      </c>
      <c r="AZ50">
        <f t="shared" si="21"/>
        <v>2.4750000000000005</v>
      </c>
      <c r="BA50" s="6"/>
    </row>
    <row r="51" spans="1:53" x14ac:dyDescent="0.2">
      <c r="A51">
        <f t="shared" si="6"/>
        <v>14</v>
      </c>
      <c r="B51" s="3">
        <f t="shared" si="22"/>
        <v>28</v>
      </c>
      <c r="C51">
        <f t="shared" si="17"/>
        <v>2.1700000000000004</v>
      </c>
      <c r="D51">
        <f t="shared" si="17"/>
        <v>2.1700000000000004</v>
      </c>
      <c r="E51">
        <f t="shared" si="17"/>
        <v>2.1700000000000004</v>
      </c>
      <c r="F51">
        <f t="shared" si="17"/>
        <v>2.1700000000000004</v>
      </c>
      <c r="G51">
        <f t="shared" si="17"/>
        <v>2.1700000000000004</v>
      </c>
      <c r="H51">
        <f t="shared" si="17"/>
        <v>2.1700000000000004</v>
      </c>
      <c r="I51">
        <f t="shared" si="17"/>
        <v>2.1700000000000004</v>
      </c>
      <c r="J51">
        <f t="shared" si="17"/>
        <v>2.1700000000000004</v>
      </c>
      <c r="K51">
        <f t="shared" si="17"/>
        <v>2.1700000000000004</v>
      </c>
      <c r="L51">
        <f t="shared" si="17"/>
        <v>2.1700000000000004</v>
      </c>
      <c r="M51">
        <f t="shared" si="17"/>
        <v>2.1700000000000004</v>
      </c>
      <c r="N51">
        <f t="shared" si="18"/>
        <v>2.1700000000000004</v>
      </c>
      <c r="O51">
        <f t="shared" si="18"/>
        <v>2.1700000000000004</v>
      </c>
      <c r="P51">
        <f t="shared" si="18"/>
        <v>2.1700000000000004</v>
      </c>
      <c r="Q51">
        <f t="shared" si="18"/>
        <v>2.1700000000000004</v>
      </c>
      <c r="R51">
        <f t="shared" si="18"/>
        <v>2.1700000000000004</v>
      </c>
      <c r="S51">
        <f t="shared" si="18"/>
        <v>2.1700000000000004</v>
      </c>
      <c r="T51">
        <f t="shared" si="18"/>
        <v>2.1700000000000004</v>
      </c>
      <c r="U51">
        <f t="shared" si="18"/>
        <v>2.1700000000000004</v>
      </c>
      <c r="V51">
        <f t="shared" si="18"/>
        <v>2.1700000000000004</v>
      </c>
      <c r="W51">
        <f t="shared" si="18"/>
        <v>2.1700000000000004</v>
      </c>
      <c r="X51">
        <f t="shared" si="19"/>
        <v>2.1700000000000004</v>
      </c>
      <c r="Y51">
        <f t="shared" si="19"/>
        <v>2.1700000000000004</v>
      </c>
      <c r="Z51">
        <f t="shared" si="19"/>
        <v>2.1700000000000004</v>
      </c>
      <c r="AA51">
        <f t="shared" si="19"/>
        <v>2.1700000000000004</v>
      </c>
      <c r="AB51">
        <f t="shared" si="19"/>
        <v>2.1700000000000004</v>
      </c>
      <c r="AC51">
        <f t="shared" si="19"/>
        <v>2.1700000000000004</v>
      </c>
      <c r="AD51">
        <f t="shared" si="19"/>
        <v>2.1700000000000004</v>
      </c>
      <c r="AE51">
        <f t="shared" si="19"/>
        <v>2.1700000000000004</v>
      </c>
      <c r="AF51">
        <f t="shared" si="19"/>
        <v>2.1700000000000004</v>
      </c>
      <c r="AG51">
        <f t="shared" si="19"/>
        <v>2.1700000000000004</v>
      </c>
      <c r="AH51">
        <f t="shared" si="20"/>
        <v>2.1700000000000004</v>
      </c>
      <c r="AI51">
        <f t="shared" si="20"/>
        <v>2.1700000000000004</v>
      </c>
      <c r="AJ51">
        <f t="shared" si="20"/>
        <v>2.1700000000000004</v>
      </c>
      <c r="AK51">
        <f t="shared" si="20"/>
        <v>2.1700000000000004</v>
      </c>
      <c r="AL51">
        <f t="shared" si="20"/>
        <v>2.1700000000000004</v>
      </c>
      <c r="AM51">
        <f t="shared" si="20"/>
        <v>2.1700000000000004</v>
      </c>
      <c r="AN51">
        <f t="shared" si="20"/>
        <v>2.1700000000000004</v>
      </c>
      <c r="AO51">
        <f t="shared" si="20"/>
        <v>2.1700000000000004</v>
      </c>
      <c r="AP51">
        <f t="shared" si="20"/>
        <v>2.1700000000000004</v>
      </c>
      <c r="AQ51">
        <f t="shared" si="20"/>
        <v>2.1700000000000004</v>
      </c>
      <c r="AR51">
        <f t="shared" si="21"/>
        <v>2.1700000000000004</v>
      </c>
      <c r="AS51">
        <f t="shared" si="21"/>
        <v>2.1700000000000004</v>
      </c>
      <c r="AT51">
        <f t="shared" si="21"/>
        <v>2.1700000000000004</v>
      </c>
      <c r="AU51">
        <f t="shared" si="21"/>
        <v>2.1700000000000004</v>
      </c>
      <c r="AV51">
        <f t="shared" si="21"/>
        <v>2.1700000000000004</v>
      </c>
      <c r="AW51">
        <f t="shared" si="21"/>
        <v>2.1700000000000004</v>
      </c>
      <c r="AX51">
        <f t="shared" si="21"/>
        <v>2.1700000000000004</v>
      </c>
      <c r="AY51">
        <f t="shared" si="21"/>
        <v>2.1700000000000004</v>
      </c>
      <c r="AZ51">
        <f t="shared" si="21"/>
        <v>2.1700000000000004</v>
      </c>
      <c r="BA51" s="6"/>
    </row>
    <row r="52" spans="1:53" x14ac:dyDescent="0.2">
      <c r="A52">
        <f t="shared" si="6"/>
        <v>13</v>
      </c>
      <c r="B52" s="3">
        <f t="shared" si="22"/>
        <v>26</v>
      </c>
      <c r="C52">
        <f t="shared" si="17"/>
        <v>1.8850000000000005</v>
      </c>
      <c r="D52">
        <f t="shared" si="17"/>
        <v>1.8850000000000005</v>
      </c>
      <c r="E52">
        <f t="shared" si="17"/>
        <v>1.8850000000000005</v>
      </c>
      <c r="F52">
        <f t="shared" si="17"/>
        <v>1.8850000000000005</v>
      </c>
      <c r="G52">
        <f t="shared" si="17"/>
        <v>1.8850000000000005</v>
      </c>
      <c r="H52">
        <f t="shared" si="17"/>
        <v>1.8850000000000005</v>
      </c>
      <c r="I52">
        <f t="shared" si="17"/>
        <v>1.8850000000000005</v>
      </c>
      <c r="J52">
        <f t="shared" si="17"/>
        <v>1.8850000000000005</v>
      </c>
      <c r="K52">
        <f t="shared" si="17"/>
        <v>1.8850000000000005</v>
      </c>
      <c r="L52">
        <f t="shared" si="17"/>
        <v>1.8850000000000005</v>
      </c>
      <c r="M52">
        <f t="shared" si="17"/>
        <v>1.8850000000000005</v>
      </c>
      <c r="N52">
        <f t="shared" si="18"/>
        <v>1.8850000000000005</v>
      </c>
      <c r="O52">
        <f t="shared" si="18"/>
        <v>1.8850000000000005</v>
      </c>
      <c r="P52">
        <f t="shared" si="18"/>
        <v>1.8850000000000005</v>
      </c>
      <c r="Q52">
        <f t="shared" si="18"/>
        <v>1.8850000000000005</v>
      </c>
      <c r="R52">
        <f t="shared" si="18"/>
        <v>1.8850000000000005</v>
      </c>
      <c r="S52">
        <f t="shared" si="18"/>
        <v>1.8850000000000005</v>
      </c>
      <c r="T52">
        <f t="shared" si="18"/>
        <v>1.8850000000000005</v>
      </c>
      <c r="U52">
        <f t="shared" si="18"/>
        <v>1.8850000000000005</v>
      </c>
      <c r="V52">
        <f t="shared" si="18"/>
        <v>1.8850000000000005</v>
      </c>
      <c r="W52">
        <f t="shared" si="18"/>
        <v>1.8850000000000005</v>
      </c>
      <c r="X52">
        <f t="shared" si="19"/>
        <v>1.8850000000000005</v>
      </c>
      <c r="Y52">
        <f t="shared" si="19"/>
        <v>1.8850000000000005</v>
      </c>
      <c r="Z52">
        <f t="shared" si="19"/>
        <v>1.8850000000000005</v>
      </c>
      <c r="AA52">
        <f t="shared" si="19"/>
        <v>1.8850000000000005</v>
      </c>
      <c r="AB52">
        <f t="shared" si="19"/>
        <v>1.8850000000000005</v>
      </c>
      <c r="AC52">
        <f t="shared" si="19"/>
        <v>1.8850000000000005</v>
      </c>
      <c r="AD52">
        <f t="shared" si="19"/>
        <v>1.8850000000000005</v>
      </c>
      <c r="AE52">
        <f t="shared" si="19"/>
        <v>1.8850000000000005</v>
      </c>
      <c r="AF52">
        <f t="shared" si="19"/>
        <v>1.8850000000000005</v>
      </c>
      <c r="AG52">
        <f t="shared" si="19"/>
        <v>1.8850000000000005</v>
      </c>
      <c r="AH52">
        <f t="shared" si="20"/>
        <v>1.8850000000000005</v>
      </c>
      <c r="AI52">
        <f t="shared" si="20"/>
        <v>1.8850000000000005</v>
      </c>
      <c r="AJ52">
        <f t="shared" si="20"/>
        <v>1.8850000000000005</v>
      </c>
      <c r="AK52">
        <f t="shared" si="20"/>
        <v>1.8850000000000005</v>
      </c>
      <c r="AL52">
        <f t="shared" si="20"/>
        <v>1.8850000000000005</v>
      </c>
      <c r="AM52">
        <f t="shared" si="20"/>
        <v>1.8850000000000005</v>
      </c>
      <c r="AN52">
        <f t="shared" si="20"/>
        <v>1.8850000000000005</v>
      </c>
      <c r="AO52">
        <f t="shared" si="20"/>
        <v>1.8850000000000005</v>
      </c>
      <c r="AP52">
        <f t="shared" si="20"/>
        <v>1.8850000000000005</v>
      </c>
      <c r="AQ52">
        <f t="shared" si="20"/>
        <v>1.8850000000000005</v>
      </c>
      <c r="AR52">
        <f t="shared" si="21"/>
        <v>1.8850000000000005</v>
      </c>
      <c r="AS52">
        <f t="shared" si="21"/>
        <v>1.8850000000000005</v>
      </c>
      <c r="AT52">
        <f t="shared" si="21"/>
        <v>1.8850000000000005</v>
      </c>
      <c r="AU52">
        <f t="shared" si="21"/>
        <v>1.8850000000000005</v>
      </c>
      <c r="AV52">
        <f t="shared" si="21"/>
        <v>1.8850000000000005</v>
      </c>
      <c r="AW52">
        <f t="shared" si="21"/>
        <v>1.8850000000000005</v>
      </c>
      <c r="AX52">
        <f t="shared" si="21"/>
        <v>1.8850000000000005</v>
      </c>
      <c r="AY52">
        <f t="shared" si="21"/>
        <v>1.8850000000000005</v>
      </c>
      <c r="AZ52">
        <f t="shared" si="21"/>
        <v>1.8850000000000005</v>
      </c>
      <c r="BA52" s="6"/>
    </row>
    <row r="53" spans="1:53" x14ac:dyDescent="0.2">
      <c r="A53">
        <f t="shared" si="6"/>
        <v>12</v>
      </c>
      <c r="B53" s="3">
        <f t="shared" si="22"/>
        <v>24</v>
      </c>
      <c r="C53">
        <f t="shared" si="17"/>
        <v>1.6200000000000003</v>
      </c>
      <c r="D53">
        <f t="shared" si="17"/>
        <v>1.6200000000000003</v>
      </c>
      <c r="E53">
        <f t="shared" si="17"/>
        <v>1.6200000000000003</v>
      </c>
      <c r="F53">
        <f t="shared" si="17"/>
        <v>1.6200000000000003</v>
      </c>
      <c r="G53">
        <f t="shared" si="17"/>
        <v>1.6200000000000003</v>
      </c>
      <c r="H53">
        <f t="shared" si="17"/>
        <v>1.6200000000000003</v>
      </c>
      <c r="I53">
        <f t="shared" si="17"/>
        <v>1.6200000000000003</v>
      </c>
      <c r="J53">
        <f t="shared" si="17"/>
        <v>1.6200000000000003</v>
      </c>
      <c r="K53">
        <f t="shared" si="17"/>
        <v>1.6200000000000003</v>
      </c>
      <c r="L53">
        <f t="shared" si="17"/>
        <v>1.6200000000000003</v>
      </c>
      <c r="M53">
        <f t="shared" si="17"/>
        <v>1.6200000000000003</v>
      </c>
      <c r="N53">
        <f t="shared" si="18"/>
        <v>1.6200000000000003</v>
      </c>
      <c r="O53">
        <f t="shared" si="18"/>
        <v>1.6200000000000003</v>
      </c>
      <c r="P53">
        <f t="shared" si="18"/>
        <v>1.6200000000000003</v>
      </c>
      <c r="Q53">
        <f t="shared" si="18"/>
        <v>1.6200000000000003</v>
      </c>
      <c r="R53">
        <f t="shared" si="18"/>
        <v>1.6200000000000003</v>
      </c>
      <c r="S53">
        <f t="shared" si="18"/>
        <v>1.6200000000000003</v>
      </c>
      <c r="T53">
        <f t="shared" si="18"/>
        <v>1.6200000000000003</v>
      </c>
      <c r="U53">
        <f t="shared" si="18"/>
        <v>1.6200000000000003</v>
      </c>
      <c r="V53">
        <f t="shared" si="18"/>
        <v>1.6200000000000003</v>
      </c>
      <c r="W53">
        <f t="shared" si="18"/>
        <v>1.6200000000000003</v>
      </c>
      <c r="X53">
        <f t="shared" si="19"/>
        <v>1.6200000000000003</v>
      </c>
      <c r="Y53">
        <f t="shared" si="19"/>
        <v>1.6200000000000003</v>
      </c>
      <c r="Z53">
        <f t="shared" si="19"/>
        <v>1.6200000000000003</v>
      </c>
      <c r="AA53">
        <f t="shared" si="19"/>
        <v>1.6200000000000003</v>
      </c>
      <c r="AB53">
        <f t="shared" si="19"/>
        <v>1.6200000000000003</v>
      </c>
      <c r="AC53">
        <f t="shared" si="19"/>
        <v>1.6200000000000003</v>
      </c>
      <c r="AD53">
        <f t="shared" si="19"/>
        <v>1.6200000000000003</v>
      </c>
      <c r="AE53">
        <f t="shared" si="19"/>
        <v>1.6200000000000003</v>
      </c>
      <c r="AF53">
        <f t="shared" si="19"/>
        <v>1.6200000000000003</v>
      </c>
      <c r="AG53">
        <f t="shared" si="19"/>
        <v>1.6200000000000003</v>
      </c>
      <c r="AH53">
        <f t="shared" si="20"/>
        <v>1.6200000000000003</v>
      </c>
      <c r="AI53">
        <f t="shared" si="20"/>
        <v>1.6200000000000003</v>
      </c>
      <c r="AJ53">
        <f t="shared" si="20"/>
        <v>1.6200000000000003</v>
      </c>
      <c r="AK53">
        <f t="shared" si="20"/>
        <v>1.6200000000000003</v>
      </c>
      <c r="AL53">
        <f t="shared" si="20"/>
        <v>1.6200000000000003</v>
      </c>
      <c r="AM53">
        <f t="shared" si="20"/>
        <v>1.6200000000000003</v>
      </c>
      <c r="AN53">
        <f t="shared" si="20"/>
        <v>1.6200000000000003</v>
      </c>
      <c r="AO53">
        <f t="shared" si="20"/>
        <v>1.6200000000000003</v>
      </c>
      <c r="AP53">
        <f t="shared" si="20"/>
        <v>1.6200000000000003</v>
      </c>
      <c r="AQ53">
        <f t="shared" si="20"/>
        <v>1.6200000000000003</v>
      </c>
      <c r="AR53">
        <f t="shared" si="21"/>
        <v>1.6200000000000003</v>
      </c>
      <c r="AS53">
        <f t="shared" si="21"/>
        <v>1.6200000000000003</v>
      </c>
      <c r="AT53">
        <f t="shared" si="21"/>
        <v>1.6200000000000003</v>
      </c>
      <c r="AU53">
        <f t="shared" si="21"/>
        <v>1.6200000000000003</v>
      </c>
      <c r="AV53">
        <f t="shared" si="21"/>
        <v>1.6200000000000003</v>
      </c>
      <c r="AW53">
        <f t="shared" si="21"/>
        <v>1.6200000000000003</v>
      </c>
      <c r="AX53">
        <f t="shared" si="21"/>
        <v>1.6200000000000003</v>
      </c>
      <c r="AY53">
        <f t="shared" si="21"/>
        <v>1.6200000000000003</v>
      </c>
      <c r="AZ53">
        <f t="shared" si="21"/>
        <v>1.6200000000000003</v>
      </c>
      <c r="BA53" s="6"/>
    </row>
    <row r="54" spans="1:53" x14ac:dyDescent="0.2">
      <c r="A54">
        <f t="shared" si="6"/>
        <v>11</v>
      </c>
      <c r="B54" s="3">
        <f t="shared" si="22"/>
        <v>22</v>
      </c>
      <c r="C54">
        <f t="shared" si="17"/>
        <v>1.3750000000000002</v>
      </c>
      <c r="D54">
        <f t="shared" si="17"/>
        <v>1.3750000000000002</v>
      </c>
      <c r="E54">
        <f t="shared" si="17"/>
        <v>1.3750000000000002</v>
      </c>
      <c r="F54">
        <f t="shared" si="17"/>
        <v>1.3750000000000002</v>
      </c>
      <c r="G54">
        <f t="shared" si="17"/>
        <v>1.3750000000000002</v>
      </c>
      <c r="H54">
        <f t="shared" si="17"/>
        <v>1.3750000000000002</v>
      </c>
      <c r="I54">
        <f t="shared" si="17"/>
        <v>1.3750000000000002</v>
      </c>
      <c r="J54">
        <f t="shared" si="17"/>
        <v>1.3750000000000002</v>
      </c>
      <c r="K54">
        <f t="shared" si="17"/>
        <v>1.3750000000000002</v>
      </c>
      <c r="L54">
        <f t="shared" si="17"/>
        <v>1.3750000000000002</v>
      </c>
      <c r="M54">
        <f t="shared" si="17"/>
        <v>1.3750000000000002</v>
      </c>
      <c r="N54">
        <f t="shared" si="18"/>
        <v>1.3750000000000002</v>
      </c>
      <c r="O54">
        <f t="shared" si="18"/>
        <v>1.3750000000000002</v>
      </c>
      <c r="P54">
        <f t="shared" si="18"/>
        <v>1.3750000000000002</v>
      </c>
      <c r="Q54">
        <f t="shared" si="18"/>
        <v>1.3750000000000002</v>
      </c>
      <c r="R54">
        <f t="shared" si="18"/>
        <v>1.3750000000000002</v>
      </c>
      <c r="S54">
        <f t="shared" si="18"/>
        <v>1.3750000000000002</v>
      </c>
      <c r="T54">
        <f t="shared" si="18"/>
        <v>1.3750000000000002</v>
      </c>
      <c r="U54">
        <f t="shared" si="18"/>
        <v>1.3750000000000002</v>
      </c>
      <c r="V54">
        <f t="shared" si="18"/>
        <v>1.3750000000000002</v>
      </c>
      <c r="W54">
        <f t="shared" si="18"/>
        <v>1.3750000000000002</v>
      </c>
      <c r="X54">
        <f t="shared" si="19"/>
        <v>1.3750000000000002</v>
      </c>
      <c r="Y54">
        <f t="shared" si="19"/>
        <v>1.3750000000000002</v>
      </c>
      <c r="Z54">
        <f t="shared" si="19"/>
        <v>1.3750000000000002</v>
      </c>
      <c r="AA54">
        <f t="shared" si="19"/>
        <v>1.3750000000000002</v>
      </c>
      <c r="AB54">
        <f t="shared" si="19"/>
        <v>1.3750000000000002</v>
      </c>
      <c r="AC54">
        <f t="shared" si="19"/>
        <v>1.3750000000000002</v>
      </c>
      <c r="AD54">
        <f t="shared" si="19"/>
        <v>1.3750000000000002</v>
      </c>
      <c r="AE54">
        <f t="shared" si="19"/>
        <v>1.3750000000000002</v>
      </c>
      <c r="AF54">
        <f t="shared" si="19"/>
        <v>1.3750000000000002</v>
      </c>
      <c r="AG54">
        <f t="shared" si="19"/>
        <v>1.3750000000000002</v>
      </c>
      <c r="AH54">
        <f t="shared" si="20"/>
        <v>1.3750000000000002</v>
      </c>
      <c r="AI54">
        <f t="shared" si="20"/>
        <v>1.3750000000000002</v>
      </c>
      <c r="AJ54">
        <f t="shared" si="20"/>
        <v>1.3750000000000002</v>
      </c>
      <c r="AK54">
        <f t="shared" si="20"/>
        <v>1.3750000000000002</v>
      </c>
      <c r="AL54">
        <f t="shared" si="20"/>
        <v>1.3750000000000002</v>
      </c>
      <c r="AM54">
        <f t="shared" si="20"/>
        <v>1.3750000000000002</v>
      </c>
      <c r="AN54">
        <f t="shared" si="20"/>
        <v>1.3750000000000002</v>
      </c>
      <c r="AO54">
        <f t="shared" si="20"/>
        <v>1.3750000000000002</v>
      </c>
      <c r="AP54">
        <f t="shared" si="20"/>
        <v>1.3750000000000002</v>
      </c>
      <c r="AQ54">
        <f t="shared" si="20"/>
        <v>1.3750000000000002</v>
      </c>
      <c r="AR54">
        <f t="shared" si="21"/>
        <v>1.3750000000000002</v>
      </c>
      <c r="AS54">
        <f t="shared" si="21"/>
        <v>1.3750000000000002</v>
      </c>
      <c r="AT54">
        <f t="shared" si="21"/>
        <v>1.3750000000000002</v>
      </c>
      <c r="AU54">
        <f t="shared" si="21"/>
        <v>1.3750000000000002</v>
      </c>
      <c r="AV54">
        <f t="shared" si="21"/>
        <v>1.3750000000000002</v>
      </c>
      <c r="AW54">
        <f t="shared" si="21"/>
        <v>1.3750000000000002</v>
      </c>
      <c r="AX54">
        <f t="shared" si="21"/>
        <v>1.3750000000000002</v>
      </c>
      <c r="AY54">
        <f t="shared" si="21"/>
        <v>1.3750000000000002</v>
      </c>
      <c r="AZ54">
        <f t="shared" si="21"/>
        <v>1.3750000000000002</v>
      </c>
      <c r="BA54" s="6"/>
    </row>
    <row r="55" spans="1:53" x14ac:dyDescent="0.2">
      <c r="A55">
        <f t="shared" si="6"/>
        <v>10</v>
      </c>
      <c r="B55" s="3">
        <f t="shared" si="22"/>
        <v>20</v>
      </c>
      <c r="C55">
        <f t="shared" si="17"/>
        <v>1.1500000000000001</v>
      </c>
      <c r="D55">
        <f t="shared" si="17"/>
        <v>1.1500000000000001</v>
      </c>
      <c r="E55">
        <f t="shared" si="17"/>
        <v>1.1500000000000001</v>
      </c>
      <c r="F55">
        <f t="shared" si="17"/>
        <v>1.1500000000000001</v>
      </c>
      <c r="G55">
        <f t="shared" si="17"/>
        <v>1.1500000000000001</v>
      </c>
      <c r="H55">
        <f t="shared" si="17"/>
        <v>1.1500000000000001</v>
      </c>
      <c r="I55">
        <f t="shared" si="17"/>
        <v>1.1500000000000001</v>
      </c>
      <c r="J55">
        <f t="shared" si="17"/>
        <v>1.1500000000000001</v>
      </c>
      <c r="K55">
        <f t="shared" si="17"/>
        <v>1.1500000000000001</v>
      </c>
      <c r="L55">
        <f t="shared" si="17"/>
        <v>1.1500000000000001</v>
      </c>
      <c r="M55">
        <f t="shared" si="17"/>
        <v>1.1500000000000001</v>
      </c>
      <c r="N55">
        <f t="shared" si="18"/>
        <v>1.1500000000000001</v>
      </c>
      <c r="O55">
        <f t="shared" si="18"/>
        <v>1.1500000000000001</v>
      </c>
      <c r="P55">
        <f t="shared" si="18"/>
        <v>1.1500000000000001</v>
      </c>
      <c r="Q55">
        <f t="shared" si="18"/>
        <v>1.1500000000000001</v>
      </c>
      <c r="R55">
        <f t="shared" si="18"/>
        <v>1.1500000000000001</v>
      </c>
      <c r="S55">
        <f t="shared" si="18"/>
        <v>1.1500000000000001</v>
      </c>
      <c r="T55">
        <f t="shared" si="18"/>
        <v>1.1500000000000001</v>
      </c>
      <c r="U55">
        <f t="shared" si="18"/>
        <v>1.1500000000000001</v>
      </c>
      <c r="V55">
        <f t="shared" si="18"/>
        <v>1.1500000000000001</v>
      </c>
      <c r="W55">
        <f t="shared" si="18"/>
        <v>1.1500000000000001</v>
      </c>
      <c r="X55">
        <f t="shared" si="19"/>
        <v>1.1500000000000001</v>
      </c>
      <c r="Y55">
        <f t="shared" si="19"/>
        <v>1.1500000000000001</v>
      </c>
      <c r="Z55">
        <f t="shared" si="19"/>
        <v>1.1500000000000001</v>
      </c>
      <c r="AA55">
        <f t="shared" si="19"/>
        <v>1.1500000000000001</v>
      </c>
      <c r="AB55">
        <f t="shared" si="19"/>
        <v>1.1500000000000001</v>
      </c>
      <c r="AC55">
        <f t="shared" si="19"/>
        <v>1.1500000000000001</v>
      </c>
      <c r="AD55">
        <f t="shared" si="19"/>
        <v>1.1500000000000001</v>
      </c>
      <c r="AE55">
        <f t="shared" si="19"/>
        <v>1.1500000000000001</v>
      </c>
      <c r="AF55">
        <f t="shared" si="19"/>
        <v>1.1500000000000001</v>
      </c>
      <c r="AG55">
        <f t="shared" si="19"/>
        <v>1.1500000000000001</v>
      </c>
      <c r="AH55">
        <f t="shared" si="20"/>
        <v>1.1500000000000001</v>
      </c>
      <c r="AI55">
        <f t="shared" si="20"/>
        <v>1.1500000000000001</v>
      </c>
      <c r="AJ55">
        <f t="shared" si="20"/>
        <v>1.1500000000000001</v>
      </c>
      <c r="AK55">
        <f t="shared" si="20"/>
        <v>1.1500000000000001</v>
      </c>
      <c r="AL55">
        <f t="shared" si="20"/>
        <v>1.1500000000000001</v>
      </c>
      <c r="AM55">
        <f t="shared" si="20"/>
        <v>1.1500000000000001</v>
      </c>
      <c r="AN55">
        <f t="shared" si="20"/>
        <v>1.1500000000000001</v>
      </c>
      <c r="AO55">
        <f t="shared" si="20"/>
        <v>1.1500000000000001</v>
      </c>
      <c r="AP55">
        <f t="shared" si="20"/>
        <v>1.1500000000000001</v>
      </c>
      <c r="AQ55">
        <f t="shared" si="20"/>
        <v>1.1500000000000001</v>
      </c>
      <c r="AR55">
        <f t="shared" si="21"/>
        <v>1.1500000000000001</v>
      </c>
      <c r="AS55">
        <f t="shared" si="21"/>
        <v>1.1500000000000001</v>
      </c>
      <c r="AT55">
        <f t="shared" si="21"/>
        <v>1.1500000000000001</v>
      </c>
      <c r="AU55">
        <f t="shared" si="21"/>
        <v>1.1500000000000001</v>
      </c>
      <c r="AV55">
        <f t="shared" si="21"/>
        <v>1.1500000000000001</v>
      </c>
      <c r="AW55">
        <f t="shared" si="21"/>
        <v>1.1500000000000001</v>
      </c>
      <c r="AX55">
        <f t="shared" si="21"/>
        <v>1.1500000000000001</v>
      </c>
      <c r="AY55">
        <f t="shared" si="21"/>
        <v>1.1500000000000001</v>
      </c>
      <c r="AZ55">
        <f t="shared" si="21"/>
        <v>1.1500000000000001</v>
      </c>
      <c r="BA55" s="6"/>
    </row>
    <row r="56" spans="1:53" x14ac:dyDescent="0.2">
      <c r="A56">
        <f t="shared" si="6"/>
        <v>9</v>
      </c>
      <c r="B56" s="3">
        <f t="shared" si="22"/>
        <v>18</v>
      </c>
      <c r="C56">
        <f t="shared" ref="C56:M64" si="23">0.25*(sigma^2*$A56^2+(rate-d)*$A56)</f>
        <v>0.94500000000000017</v>
      </c>
      <c r="D56">
        <f t="shared" si="23"/>
        <v>0.94500000000000017</v>
      </c>
      <c r="E56">
        <f t="shared" si="23"/>
        <v>0.94500000000000017</v>
      </c>
      <c r="F56">
        <f t="shared" si="23"/>
        <v>0.94500000000000017</v>
      </c>
      <c r="G56">
        <f t="shared" si="23"/>
        <v>0.94500000000000017</v>
      </c>
      <c r="H56">
        <f t="shared" si="23"/>
        <v>0.94500000000000017</v>
      </c>
      <c r="I56">
        <f t="shared" si="23"/>
        <v>0.94500000000000017</v>
      </c>
      <c r="J56">
        <f t="shared" si="23"/>
        <v>0.94500000000000017</v>
      </c>
      <c r="K56">
        <f t="shared" si="23"/>
        <v>0.94500000000000017</v>
      </c>
      <c r="L56">
        <f t="shared" si="23"/>
        <v>0.94500000000000017</v>
      </c>
      <c r="M56">
        <f t="shared" si="23"/>
        <v>0.94500000000000017</v>
      </c>
      <c r="N56">
        <f t="shared" ref="N56:W64" si="24">0.25*(sigma^2*$A56^2+(rate-d)*$A56)</f>
        <v>0.94500000000000017</v>
      </c>
      <c r="O56">
        <f t="shared" si="24"/>
        <v>0.94500000000000017</v>
      </c>
      <c r="P56">
        <f t="shared" si="24"/>
        <v>0.94500000000000017</v>
      </c>
      <c r="Q56">
        <f t="shared" si="24"/>
        <v>0.94500000000000017</v>
      </c>
      <c r="R56">
        <f t="shared" si="24"/>
        <v>0.94500000000000017</v>
      </c>
      <c r="S56">
        <f t="shared" si="24"/>
        <v>0.94500000000000017</v>
      </c>
      <c r="T56">
        <f t="shared" si="24"/>
        <v>0.94500000000000017</v>
      </c>
      <c r="U56">
        <f t="shared" si="24"/>
        <v>0.94500000000000017</v>
      </c>
      <c r="V56">
        <f t="shared" si="24"/>
        <v>0.94500000000000017</v>
      </c>
      <c r="W56">
        <f t="shared" si="24"/>
        <v>0.94500000000000017</v>
      </c>
      <c r="X56">
        <f t="shared" ref="X56:AG64" si="25">0.25*(sigma^2*$A56^2+(rate-d)*$A56)</f>
        <v>0.94500000000000017</v>
      </c>
      <c r="Y56">
        <f t="shared" si="25"/>
        <v>0.94500000000000017</v>
      </c>
      <c r="Z56">
        <f t="shared" si="25"/>
        <v>0.94500000000000017</v>
      </c>
      <c r="AA56">
        <f t="shared" si="25"/>
        <v>0.94500000000000017</v>
      </c>
      <c r="AB56">
        <f t="shared" si="25"/>
        <v>0.94500000000000017</v>
      </c>
      <c r="AC56">
        <f t="shared" si="25"/>
        <v>0.94500000000000017</v>
      </c>
      <c r="AD56">
        <f t="shared" si="25"/>
        <v>0.94500000000000017</v>
      </c>
      <c r="AE56">
        <f t="shared" si="25"/>
        <v>0.94500000000000017</v>
      </c>
      <c r="AF56">
        <f t="shared" si="25"/>
        <v>0.94500000000000017</v>
      </c>
      <c r="AG56">
        <f t="shared" si="25"/>
        <v>0.94500000000000017</v>
      </c>
      <c r="AH56">
        <f t="shared" ref="AH56:AQ64" si="26">0.25*(sigma^2*$A56^2+(rate-d)*$A56)</f>
        <v>0.94500000000000017</v>
      </c>
      <c r="AI56">
        <f t="shared" si="26"/>
        <v>0.94500000000000017</v>
      </c>
      <c r="AJ56">
        <f t="shared" si="26"/>
        <v>0.94500000000000017</v>
      </c>
      <c r="AK56">
        <f t="shared" si="26"/>
        <v>0.94500000000000017</v>
      </c>
      <c r="AL56">
        <f t="shared" si="26"/>
        <v>0.94500000000000017</v>
      </c>
      <c r="AM56">
        <f t="shared" si="26"/>
        <v>0.94500000000000017</v>
      </c>
      <c r="AN56">
        <f t="shared" si="26"/>
        <v>0.94500000000000017</v>
      </c>
      <c r="AO56">
        <f t="shared" si="26"/>
        <v>0.94500000000000017</v>
      </c>
      <c r="AP56">
        <f t="shared" si="26"/>
        <v>0.94500000000000017</v>
      </c>
      <c r="AQ56">
        <f t="shared" si="26"/>
        <v>0.94500000000000017</v>
      </c>
      <c r="AR56">
        <f t="shared" ref="AR56:AZ64" si="27">0.25*(sigma^2*$A56^2+(rate-d)*$A56)</f>
        <v>0.94500000000000017</v>
      </c>
      <c r="AS56">
        <f t="shared" si="27"/>
        <v>0.94500000000000017</v>
      </c>
      <c r="AT56">
        <f t="shared" si="27"/>
        <v>0.94500000000000017</v>
      </c>
      <c r="AU56">
        <f t="shared" si="27"/>
        <v>0.94500000000000017</v>
      </c>
      <c r="AV56">
        <f t="shared" si="27"/>
        <v>0.94500000000000017</v>
      </c>
      <c r="AW56">
        <f t="shared" si="27"/>
        <v>0.94500000000000017</v>
      </c>
      <c r="AX56">
        <f t="shared" si="27"/>
        <v>0.94500000000000017</v>
      </c>
      <c r="AY56">
        <f t="shared" si="27"/>
        <v>0.94500000000000017</v>
      </c>
      <c r="AZ56">
        <f t="shared" si="27"/>
        <v>0.94500000000000017</v>
      </c>
      <c r="BA56" s="6"/>
    </row>
    <row r="57" spans="1:53" x14ac:dyDescent="0.2">
      <c r="A57">
        <f t="shared" si="6"/>
        <v>8</v>
      </c>
      <c r="B57" s="3">
        <f t="shared" si="22"/>
        <v>16</v>
      </c>
      <c r="C57">
        <f t="shared" si="23"/>
        <v>0.76000000000000012</v>
      </c>
      <c r="D57">
        <f t="shared" si="23"/>
        <v>0.76000000000000012</v>
      </c>
      <c r="E57">
        <f t="shared" si="23"/>
        <v>0.76000000000000012</v>
      </c>
      <c r="F57">
        <f t="shared" si="23"/>
        <v>0.76000000000000012</v>
      </c>
      <c r="G57">
        <f t="shared" si="23"/>
        <v>0.76000000000000012</v>
      </c>
      <c r="H57">
        <f t="shared" si="23"/>
        <v>0.76000000000000012</v>
      </c>
      <c r="I57">
        <f t="shared" si="23"/>
        <v>0.76000000000000012</v>
      </c>
      <c r="J57">
        <f t="shared" si="23"/>
        <v>0.76000000000000012</v>
      </c>
      <c r="K57">
        <f t="shared" si="23"/>
        <v>0.76000000000000012</v>
      </c>
      <c r="L57">
        <f t="shared" si="23"/>
        <v>0.76000000000000012</v>
      </c>
      <c r="M57">
        <f t="shared" si="23"/>
        <v>0.76000000000000012</v>
      </c>
      <c r="N57">
        <f t="shared" si="24"/>
        <v>0.76000000000000012</v>
      </c>
      <c r="O57">
        <f t="shared" si="24"/>
        <v>0.76000000000000012</v>
      </c>
      <c r="P57">
        <f t="shared" si="24"/>
        <v>0.76000000000000012</v>
      </c>
      <c r="Q57">
        <f t="shared" si="24"/>
        <v>0.76000000000000012</v>
      </c>
      <c r="R57">
        <f t="shared" si="24"/>
        <v>0.76000000000000012</v>
      </c>
      <c r="S57">
        <f t="shared" si="24"/>
        <v>0.76000000000000012</v>
      </c>
      <c r="T57">
        <f t="shared" si="24"/>
        <v>0.76000000000000012</v>
      </c>
      <c r="U57">
        <f t="shared" si="24"/>
        <v>0.76000000000000012</v>
      </c>
      <c r="V57">
        <f t="shared" si="24"/>
        <v>0.76000000000000012</v>
      </c>
      <c r="W57">
        <f t="shared" si="24"/>
        <v>0.76000000000000012</v>
      </c>
      <c r="X57">
        <f t="shared" si="25"/>
        <v>0.76000000000000012</v>
      </c>
      <c r="Y57">
        <f t="shared" si="25"/>
        <v>0.76000000000000012</v>
      </c>
      <c r="Z57">
        <f t="shared" si="25"/>
        <v>0.76000000000000012</v>
      </c>
      <c r="AA57">
        <f t="shared" si="25"/>
        <v>0.76000000000000012</v>
      </c>
      <c r="AB57">
        <f t="shared" si="25"/>
        <v>0.76000000000000012</v>
      </c>
      <c r="AC57">
        <f t="shared" si="25"/>
        <v>0.76000000000000012</v>
      </c>
      <c r="AD57">
        <f t="shared" si="25"/>
        <v>0.76000000000000012</v>
      </c>
      <c r="AE57">
        <f t="shared" si="25"/>
        <v>0.76000000000000012</v>
      </c>
      <c r="AF57">
        <f t="shared" si="25"/>
        <v>0.76000000000000012</v>
      </c>
      <c r="AG57">
        <f t="shared" si="25"/>
        <v>0.76000000000000012</v>
      </c>
      <c r="AH57">
        <f t="shared" si="26"/>
        <v>0.76000000000000012</v>
      </c>
      <c r="AI57">
        <f t="shared" si="26"/>
        <v>0.76000000000000012</v>
      </c>
      <c r="AJ57">
        <f t="shared" si="26"/>
        <v>0.76000000000000012</v>
      </c>
      <c r="AK57">
        <f t="shared" si="26"/>
        <v>0.76000000000000012</v>
      </c>
      <c r="AL57">
        <f t="shared" si="26"/>
        <v>0.76000000000000012</v>
      </c>
      <c r="AM57">
        <f t="shared" si="26"/>
        <v>0.76000000000000012</v>
      </c>
      <c r="AN57">
        <f t="shared" si="26"/>
        <v>0.76000000000000012</v>
      </c>
      <c r="AO57">
        <f t="shared" si="26"/>
        <v>0.76000000000000012</v>
      </c>
      <c r="AP57">
        <f t="shared" si="26"/>
        <v>0.76000000000000012</v>
      </c>
      <c r="AQ57">
        <f t="shared" si="26"/>
        <v>0.76000000000000012</v>
      </c>
      <c r="AR57">
        <f t="shared" si="27"/>
        <v>0.76000000000000012</v>
      </c>
      <c r="AS57">
        <f t="shared" si="27"/>
        <v>0.76000000000000012</v>
      </c>
      <c r="AT57">
        <f t="shared" si="27"/>
        <v>0.76000000000000012</v>
      </c>
      <c r="AU57">
        <f t="shared" si="27"/>
        <v>0.76000000000000012</v>
      </c>
      <c r="AV57">
        <f t="shared" si="27"/>
        <v>0.76000000000000012</v>
      </c>
      <c r="AW57">
        <f t="shared" si="27"/>
        <v>0.76000000000000012</v>
      </c>
      <c r="AX57">
        <f t="shared" si="27"/>
        <v>0.76000000000000012</v>
      </c>
      <c r="AY57">
        <f t="shared" si="27"/>
        <v>0.76000000000000012</v>
      </c>
      <c r="AZ57">
        <f t="shared" si="27"/>
        <v>0.76000000000000012</v>
      </c>
      <c r="BA57" s="6"/>
    </row>
    <row r="58" spans="1:53" x14ac:dyDescent="0.2">
      <c r="A58">
        <f t="shared" si="6"/>
        <v>7</v>
      </c>
      <c r="B58" s="3">
        <f t="shared" si="22"/>
        <v>14</v>
      </c>
      <c r="C58">
        <f t="shared" si="23"/>
        <v>0.59500000000000008</v>
      </c>
      <c r="D58">
        <f t="shared" si="23"/>
        <v>0.59500000000000008</v>
      </c>
      <c r="E58">
        <f t="shared" si="23"/>
        <v>0.59500000000000008</v>
      </c>
      <c r="F58">
        <f t="shared" si="23"/>
        <v>0.59500000000000008</v>
      </c>
      <c r="G58">
        <f t="shared" si="23"/>
        <v>0.59500000000000008</v>
      </c>
      <c r="H58">
        <f t="shared" si="23"/>
        <v>0.59500000000000008</v>
      </c>
      <c r="I58">
        <f t="shared" si="23"/>
        <v>0.59500000000000008</v>
      </c>
      <c r="J58">
        <f t="shared" si="23"/>
        <v>0.59500000000000008</v>
      </c>
      <c r="K58">
        <f t="shared" si="23"/>
        <v>0.59500000000000008</v>
      </c>
      <c r="L58">
        <f t="shared" si="23"/>
        <v>0.59500000000000008</v>
      </c>
      <c r="M58">
        <f t="shared" si="23"/>
        <v>0.59500000000000008</v>
      </c>
      <c r="N58">
        <f t="shared" si="24"/>
        <v>0.59500000000000008</v>
      </c>
      <c r="O58">
        <f t="shared" si="24"/>
        <v>0.59500000000000008</v>
      </c>
      <c r="P58">
        <f t="shared" si="24"/>
        <v>0.59500000000000008</v>
      </c>
      <c r="Q58">
        <f t="shared" si="24"/>
        <v>0.59500000000000008</v>
      </c>
      <c r="R58">
        <f t="shared" si="24"/>
        <v>0.59500000000000008</v>
      </c>
      <c r="S58">
        <f t="shared" si="24"/>
        <v>0.59500000000000008</v>
      </c>
      <c r="T58">
        <f t="shared" si="24"/>
        <v>0.59500000000000008</v>
      </c>
      <c r="U58">
        <f t="shared" si="24"/>
        <v>0.59500000000000008</v>
      </c>
      <c r="V58">
        <f t="shared" si="24"/>
        <v>0.59500000000000008</v>
      </c>
      <c r="W58">
        <f t="shared" si="24"/>
        <v>0.59500000000000008</v>
      </c>
      <c r="X58">
        <f t="shared" si="25"/>
        <v>0.59500000000000008</v>
      </c>
      <c r="Y58">
        <f t="shared" si="25"/>
        <v>0.59500000000000008</v>
      </c>
      <c r="Z58">
        <f t="shared" si="25"/>
        <v>0.59500000000000008</v>
      </c>
      <c r="AA58">
        <f t="shared" si="25"/>
        <v>0.59500000000000008</v>
      </c>
      <c r="AB58">
        <f t="shared" si="25"/>
        <v>0.59500000000000008</v>
      </c>
      <c r="AC58">
        <f t="shared" si="25"/>
        <v>0.59500000000000008</v>
      </c>
      <c r="AD58">
        <f t="shared" si="25"/>
        <v>0.59500000000000008</v>
      </c>
      <c r="AE58">
        <f t="shared" si="25"/>
        <v>0.59500000000000008</v>
      </c>
      <c r="AF58">
        <f t="shared" si="25"/>
        <v>0.59500000000000008</v>
      </c>
      <c r="AG58">
        <f t="shared" si="25"/>
        <v>0.59500000000000008</v>
      </c>
      <c r="AH58">
        <f t="shared" si="26"/>
        <v>0.59500000000000008</v>
      </c>
      <c r="AI58">
        <f t="shared" si="26"/>
        <v>0.59500000000000008</v>
      </c>
      <c r="AJ58">
        <f t="shared" si="26"/>
        <v>0.59500000000000008</v>
      </c>
      <c r="AK58">
        <f t="shared" si="26"/>
        <v>0.59500000000000008</v>
      </c>
      <c r="AL58">
        <f t="shared" si="26"/>
        <v>0.59500000000000008</v>
      </c>
      <c r="AM58">
        <f t="shared" si="26"/>
        <v>0.59500000000000008</v>
      </c>
      <c r="AN58">
        <f t="shared" si="26"/>
        <v>0.59500000000000008</v>
      </c>
      <c r="AO58">
        <f t="shared" si="26"/>
        <v>0.59500000000000008</v>
      </c>
      <c r="AP58">
        <f t="shared" si="26"/>
        <v>0.59500000000000008</v>
      </c>
      <c r="AQ58">
        <f t="shared" si="26"/>
        <v>0.59500000000000008</v>
      </c>
      <c r="AR58">
        <f t="shared" si="27"/>
        <v>0.59500000000000008</v>
      </c>
      <c r="AS58">
        <f t="shared" si="27"/>
        <v>0.59500000000000008</v>
      </c>
      <c r="AT58">
        <f t="shared" si="27"/>
        <v>0.59500000000000008</v>
      </c>
      <c r="AU58">
        <f t="shared" si="27"/>
        <v>0.59500000000000008</v>
      </c>
      <c r="AV58">
        <f t="shared" si="27"/>
        <v>0.59500000000000008</v>
      </c>
      <c r="AW58">
        <f t="shared" si="27"/>
        <v>0.59500000000000008</v>
      </c>
      <c r="AX58">
        <f t="shared" si="27"/>
        <v>0.59500000000000008</v>
      </c>
      <c r="AY58">
        <f t="shared" si="27"/>
        <v>0.59500000000000008</v>
      </c>
      <c r="AZ58">
        <f t="shared" si="27"/>
        <v>0.59500000000000008</v>
      </c>
      <c r="BA58" s="6"/>
    </row>
    <row r="59" spans="1:53" x14ac:dyDescent="0.2">
      <c r="A59">
        <f t="shared" si="6"/>
        <v>6</v>
      </c>
      <c r="B59" s="3">
        <f t="shared" si="22"/>
        <v>12</v>
      </c>
      <c r="C59">
        <f t="shared" si="23"/>
        <v>0.45000000000000007</v>
      </c>
      <c r="D59">
        <f t="shared" si="23"/>
        <v>0.45000000000000007</v>
      </c>
      <c r="E59">
        <f t="shared" si="23"/>
        <v>0.45000000000000007</v>
      </c>
      <c r="F59">
        <f t="shared" si="23"/>
        <v>0.45000000000000007</v>
      </c>
      <c r="G59">
        <f t="shared" si="23"/>
        <v>0.45000000000000007</v>
      </c>
      <c r="H59">
        <f t="shared" si="23"/>
        <v>0.45000000000000007</v>
      </c>
      <c r="I59">
        <f t="shared" si="23"/>
        <v>0.45000000000000007</v>
      </c>
      <c r="J59">
        <f t="shared" si="23"/>
        <v>0.45000000000000007</v>
      </c>
      <c r="K59">
        <f t="shared" si="23"/>
        <v>0.45000000000000007</v>
      </c>
      <c r="L59">
        <f t="shared" si="23"/>
        <v>0.45000000000000007</v>
      </c>
      <c r="M59">
        <f t="shared" si="23"/>
        <v>0.45000000000000007</v>
      </c>
      <c r="N59">
        <f t="shared" si="24"/>
        <v>0.45000000000000007</v>
      </c>
      <c r="O59">
        <f t="shared" si="24"/>
        <v>0.45000000000000007</v>
      </c>
      <c r="P59">
        <f t="shared" si="24"/>
        <v>0.45000000000000007</v>
      </c>
      <c r="Q59">
        <f t="shared" si="24"/>
        <v>0.45000000000000007</v>
      </c>
      <c r="R59">
        <f t="shared" si="24"/>
        <v>0.45000000000000007</v>
      </c>
      <c r="S59">
        <f t="shared" si="24"/>
        <v>0.45000000000000007</v>
      </c>
      <c r="T59">
        <f t="shared" si="24"/>
        <v>0.45000000000000007</v>
      </c>
      <c r="U59">
        <f t="shared" si="24"/>
        <v>0.45000000000000007</v>
      </c>
      <c r="V59">
        <f t="shared" si="24"/>
        <v>0.45000000000000007</v>
      </c>
      <c r="W59">
        <f t="shared" si="24"/>
        <v>0.45000000000000007</v>
      </c>
      <c r="X59">
        <f t="shared" si="25"/>
        <v>0.45000000000000007</v>
      </c>
      <c r="Y59">
        <f t="shared" si="25"/>
        <v>0.45000000000000007</v>
      </c>
      <c r="Z59">
        <f t="shared" si="25"/>
        <v>0.45000000000000007</v>
      </c>
      <c r="AA59">
        <f t="shared" si="25"/>
        <v>0.45000000000000007</v>
      </c>
      <c r="AB59">
        <f t="shared" si="25"/>
        <v>0.45000000000000007</v>
      </c>
      <c r="AC59">
        <f t="shared" si="25"/>
        <v>0.45000000000000007</v>
      </c>
      <c r="AD59">
        <f t="shared" si="25"/>
        <v>0.45000000000000007</v>
      </c>
      <c r="AE59">
        <f t="shared" si="25"/>
        <v>0.45000000000000007</v>
      </c>
      <c r="AF59">
        <f t="shared" si="25"/>
        <v>0.45000000000000007</v>
      </c>
      <c r="AG59">
        <f t="shared" si="25"/>
        <v>0.45000000000000007</v>
      </c>
      <c r="AH59">
        <f t="shared" si="26"/>
        <v>0.45000000000000007</v>
      </c>
      <c r="AI59">
        <f t="shared" si="26"/>
        <v>0.45000000000000007</v>
      </c>
      <c r="AJ59">
        <f t="shared" si="26"/>
        <v>0.45000000000000007</v>
      </c>
      <c r="AK59">
        <f t="shared" si="26"/>
        <v>0.45000000000000007</v>
      </c>
      <c r="AL59">
        <f t="shared" si="26"/>
        <v>0.45000000000000007</v>
      </c>
      <c r="AM59">
        <f t="shared" si="26"/>
        <v>0.45000000000000007</v>
      </c>
      <c r="AN59">
        <f t="shared" si="26"/>
        <v>0.45000000000000007</v>
      </c>
      <c r="AO59">
        <f t="shared" si="26"/>
        <v>0.45000000000000007</v>
      </c>
      <c r="AP59">
        <f t="shared" si="26"/>
        <v>0.45000000000000007</v>
      </c>
      <c r="AQ59">
        <f t="shared" si="26"/>
        <v>0.45000000000000007</v>
      </c>
      <c r="AR59">
        <f t="shared" si="27"/>
        <v>0.45000000000000007</v>
      </c>
      <c r="AS59">
        <f t="shared" si="27"/>
        <v>0.45000000000000007</v>
      </c>
      <c r="AT59">
        <f t="shared" si="27"/>
        <v>0.45000000000000007</v>
      </c>
      <c r="AU59">
        <f t="shared" si="27"/>
        <v>0.45000000000000007</v>
      </c>
      <c r="AV59">
        <f t="shared" si="27"/>
        <v>0.45000000000000007</v>
      </c>
      <c r="AW59">
        <f t="shared" si="27"/>
        <v>0.45000000000000007</v>
      </c>
      <c r="AX59">
        <f t="shared" si="27"/>
        <v>0.45000000000000007</v>
      </c>
      <c r="AY59">
        <f t="shared" si="27"/>
        <v>0.45000000000000007</v>
      </c>
      <c r="AZ59">
        <f t="shared" si="27"/>
        <v>0.45000000000000007</v>
      </c>
      <c r="BA59" s="6"/>
    </row>
    <row r="60" spans="1:53" x14ac:dyDescent="0.2">
      <c r="A60">
        <f t="shared" si="6"/>
        <v>5</v>
      </c>
      <c r="B60" s="3">
        <f t="shared" si="22"/>
        <v>10</v>
      </c>
      <c r="C60">
        <f t="shared" si="23"/>
        <v>0.32500000000000007</v>
      </c>
      <c r="D60">
        <f t="shared" si="23"/>
        <v>0.32500000000000007</v>
      </c>
      <c r="E60">
        <f t="shared" si="23"/>
        <v>0.32500000000000007</v>
      </c>
      <c r="F60">
        <f t="shared" si="23"/>
        <v>0.32500000000000007</v>
      </c>
      <c r="G60">
        <f t="shared" si="23"/>
        <v>0.32500000000000007</v>
      </c>
      <c r="H60">
        <f t="shared" si="23"/>
        <v>0.32500000000000007</v>
      </c>
      <c r="I60">
        <f t="shared" si="23"/>
        <v>0.32500000000000007</v>
      </c>
      <c r="J60">
        <f t="shared" si="23"/>
        <v>0.32500000000000007</v>
      </c>
      <c r="K60">
        <f t="shared" si="23"/>
        <v>0.32500000000000007</v>
      </c>
      <c r="L60">
        <f t="shared" si="23"/>
        <v>0.32500000000000007</v>
      </c>
      <c r="M60">
        <f t="shared" si="23"/>
        <v>0.32500000000000007</v>
      </c>
      <c r="N60">
        <f t="shared" si="24"/>
        <v>0.32500000000000007</v>
      </c>
      <c r="O60">
        <f t="shared" si="24"/>
        <v>0.32500000000000007</v>
      </c>
      <c r="P60">
        <f t="shared" si="24"/>
        <v>0.32500000000000007</v>
      </c>
      <c r="Q60">
        <f t="shared" si="24"/>
        <v>0.32500000000000007</v>
      </c>
      <c r="R60">
        <f t="shared" si="24"/>
        <v>0.32500000000000007</v>
      </c>
      <c r="S60">
        <f t="shared" si="24"/>
        <v>0.32500000000000007</v>
      </c>
      <c r="T60">
        <f t="shared" si="24"/>
        <v>0.32500000000000007</v>
      </c>
      <c r="U60">
        <f t="shared" si="24"/>
        <v>0.32500000000000007</v>
      </c>
      <c r="V60">
        <f t="shared" si="24"/>
        <v>0.32500000000000007</v>
      </c>
      <c r="W60">
        <f t="shared" si="24"/>
        <v>0.32500000000000007</v>
      </c>
      <c r="X60">
        <f t="shared" si="25"/>
        <v>0.32500000000000007</v>
      </c>
      <c r="Y60">
        <f t="shared" si="25"/>
        <v>0.32500000000000007</v>
      </c>
      <c r="Z60">
        <f t="shared" si="25"/>
        <v>0.32500000000000007</v>
      </c>
      <c r="AA60">
        <f t="shared" si="25"/>
        <v>0.32500000000000007</v>
      </c>
      <c r="AB60">
        <f t="shared" si="25"/>
        <v>0.32500000000000007</v>
      </c>
      <c r="AC60">
        <f t="shared" si="25"/>
        <v>0.32500000000000007</v>
      </c>
      <c r="AD60">
        <f t="shared" si="25"/>
        <v>0.32500000000000007</v>
      </c>
      <c r="AE60">
        <f t="shared" si="25"/>
        <v>0.32500000000000007</v>
      </c>
      <c r="AF60">
        <f t="shared" si="25"/>
        <v>0.32500000000000007</v>
      </c>
      <c r="AG60">
        <f t="shared" si="25"/>
        <v>0.32500000000000007</v>
      </c>
      <c r="AH60">
        <f t="shared" si="26"/>
        <v>0.32500000000000007</v>
      </c>
      <c r="AI60">
        <f t="shared" si="26"/>
        <v>0.32500000000000007</v>
      </c>
      <c r="AJ60">
        <f t="shared" si="26"/>
        <v>0.32500000000000007</v>
      </c>
      <c r="AK60">
        <f t="shared" si="26"/>
        <v>0.32500000000000007</v>
      </c>
      <c r="AL60">
        <f t="shared" si="26"/>
        <v>0.32500000000000007</v>
      </c>
      <c r="AM60">
        <f t="shared" si="26"/>
        <v>0.32500000000000007</v>
      </c>
      <c r="AN60">
        <f t="shared" si="26"/>
        <v>0.32500000000000007</v>
      </c>
      <c r="AO60">
        <f t="shared" si="26"/>
        <v>0.32500000000000007</v>
      </c>
      <c r="AP60">
        <f t="shared" si="26"/>
        <v>0.32500000000000007</v>
      </c>
      <c r="AQ60">
        <f t="shared" si="26"/>
        <v>0.32500000000000007</v>
      </c>
      <c r="AR60">
        <f t="shared" si="27"/>
        <v>0.32500000000000007</v>
      </c>
      <c r="AS60">
        <f t="shared" si="27"/>
        <v>0.32500000000000007</v>
      </c>
      <c r="AT60">
        <f t="shared" si="27"/>
        <v>0.32500000000000007</v>
      </c>
      <c r="AU60">
        <f t="shared" si="27"/>
        <v>0.32500000000000007</v>
      </c>
      <c r="AV60">
        <f t="shared" si="27"/>
        <v>0.32500000000000007</v>
      </c>
      <c r="AW60">
        <f t="shared" si="27"/>
        <v>0.32500000000000007</v>
      </c>
      <c r="AX60">
        <f t="shared" si="27"/>
        <v>0.32500000000000007</v>
      </c>
      <c r="AY60">
        <f t="shared" si="27"/>
        <v>0.32500000000000007</v>
      </c>
      <c r="AZ60">
        <f t="shared" si="27"/>
        <v>0.32500000000000007</v>
      </c>
      <c r="BA60" s="6"/>
    </row>
    <row r="61" spans="1:53" x14ac:dyDescent="0.2">
      <c r="A61">
        <f t="shared" si="6"/>
        <v>4</v>
      </c>
      <c r="B61" s="3">
        <f t="shared" si="22"/>
        <v>8</v>
      </c>
      <c r="C61">
        <f t="shared" si="23"/>
        <v>0.22000000000000003</v>
      </c>
      <c r="D61">
        <f t="shared" si="23"/>
        <v>0.22000000000000003</v>
      </c>
      <c r="E61">
        <f t="shared" si="23"/>
        <v>0.22000000000000003</v>
      </c>
      <c r="F61">
        <f t="shared" si="23"/>
        <v>0.22000000000000003</v>
      </c>
      <c r="G61">
        <f t="shared" si="23"/>
        <v>0.22000000000000003</v>
      </c>
      <c r="H61">
        <f t="shared" si="23"/>
        <v>0.22000000000000003</v>
      </c>
      <c r="I61">
        <f t="shared" si="23"/>
        <v>0.22000000000000003</v>
      </c>
      <c r="J61">
        <f t="shared" si="23"/>
        <v>0.22000000000000003</v>
      </c>
      <c r="K61">
        <f t="shared" si="23"/>
        <v>0.22000000000000003</v>
      </c>
      <c r="L61">
        <f t="shared" si="23"/>
        <v>0.22000000000000003</v>
      </c>
      <c r="M61">
        <f t="shared" si="23"/>
        <v>0.22000000000000003</v>
      </c>
      <c r="N61">
        <f t="shared" si="24"/>
        <v>0.22000000000000003</v>
      </c>
      <c r="O61">
        <f t="shared" si="24"/>
        <v>0.22000000000000003</v>
      </c>
      <c r="P61">
        <f t="shared" si="24"/>
        <v>0.22000000000000003</v>
      </c>
      <c r="Q61">
        <f t="shared" si="24"/>
        <v>0.22000000000000003</v>
      </c>
      <c r="R61">
        <f t="shared" si="24"/>
        <v>0.22000000000000003</v>
      </c>
      <c r="S61">
        <f t="shared" si="24"/>
        <v>0.22000000000000003</v>
      </c>
      <c r="T61">
        <f t="shared" si="24"/>
        <v>0.22000000000000003</v>
      </c>
      <c r="U61">
        <f t="shared" si="24"/>
        <v>0.22000000000000003</v>
      </c>
      <c r="V61">
        <f t="shared" si="24"/>
        <v>0.22000000000000003</v>
      </c>
      <c r="W61">
        <f t="shared" si="24"/>
        <v>0.22000000000000003</v>
      </c>
      <c r="X61">
        <f t="shared" si="25"/>
        <v>0.22000000000000003</v>
      </c>
      <c r="Y61">
        <f t="shared" si="25"/>
        <v>0.22000000000000003</v>
      </c>
      <c r="Z61">
        <f t="shared" si="25"/>
        <v>0.22000000000000003</v>
      </c>
      <c r="AA61">
        <f t="shared" si="25"/>
        <v>0.22000000000000003</v>
      </c>
      <c r="AB61">
        <f t="shared" si="25"/>
        <v>0.22000000000000003</v>
      </c>
      <c r="AC61">
        <f t="shared" si="25"/>
        <v>0.22000000000000003</v>
      </c>
      <c r="AD61">
        <f t="shared" si="25"/>
        <v>0.22000000000000003</v>
      </c>
      <c r="AE61">
        <f t="shared" si="25"/>
        <v>0.22000000000000003</v>
      </c>
      <c r="AF61">
        <f t="shared" si="25"/>
        <v>0.22000000000000003</v>
      </c>
      <c r="AG61">
        <f t="shared" si="25"/>
        <v>0.22000000000000003</v>
      </c>
      <c r="AH61">
        <f t="shared" si="26"/>
        <v>0.22000000000000003</v>
      </c>
      <c r="AI61">
        <f t="shared" si="26"/>
        <v>0.22000000000000003</v>
      </c>
      <c r="AJ61">
        <f t="shared" si="26"/>
        <v>0.22000000000000003</v>
      </c>
      <c r="AK61">
        <f t="shared" si="26"/>
        <v>0.22000000000000003</v>
      </c>
      <c r="AL61">
        <f t="shared" si="26"/>
        <v>0.22000000000000003</v>
      </c>
      <c r="AM61">
        <f t="shared" si="26"/>
        <v>0.22000000000000003</v>
      </c>
      <c r="AN61">
        <f t="shared" si="26"/>
        <v>0.22000000000000003</v>
      </c>
      <c r="AO61">
        <f t="shared" si="26"/>
        <v>0.22000000000000003</v>
      </c>
      <c r="AP61">
        <f t="shared" si="26"/>
        <v>0.22000000000000003</v>
      </c>
      <c r="AQ61">
        <f t="shared" si="26"/>
        <v>0.22000000000000003</v>
      </c>
      <c r="AR61">
        <f t="shared" si="27"/>
        <v>0.22000000000000003</v>
      </c>
      <c r="AS61">
        <f t="shared" si="27"/>
        <v>0.22000000000000003</v>
      </c>
      <c r="AT61">
        <f t="shared" si="27"/>
        <v>0.22000000000000003</v>
      </c>
      <c r="AU61">
        <f t="shared" si="27"/>
        <v>0.22000000000000003</v>
      </c>
      <c r="AV61">
        <f t="shared" si="27"/>
        <v>0.22000000000000003</v>
      </c>
      <c r="AW61">
        <f t="shared" si="27"/>
        <v>0.22000000000000003</v>
      </c>
      <c r="AX61">
        <f t="shared" si="27"/>
        <v>0.22000000000000003</v>
      </c>
      <c r="AY61">
        <f t="shared" si="27"/>
        <v>0.22000000000000003</v>
      </c>
      <c r="AZ61">
        <f t="shared" si="27"/>
        <v>0.22000000000000003</v>
      </c>
      <c r="BA61" s="6"/>
    </row>
    <row r="62" spans="1:53" x14ac:dyDescent="0.2">
      <c r="A62">
        <f t="shared" si="6"/>
        <v>3</v>
      </c>
      <c r="B62" s="3">
        <f t="shared" si="22"/>
        <v>6</v>
      </c>
      <c r="C62">
        <f t="shared" si="23"/>
        <v>0.13500000000000001</v>
      </c>
      <c r="D62">
        <f t="shared" si="23"/>
        <v>0.13500000000000001</v>
      </c>
      <c r="E62">
        <f t="shared" si="23"/>
        <v>0.13500000000000001</v>
      </c>
      <c r="F62">
        <f t="shared" si="23"/>
        <v>0.13500000000000001</v>
      </c>
      <c r="G62">
        <f t="shared" si="23"/>
        <v>0.13500000000000001</v>
      </c>
      <c r="H62">
        <f t="shared" si="23"/>
        <v>0.13500000000000001</v>
      </c>
      <c r="I62">
        <f t="shared" si="23"/>
        <v>0.13500000000000001</v>
      </c>
      <c r="J62">
        <f t="shared" si="23"/>
        <v>0.13500000000000001</v>
      </c>
      <c r="K62">
        <f t="shared" si="23"/>
        <v>0.13500000000000001</v>
      </c>
      <c r="L62">
        <f t="shared" si="23"/>
        <v>0.13500000000000001</v>
      </c>
      <c r="M62">
        <f t="shared" si="23"/>
        <v>0.13500000000000001</v>
      </c>
      <c r="N62">
        <f t="shared" si="24"/>
        <v>0.13500000000000001</v>
      </c>
      <c r="O62">
        <f t="shared" si="24"/>
        <v>0.13500000000000001</v>
      </c>
      <c r="P62">
        <f t="shared" si="24"/>
        <v>0.13500000000000001</v>
      </c>
      <c r="Q62">
        <f t="shared" si="24"/>
        <v>0.13500000000000001</v>
      </c>
      <c r="R62">
        <f t="shared" si="24"/>
        <v>0.13500000000000001</v>
      </c>
      <c r="S62">
        <f t="shared" si="24"/>
        <v>0.13500000000000001</v>
      </c>
      <c r="T62">
        <f t="shared" si="24"/>
        <v>0.13500000000000001</v>
      </c>
      <c r="U62">
        <f t="shared" si="24"/>
        <v>0.13500000000000001</v>
      </c>
      <c r="V62">
        <f t="shared" si="24"/>
        <v>0.13500000000000001</v>
      </c>
      <c r="W62">
        <f t="shared" si="24"/>
        <v>0.13500000000000001</v>
      </c>
      <c r="X62">
        <f t="shared" si="25"/>
        <v>0.13500000000000001</v>
      </c>
      <c r="Y62">
        <f t="shared" si="25"/>
        <v>0.13500000000000001</v>
      </c>
      <c r="Z62">
        <f t="shared" si="25"/>
        <v>0.13500000000000001</v>
      </c>
      <c r="AA62">
        <f t="shared" si="25"/>
        <v>0.13500000000000001</v>
      </c>
      <c r="AB62">
        <f t="shared" si="25"/>
        <v>0.13500000000000001</v>
      </c>
      <c r="AC62">
        <f t="shared" si="25"/>
        <v>0.13500000000000001</v>
      </c>
      <c r="AD62">
        <f t="shared" si="25"/>
        <v>0.13500000000000001</v>
      </c>
      <c r="AE62">
        <f t="shared" si="25"/>
        <v>0.13500000000000001</v>
      </c>
      <c r="AF62">
        <f t="shared" si="25"/>
        <v>0.13500000000000001</v>
      </c>
      <c r="AG62">
        <f t="shared" si="25"/>
        <v>0.13500000000000001</v>
      </c>
      <c r="AH62">
        <f t="shared" si="26"/>
        <v>0.13500000000000001</v>
      </c>
      <c r="AI62">
        <f t="shared" si="26"/>
        <v>0.13500000000000001</v>
      </c>
      <c r="AJ62">
        <f t="shared" si="26"/>
        <v>0.13500000000000001</v>
      </c>
      <c r="AK62">
        <f t="shared" si="26"/>
        <v>0.13500000000000001</v>
      </c>
      <c r="AL62">
        <f t="shared" si="26"/>
        <v>0.13500000000000001</v>
      </c>
      <c r="AM62">
        <f t="shared" si="26"/>
        <v>0.13500000000000001</v>
      </c>
      <c r="AN62">
        <f t="shared" si="26"/>
        <v>0.13500000000000001</v>
      </c>
      <c r="AO62">
        <f t="shared" si="26"/>
        <v>0.13500000000000001</v>
      </c>
      <c r="AP62">
        <f t="shared" si="26"/>
        <v>0.13500000000000001</v>
      </c>
      <c r="AQ62">
        <f t="shared" si="26"/>
        <v>0.13500000000000001</v>
      </c>
      <c r="AR62">
        <f t="shared" si="27"/>
        <v>0.13500000000000001</v>
      </c>
      <c r="AS62">
        <f t="shared" si="27"/>
        <v>0.13500000000000001</v>
      </c>
      <c r="AT62">
        <f t="shared" si="27"/>
        <v>0.13500000000000001</v>
      </c>
      <c r="AU62">
        <f t="shared" si="27"/>
        <v>0.13500000000000001</v>
      </c>
      <c r="AV62">
        <f t="shared" si="27"/>
        <v>0.13500000000000001</v>
      </c>
      <c r="AW62">
        <f t="shared" si="27"/>
        <v>0.13500000000000001</v>
      </c>
      <c r="AX62">
        <f t="shared" si="27"/>
        <v>0.13500000000000001</v>
      </c>
      <c r="AY62">
        <f t="shared" si="27"/>
        <v>0.13500000000000001</v>
      </c>
      <c r="AZ62">
        <f t="shared" si="27"/>
        <v>0.13500000000000001</v>
      </c>
      <c r="BA62" s="6"/>
    </row>
    <row r="63" spans="1:53" x14ac:dyDescent="0.2">
      <c r="A63">
        <f t="shared" si="6"/>
        <v>2</v>
      </c>
      <c r="B63" s="3">
        <f t="shared" si="22"/>
        <v>4</v>
      </c>
      <c r="C63">
        <f t="shared" si="23"/>
        <v>7.0000000000000007E-2</v>
      </c>
      <c r="D63">
        <f t="shared" si="23"/>
        <v>7.0000000000000007E-2</v>
      </c>
      <c r="E63">
        <f t="shared" si="23"/>
        <v>7.0000000000000007E-2</v>
      </c>
      <c r="F63">
        <f t="shared" si="23"/>
        <v>7.0000000000000007E-2</v>
      </c>
      <c r="G63">
        <f t="shared" si="23"/>
        <v>7.0000000000000007E-2</v>
      </c>
      <c r="H63">
        <f t="shared" si="23"/>
        <v>7.0000000000000007E-2</v>
      </c>
      <c r="I63">
        <f t="shared" si="23"/>
        <v>7.0000000000000007E-2</v>
      </c>
      <c r="J63">
        <f t="shared" si="23"/>
        <v>7.0000000000000007E-2</v>
      </c>
      <c r="K63">
        <f t="shared" si="23"/>
        <v>7.0000000000000007E-2</v>
      </c>
      <c r="L63">
        <f t="shared" si="23"/>
        <v>7.0000000000000007E-2</v>
      </c>
      <c r="M63">
        <f t="shared" si="23"/>
        <v>7.0000000000000007E-2</v>
      </c>
      <c r="N63">
        <f t="shared" si="24"/>
        <v>7.0000000000000007E-2</v>
      </c>
      <c r="O63">
        <f t="shared" si="24"/>
        <v>7.0000000000000007E-2</v>
      </c>
      <c r="P63">
        <f t="shared" si="24"/>
        <v>7.0000000000000007E-2</v>
      </c>
      <c r="Q63">
        <f t="shared" si="24"/>
        <v>7.0000000000000007E-2</v>
      </c>
      <c r="R63">
        <f t="shared" si="24"/>
        <v>7.0000000000000007E-2</v>
      </c>
      <c r="S63">
        <f t="shared" si="24"/>
        <v>7.0000000000000007E-2</v>
      </c>
      <c r="T63">
        <f t="shared" si="24"/>
        <v>7.0000000000000007E-2</v>
      </c>
      <c r="U63">
        <f t="shared" si="24"/>
        <v>7.0000000000000007E-2</v>
      </c>
      <c r="V63">
        <f t="shared" si="24"/>
        <v>7.0000000000000007E-2</v>
      </c>
      <c r="W63">
        <f t="shared" si="24"/>
        <v>7.0000000000000007E-2</v>
      </c>
      <c r="X63">
        <f t="shared" si="25"/>
        <v>7.0000000000000007E-2</v>
      </c>
      <c r="Y63">
        <f t="shared" si="25"/>
        <v>7.0000000000000007E-2</v>
      </c>
      <c r="Z63">
        <f t="shared" si="25"/>
        <v>7.0000000000000007E-2</v>
      </c>
      <c r="AA63">
        <f t="shared" si="25"/>
        <v>7.0000000000000007E-2</v>
      </c>
      <c r="AB63">
        <f t="shared" si="25"/>
        <v>7.0000000000000007E-2</v>
      </c>
      <c r="AC63">
        <f t="shared" si="25"/>
        <v>7.0000000000000007E-2</v>
      </c>
      <c r="AD63">
        <f t="shared" si="25"/>
        <v>7.0000000000000007E-2</v>
      </c>
      <c r="AE63">
        <f t="shared" si="25"/>
        <v>7.0000000000000007E-2</v>
      </c>
      <c r="AF63">
        <f t="shared" si="25"/>
        <v>7.0000000000000007E-2</v>
      </c>
      <c r="AG63">
        <f t="shared" si="25"/>
        <v>7.0000000000000007E-2</v>
      </c>
      <c r="AH63">
        <f t="shared" si="26"/>
        <v>7.0000000000000007E-2</v>
      </c>
      <c r="AI63">
        <f t="shared" si="26"/>
        <v>7.0000000000000007E-2</v>
      </c>
      <c r="AJ63">
        <f t="shared" si="26"/>
        <v>7.0000000000000007E-2</v>
      </c>
      <c r="AK63">
        <f t="shared" si="26"/>
        <v>7.0000000000000007E-2</v>
      </c>
      <c r="AL63">
        <f t="shared" si="26"/>
        <v>7.0000000000000007E-2</v>
      </c>
      <c r="AM63">
        <f t="shared" si="26"/>
        <v>7.0000000000000007E-2</v>
      </c>
      <c r="AN63">
        <f t="shared" si="26"/>
        <v>7.0000000000000007E-2</v>
      </c>
      <c r="AO63">
        <f t="shared" si="26"/>
        <v>7.0000000000000007E-2</v>
      </c>
      <c r="AP63">
        <f t="shared" si="26"/>
        <v>7.0000000000000007E-2</v>
      </c>
      <c r="AQ63">
        <f t="shared" si="26"/>
        <v>7.0000000000000007E-2</v>
      </c>
      <c r="AR63">
        <f t="shared" si="27"/>
        <v>7.0000000000000007E-2</v>
      </c>
      <c r="AS63">
        <f t="shared" si="27"/>
        <v>7.0000000000000007E-2</v>
      </c>
      <c r="AT63">
        <f t="shared" si="27"/>
        <v>7.0000000000000007E-2</v>
      </c>
      <c r="AU63">
        <f t="shared" si="27"/>
        <v>7.0000000000000007E-2</v>
      </c>
      <c r="AV63">
        <f t="shared" si="27"/>
        <v>7.0000000000000007E-2</v>
      </c>
      <c r="AW63">
        <f t="shared" si="27"/>
        <v>7.0000000000000007E-2</v>
      </c>
      <c r="AX63">
        <f t="shared" si="27"/>
        <v>7.0000000000000007E-2</v>
      </c>
      <c r="AY63">
        <f t="shared" si="27"/>
        <v>7.0000000000000007E-2</v>
      </c>
      <c r="AZ63">
        <f t="shared" si="27"/>
        <v>7.0000000000000007E-2</v>
      </c>
      <c r="BA63" s="6"/>
    </row>
    <row r="64" spans="1:53" x14ac:dyDescent="0.2">
      <c r="A64">
        <f t="shared" si="6"/>
        <v>1</v>
      </c>
      <c r="B64" s="3">
        <f t="shared" si="22"/>
        <v>2</v>
      </c>
      <c r="C64">
        <f t="shared" si="23"/>
        <v>2.5000000000000001E-2</v>
      </c>
      <c r="D64">
        <f t="shared" si="23"/>
        <v>2.5000000000000001E-2</v>
      </c>
      <c r="E64">
        <f t="shared" si="23"/>
        <v>2.5000000000000001E-2</v>
      </c>
      <c r="F64">
        <f t="shared" si="23"/>
        <v>2.5000000000000001E-2</v>
      </c>
      <c r="G64">
        <f t="shared" si="23"/>
        <v>2.5000000000000001E-2</v>
      </c>
      <c r="H64">
        <f t="shared" si="23"/>
        <v>2.5000000000000001E-2</v>
      </c>
      <c r="I64">
        <f t="shared" si="23"/>
        <v>2.5000000000000001E-2</v>
      </c>
      <c r="J64">
        <f t="shared" si="23"/>
        <v>2.5000000000000001E-2</v>
      </c>
      <c r="K64">
        <f t="shared" si="23"/>
        <v>2.5000000000000001E-2</v>
      </c>
      <c r="L64">
        <f t="shared" si="23"/>
        <v>2.5000000000000001E-2</v>
      </c>
      <c r="M64">
        <f t="shared" si="23"/>
        <v>2.5000000000000001E-2</v>
      </c>
      <c r="N64">
        <f t="shared" si="24"/>
        <v>2.5000000000000001E-2</v>
      </c>
      <c r="O64">
        <f t="shared" si="24"/>
        <v>2.5000000000000001E-2</v>
      </c>
      <c r="P64">
        <f t="shared" si="24"/>
        <v>2.5000000000000001E-2</v>
      </c>
      <c r="Q64">
        <f t="shared" si="24"/>
        <v>2.5000000000000001E-2</v>
      </c>
      <c r="R64">
        <f t="shared" si="24"/>
        <v>2.5000000000000001E-2</v>
      </c>
      <c r="S64">
        <f t="shared" si="24"/>
        <v>2.5000000000000001E-2</v>
      </c>
      <c r="T64">
        <f t="shared" si="24"/>
        <v>2.5000000000000001E-2</v>
      </c>
      <c r="U64">
        <f t="shared" si="24"/>
        <v>2.5000000000000001E-2</v>
      </c>
      <c r="V64">
        <f t="shared" si="24"/>
        <v>2.5000000000000001E-2</v>
      </c>
      <c r="W64">
        <f t="shared" si="24"/>
        <v>2.5000000000000001E-2</v>
      </c>
      <c r="X64">
        <f t="shared" si="25"/>
        <v>2.5000000000000001E-2</v>
      </c>
      <c r="Y64">
        <f t="shared" si="25"/>
        <v>2.5000000000000001E-2</v>
      </c>
      <c r="Z64">
        <f t="shared" si="25"/>
        <v>2.5000000000000001E-2</v>
      </c>
      <c r="AA64">
        <f t="shared" si="25"/>
        <v>2.5000000000000001E-2</v>
      </c>
      <c r="AB64">
        <f t="shared" si="25"/>
        <v>2.5000000000000001E-2</v>
      </c>
      <c r="AC64">
        <f t="shared" si="25"/>
        <v>2.5000000000000001E-2</v>
      </c>
      <c r="AD64">
        <f t="shared" si="25"/>
        <v>2.5000000000000001E-2</v>
      </c>
      <c r="AE64">
        <f t="shared" si="25"/>
        <v>2.5000000000000001E-2</v>
      </c>
      <c r="AF64">
        <f t="shared" si="25"/>
        <v>2.5000000000000001E-2</v>
      </c>
      <c r="AG64">
        <f t="shared" si="25"/>
        <v>2.5000000000000001E-2</v>
      </c>
      <c r="AH64">
        <f t="shared" si="26"/>
        <v>2.5000000000000001E-2</v>
      </c>
      <c r="AI64">
        <f t="shared" si="26"/>
        <v>2.5000000000000001E-2</v>
      </c>
      <c r="AJ64">
        <f t="shared" si="26"/>
        <v>2.5000000000000001E-2</v>
      </c>
      <c r="AK64">
        <f t="shared" si="26"/>
        <v>2.5000000000000001E-2</v>
      </c>
      <c r="AL64">
        <f t="shared" si="26"/>
        <v>2.5000000000000001E-2</v>
      </c>
      <c r="AM64">
        <f t="shared" si="26"/>
        <v>2.5000000000000001E-2</v>
      </c>
      <c r="AN64">
        <f t="shared" si="26"/>
        <v>2.5000000000000001E-2</v>
      </c>
      <c r="AO64">
        <f t="shared" si="26"/>
        <v>2.5000000000000001E-2</v>
      </c>
      <c r="AP64">
        <f t="shared" si="26"/>
        <v>2.5000000000000001E-2</v>
      </c>
      <c r="AQ64">
        <f t="shared" si="26"/>
        <v>2.5000000000000001E-2</v>
      </c>
      <c r="AR64">
        <f t="shared" si="27"/>
        <v>2.5000000000000001E-2</v>
      </c>
      <c r="AS64">
        <f t="shared" si="27"/>
        <v>2.5000000000000001E-2</v>
      </c>
      <c r="AT64">
        <f t="shared" si="27"/>
        <v>2.5000000000000001E-2</v>
      </c>
      <c r="AU64">
        <f t="shared" si="27"/>
        <v>2.5000000000000001E-2</v>
      </c>
      <c r="AV64">
        <f t="shared" si="27"/>
        <v>2.5000000000000001E-2</v>
      </c>
      <c r="AW64">
        <f t="shared" si="27"/>
        <v>2.5000000000000001E-2</v>
      </c>
      <c r="AX64">
        <f t="shared" si="27"/>
        <v>2.5000000000000001E-2</v>
      </c>
      <c r="AY64">
        <f t="shared" si="27"/>
        <v>2.5000000000000001E-2</v>
      </c>
      <c r="AZ64">
        <f t="shared" si="27"/>
        <v>2.5000000000000001E-2</v>
      </c>
      <c r="BA64" s="6"/>
    </row>
    <row r="65" spans="1:53" x14ac:dyDescent="0.2">
      <c r="A65">
        <f t="shared" si="6"/>
        <v>0</v>
      </c>
      <c r="B65" s="3">
        <f t="shared" si="22"/>
        <v>0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28">D67*dt</f>
        <v>0.01</v>
      </c>
      <c r="E66" s="5">
        <f t="shared" si="28"/>
        <v>0.02</v>
      </c>
      <c r="F66" s="5">
        <f t="shared" si="28"/>
        <v>0.03</v>
      </c>
      <c r="G66" s="5">
        <f t="shared" si="28"/>
        <v>0.04</v>
      </c>
      <c r="H66" s="5">
        <f t="shared" si="28"/>
        <v>0.05</v>
      </c>
      <c r="I66" s="5">
        <f t="shared" si="28"/>
        <v>0.06</v>
      </c>
      <c r="J66" s="5">
        <f t="shared" si="28"/>
        <v>7.0000000000000007E-2</v>
      </c>
      <c r="K66" s="5">
        <f t="shared" si="28"/>
        <v>0.08</v>
      </c>
      <c r="L66" s="5">
        <f t="shared" si="28"/>
        <v>0.09</v>
      </c>
      <c r="M66" s="5">
        <f t="shared" si="28"/>
        <v>0.1</v>
      </c>
      <c r="N66" s="5">
        <f t="shared" si="28"/>
        <v>0.11</v>
      </c>
      <c r="O66" s="5">
        <f t="shared" si="28"/>
        <v>0.12</v>
      </c>
      <c r="P66" s="5">
        <f t="shared" si="28"/>
        <v>0.13</v>
      </c>
      <c r="Q66" s="5">
        <f t="shared" si="28"/>
        <v>0.14000000000000001</v>
      </c>
      <c r="R66" s="5">
        <f t="shared" si="28"/>
        <v>0.15</v>
      </c>
      <c r="S66" s="5">
        <f t="shared" si="28"/>
        <v>0.16</v>
      </c>
      <c r="T66" s="5">
        <f t="shared" si="28"/>
        <v>0.17</v>
      </c>
      <c r="U66" s="5">
        <f t="shared" si="28"/>
        <v>0.18</v>
      </c>
      <c r="V66" s="5">
        <f t="shared" si="28"/>
        <v>0.19</v>
      </c>
      <c r="W66" s="5">
        <f t="shared" si="28"/>
        <v>0.2</v>
      </c>
      <c r="X66" s="5">
        <f t="shared" si="28"/>
        <v>0.21</v>
      </c>
      <c r="Y66" s="5">
        <f t="shared" si="28"/>
        <v>0.22</v>
      </c>
      <c r="Z66" s="5">
        <f t="shared" si="28"/>
        <v>0.23</v>
      </c>
      <c r="AA66" s="5">
        <f t="shared" si="28"/>
        <v>0.24</v>
      </c>
      <c r="AB66" s="5">
        <f t="shared" si="28"/>
        <v>0.25</v>
      </c>
      <c r="AC66" s="5">
        <f t="shared" si="28"/>
        <v>0.26</v>
      </c>
      <c r="AD66" s="5">
        <f t="shared" si="28"/>
        <v>0.27</v>
      </c>
      <c r="AE66" s="5">
        <f t="shared" si="28"/>
        <v>0.28000000000000003</v>
      </c>
      <c r="AF66" s="5">
        <f t="shared" si="28"/>
        <v>0.28999999999999998</v>
      </c>
      <c r="AG66" s="5">
        <f t="shared" si="28"/>
        <v>0.3</v>
      </c>
      <c r="AH66" s="5">
        <f t="shared" si="28"/>
        <v>0.31</v>
      </c>
      <c r="AI66" s="5">
        <f t="shared" si="28"/>
        <v>0.32</v>
      </c>
      <c r="AJ66" s="5">
        <f t="shared" ref="AJ66:BA66" si="29">AJ67*dt</f>
        <v>0.33</v>
      </c>
      <c r="AK66" s="5">
        <f t="shared" si="29"/>
        <v>0.34</v>
      </c>
      <c r="AL66" s="5">
        <f t="shared" si="29"/>
        <v>0.35000000000000003</v>
      </c>
      <c r="AM66" s="5">
        <f t="shared" si="29"/>
        <v>0.36</v>
      </c>
      <c r="AN66" s="5">
        <f t="shared" si="29"/>
        <v>0.37</v>
      </c>
      <c r="AO66" s="5">
        <f t="shared" si="29"/>
        <v>0.38</v>
      </c>
      <c r="AP66" s="5">
        <f t="shared" si="29"/>
        <v>0.39</v>
      </c>
      <c r="AQ66" s="5">
        <f t="shared" si="29"/>
        <v>0.4</v>
      </c>
      <c r="AR66" s="5">
        <f t="shared" si="29"/>
        <v>0.41000000000000003</v>
      </c>
      <c r="AS66" s="5">
        <f t="shared" si="29"/>
        <v>0.42</v>
      </c>
      <c r="AT66" s="5">
        <f t="shared" si="29"/>
        <v>0.43</v>
      </c>
      <c r="AU66" s="5">
        <f t="shared" si="29"/>
        <v>0.44</v>
      </c>
      <c r="AV66" s="5">
        <f t="shared" si="29"/>
        <v>0.45</v>
      </c>
      <c r="AW66" s="5">
        <f t="shared" si="29"/>
        <v>0.46</v>
      </c>
      <c r="AX66" s="5">
        <f t="shared" si="29"/>
        <v>0.47000000000000003</v>
      </c>
      <c r="AY66" s="5">
        <f t="shared" si="29"/>
        <v>0.48</v>
      </c>
      <c r="AZ66" s="5">
        <f t="shared" si="29"/>
        <v>0.49</v>
      </c>
      <c r="BA66" s="5">
        <f t="shared" si="29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0">F67+1</f>
        <v>4</v>
      </c>
      <c r="H67" s="2">
        <f t="shared" si="30"/>
        <v>5</v>
      </c>
      <c r="I67" s="2">
        <f t="shared" si="30"/>
        <v>6</v>
      </c>
      <c r="J67" s="2">
        <f t="shared" si="30"/>
        <v>7</v>
      </c>
      <c r="K67" s="2">
        <f t="shared" si="30"/>
        <v>8</v>
      </c>
      <c r="L67" s="2">
        <f t="shared" si="30"/>
        <v>9</v>
      </c>
      <c r="M67" s="2">
        <f t="shared" si="30"/>
        <v>10</v>
      </c>
      <c r="N67" s="2">
        <f t="shared" si="30"/>
        <v>11</v>
      </c>
      <c r="O67" s="2">
        <f t="shared" si="30"/>
        <v>12</v>
      </c>
      <c r="P67" s="2">
        <f t="shared" si="30"/>
        <v>13</v>
      </c>
      <c r="Q67" s="2">
        <f t="shared" si="30"/>
        <v>14</v>
      </c>
      <c r="R67" s="2">
        <f t="shared" si="30"/>
        <v>15</v>
      </c>
      <c r="S67" s="2">
        <f t="shared" si="30"/>
        <v>16</v>
      </c>
      <c r="T67" s="2">
        <f t="shared" si="30"/>
        <v>17</v>
      </c>
      <c r="U67" s="2">
        <f t="shared" si="30"/>
        <v>18</v>
      </c>
      <c r="V67" s="2">
        <f t="shared" si="30"/>
        <v>19</v>
      </c>
      <c r="W67" s="2">
        <f t="shared" si="30"/>
        <v>20</v>
      </c>
      <c r="X67" s="2">
        <f t="shared" si="30"/>
        <v>21</v>
      </c>
      <c r="Y67" s="2">
        <f t="shared" si="30"/>
        <v>22</v>
      </c>
      <c r="Z67" s="2">
        <f t="shared" si="30"/>
        <v>23</v>
      </c>
      <c r="AA67" s="2">
        <f t="shared" si="30"/>
        <v>24</v>
      </c>
      <c r="AB67" s="2">
        <f t="shared" si="30"/>
        <v>25</v>
      </c>
      <c r="AC67" s="2">
        <f t="shared" si="30"/>
        <v>26</v>
      </c>
      <c r="AD67" s="2">
        <f t="shared" si="30"/>
        <v>27</v>
      </c>
      <c r="AE67" s="2">
        <f t="shared" si="30"/>
        <v>28</v>
      </c>
      <c r="AF67" s="2">
        <f t="shared" si="30"/>
        <v>29</v>
      </c>
      <c r="AG67" s="2">
        <f t="shared" si="30"/>
        <v>30</v>
      </c>
      <c r="AH67" s="2">
        <f t="shared" si="30"/>
        <v>31</v>
      </c>
      <c r="AI67" s="2">
        <f t="shared" si="30"/>
        <v>32</v>
      </c>
      <c r="AJ67" s="2">
        <f t="shared" si="30"/>
        <v>33</v>
      </c>
      <c r="AK67" s="2">
        <f t="shared" si="30"/>
        <v>34</v>
      </c>
      <c r="AL67" s="2">
        <f t="shared" si="30"/>
        <v>35</v>
      </c>
      <c r="AM67" s="2">
        <f t="shared" si="30"/>
        <v>36</v>
      </c>
      <c r="AN67" s="2">
        <f t="shared" si="30"/>
        <v>37</v>
      </c>
      <c r="AO67" s="2">
        <f t="shared" si="30"/>
        <v>38</v>
      </c>
      <c r="AP67" s="2">
        <f t="shared" si="30"/>
        <v>39</v>
      </c>
      <c r="AQ67" s="2">
        <f t="shared" si="30"/>
        <v>40</v>
      </c>
      <c r="AR67" s="2">
        <f t="shared" si="30"/>
        <v>41</v>
      </c>
      <c r="AS67" s="2">
        <f t="shared" si="30"/>
        <v>42</v>
      </c>
      <c r="AT67" s="2">
        <f t="shared" si="30"/>
        <v>43</v>
      </c>
      <c r="AU67" s="2">
        <f t="shared" si="30"/>
        <v>44</v>
      </c>
      <c r="AV67" s="2">
        <f t="shared" si="30"/>
        <v>45</v>
      </c>
      <c r="AW67" s="2">
        <f t="shared" si="30"/>
        <v>46</v>
      </c>
      <c r="AX67" s="2">
        <f t="shared" si="30"/>
        <v>47</v>
      </c>
      <c r="AY67" s="2">
        <f t="shared" si="30"/>
        <v>48</v>
      </c>
      <c r="AZ67" s="2">
        <f t="shared" si="30"/>
        <v>49</v>
      </c>
      <c r="BA67" s="2">
        <f t="shared" si="30"/>
        <v>50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4:BA67"/>
  <sheetViews>
    <sheetView topLeftCell="A16" workbookViewId="0">
      <selection activeCell="D38" sqref="D38"/>
    </sheetView>
  </sheetViews>
  <sheetFormatPr defaultColWidth="8.85546875" defaultRowHeight="12.75" x14ac:dyDescent="0.2"/>
  <cols>
    <col min="4" max="4" width="11.28515625" bestFit="1" customWidth="1"/>
  </cols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46" si="0">Smin+dS*A15</f>
        <v>100</v>
      </c>
      <c r="C15" s="6">
        <f>$B$15*EXP(-d*(T-C66))-K*EXP(-rate*(T-C66))</f>
        <v>61.182178658059676</v>
      </c>
      <c r="D15" s="6">
        <f t="shared" ref="D15:AI15" si="1">$B$15*EXP(-d*(T-D66))-K*EXP(-rate*(T-D66))</f>
        <v>61.158880976649016</v>
      </c>
      <c r="E15" s="6">
        <f t="shared" si="1"/>
        <v>61.135569312435088</v>
      </c>
      <c r="F15" s="6">
        <f t="shared" si="1"/>
        <v>61.112243657025701</v>
      </c>
      <c r="G15" s="6">
        <f t="shared" si="1"/>
        <v>61.088904002023604</v>
      </c>
      <c r="H15" s="6">
        <f t="shared" si="1"/>
        <v>61.06555033902653</v>
      </c>
      <c r="I15" s="6">
        <f t="shared" si="1"/>
        <v>61.042182659627152</v>
      </c>
      <c r="J15" s="6">
        <f t="shared" si="1"/>
        <v>61.01880095541312</v>
      </c>
      <c r="K15" s="6">
        <f t="shared" si="1"/>
        <v>60.995405217967004</v>
      </c>
      <c r="L15" s="6">
        <f t="shared" si="1"/>
        <v>60.971995438866344</v>
      </c>
      <c r="M15" s="6">
        <f t="shared" si="1"/>
        <v>60.948571609683626</v>
      </c>
      <c r="N15" s="6">
        <f t="shared" si="1"/>
        <v>60.925133721986263</v>
      </c>
      <c r="O15" s="6">
        <f t="shared" si="1"/>
        <v>60.901681767336619</v>
      </c>
      <c r="P15" s="6">
        <f t="shared" si="1"/>
        <v>60.878215737291995</v>
      </c>
      <c r="Q15" s="6">
        <f t="shared" si="1"/>
        <v>60.854735623404601</v>
      </c>
      <c r="R15" s="6">
        <f t="shared" si="1"/>
        <v>60.831241417221619</v>
      </c>
      <c r="S15" s="6">
        <f t="shared" si="1"/>
        <v>60.807733110285113</v>
      </c>
      <c r="T15" s="6">
        <f t="shared" si="1"/>
        <v>60.784210694132113</v>
      </c>
      <c r="U15" s="6">
        <f t="shared" si="1"/>
        <v>60.760674160294542</v>
      </c>
      <c r="V15" s="6">
        <f t="shared" si="1"/>
        <v>60.737123500299234</v>
      </c>
      <c r="W15" s="6">
        <f t="shared" si="1"/>
        <v>60.713558705667971</v>
      </c>
      <c r="X15" s="6">
        <f t="shared" si="1"/>
        <v>60.689979767917414</v>
      </c>
      <c r="Y15" s="6">
        <f t="shared" si="1"/>
        <v>60.666386678559149</v>
      </c>
      <c r="Z15" s="6">
        <f t="shared" si="1"/>
        <v>60.642779429099669</v>
      </c>
      <c r="AA15" s="6">
        <f t="shared" si="1"/>
        <v>60.619158011040348</v>
      </c>
      <c r="AB15" s="6">
        <f t="shared" si="1"/>
        <v>60.595522415877497</v>
      </c>
      <c r="AC15" s="6">
        <f t="shared" si="1"/>
        <v>60.571872635102281</v>
      </c>
      <c r="AD15" s="6">
        <f t="shared" si="1"/>
        <v>60.548208660200793</v>
      </c>
      <c r="AE15" s="6">
        <f t="shared" si="1"/>
        <v>60.524530482653994</v>
      </c>
      <c r="AF15" s="6">
        <f t="shared" si="1"/>
        <v>60.500838093937745</v>
      </c>
      <c r="AG15" s="6">
        <f t="shared" si="1"/>
        <v>60.477131485522776</v>
      </c>
      <c r="AH15" s="6">
        <f t="shared" si="1"/>
        <v>60.453410648874723</v>
      </c>
      <c r="AI15" s="6">
        <f t="shared" si="1"/>
        <v>60.42967557545407</v>
      </c>
      <c r="AJ15" s="6">
        <f t="shared" ref="AJ15:AZ15" si="2">$B$15*EXP(-d*(T-AJ66))-K*EXP(-rate*(T-AJ66))</f>
        <v>60.405926256716207</v>
      </c>
      <c r="AK15" s="6">
        <f t="shared" si="2"/>
        <v>60.382162684111357</v>
      </c>
      <c r="AL15" s="6">
        <f t="shared" si="2"/>
        <v>60.358384849084658</v>
      </c>
      <c r="AM15" s="6">
        <f t="shared" si="2"/>
        <v>60.334592743076065</v>
      </c>
      <c r="AN15" s="6">
        <f t="shared" si="2"/>
        <v>60.310786357520435</v>
      </c>
      <c r="AO15" s="6">
        <f t="shared" si="2"/>
        <v>60.286965683847463</v>
      </c>
      <c r="AP15" s="6">
        <f t="shared" si="2"/>
        <v>60.263130713481715</v>
      </c>
      <c r="AQ15" s="6">
        <f t="shared" si="2"/>
        <v>60.239281437842592</v>
      </c>
      <c r="AR15" s="6">
        <f t="shared" si="2"/>
        <v>60.215417848344352</v>
      </c>
      <c r="AS15" s="6">
        <f t="shared" si="2"/>
        <v>60.191539936396111</v>
      </c>
      <c r="AT15" s="6">
        <f t="shared" si="2"/>
        <v>60.167647693401818</v>
      </c>
      <c r="AU15" s="6">
        <f t="shared" si="2"/>
        <v>60.143741110760267</v>
      </c>
      <c r="AV15" s="6">
        <f t="shared" si="2"/>
        <v>60.11982017986508</v>
      </c>
      <c r="AW15" s="6">
        <f t="shared" si="2"/>
        <v>60.095884892104728</v>
      </c>
      <c r="AX15" s="6">
        <f t="shared" si="2"/>
        <v>60.071935238862508</v>
      </c>
      <c r="AY15" s="6">
        <f t="shared" si="2"/>
        <v>60.047971211516547</v>
      </c>
      <c r="AZ15" s="6">
        <f t="shared" si="2"/>
        <v>60.023992801439782</v>
      </c>
      <c r="BA15" s="6"/>
    </row>
    <row r="16" spans="1:53" x14ac:dyDescent="0.2">
      <c r="A16">
        <f>A15-1</f>
        <v>49</v>
      </c>
      <c r="B16" s="3">
        <f t="shared" si="0"/>
        <v>98</v>
      </c>
      <c r="C16">
        <f>-0.25*(sigma^2*$A16^2-(rate-d)*$A16)*EurCall!D17-(-0.5*sigma^2*$A16^2-0.5*rate+1/dt)*EurCall!D16-0.25*(sigma^2*$A16^2+(rate-d)*$A16)*EurCall!D15</f>
        <v>-5917.0533318997741</v>
      </c>
      <c r="D16">
        <f>-0.25*(sigma^2*$A16^2-(rate-d)*$A16)*EurCall!E17-(-0.5*sigma^2*$A16^2-0.5*rate+1/dt)*EurCall!E16-0.25*(sigma^2*$A16^2+(rate-d)*$A16)*EurCall!E15</f>
        <v>-5914.7228648140472</v>
      </c>
      <c r="E16">
        <f>-0.25*(sigma^2*$A16^2-(rate-d)*$A16)*EurCall!F17-(-0.5*sigma^2*$A16^2-0.5*rate+1/dt)*EurCall!F16-0.25*(sigma^2*$A16^2+(rate-d)*$A16)*EurCall!F15</f>
        <v>-5912.3909990303555</v>
      </c>
      <c r="F16">
        <f>-0.25*(sigma^2*$A16^2-(rate-d)*$A16)*EurCall!G17-(-0.5*sigma^2*$A16^2-0.5*rate+1/dt)*EurCall!G16-0.25*(sigma^2*$A16^2+(rate-d)*$A16)*EurCall!G15</f>
        <v>-5910.0577337087852</v>
      </c>
      <c r="G16">
        <f>-0.25*(sigma^2*$A16^2-(rate-d)*$A16)*EurCall!H17-(-0.5*sigma^2*$A16^2-0.5*rate+1/dt)*EurCall!H16-0.25*(sigma^2*$A16^2+(rate-d)*$A16)*EurCall!H15</f>
        <v>-5907.723068009007</v>
      </c>
      <c r="H16">
        <f>-0.25*(sigma^2*$A16^2-(rate-d)*$A16)*EurCall!I17-(-0.5*sigma^2*$A16^2-0.5*rate+1/dt)*EurCall!I16-0.25*(sigma^2*$A16^2+(rate-d)*$A16)*EurCall!I15</f>
        <v>-5905.387001090261</v>
      </c>
      <c r="I16">
        <f>-0.25*(sigma^2*$A16^2-(rate-d)*$A16)*EurCall!J17-(-0.5*sigma^2*$A16^2-0.5*rate+1/dt)*EurCall!J16-0.25*(sigma^2*$A16^2+(rate-d)*$A16)*EurCall!J15</f>
        <v>-5903.0495321113431</v>
      </c>
      <c r="J16">
        <f>-0.25*(sigma^2*$A16^2-(rate-d)*$A16)*EurCall!K17-(-0.5*sigma^2*$A16^2-0.5*rate+1/dt)*EurCall!K16-0.25*(sigma^2*$A16^2+(rate-d)*$A16)*EurCall!K15</f>
        <v>-5900.7106602305939</v>
      </c>
      <c r="K16">
        <f>-0.25*(sigma^2*$A16^2-(rate-d)*$A16)*EurCall!L17-(-0.5*sigma^2*$A16^2-0.5*rate+1/dt)*EurCall!L16-0.25*(sigma^2*$A16^2+(rate-d)*$A16)*EurCall!L15</f>
        <v>-5898.3703846058852</v>
      </c>
      <c r="L16">
        <f>-0.25*(sigma^2*$A16^2-(rate-d)*$A16)*EurCall!M17-(-0.5*sigma^2*$A16^2-0.5*rate+1/dt)*EurCall!M16-0.25*(sigma^2*$A16^2+(rate-d)*$A16)*EurCall!M15</f>
        <v>-5896.0287043946173</v>
      </c>
      <c r="M16">
        <f>-0.25*(sigma^2*$A16^2-(rate-d)*$A16)*EurCall!N17-(-0.5*sigma^2*$A16^2-0.5*rate+1/dt)*EurCall!N16-0.25*(sigma^2*$A16^2+(rate-d)*$A16)*EurCall!N15</f>
        <v>-5893.6856187537069</v>
      </c>
      <c r="N16">
        <f>-0.25*(sigma^2*$A16^2-(rate-d)*$A16)*EurCall!O17-(-0.5*sigma^2*$A16^2-0.5*rate+1/dt)*EurCall!O16-0.25*(sigma^2*$A16^2+(rate-d)*$A16)*EurCall!O15</f>
        <v>-5891.3411268395867</v>
      </c>
      <c r="O16">
        <f>-0.25*(sigma^2*$A16^2-(rate-d)*$A16)*EurCall!P17-(-0.5*sigma^2*$A16^2-0.5*rate+1/dt)*EurCall!P16-0.25*(sigma^2*$A16^2+(rate-d)*$A16)*EurCall!P15</f>
        <v>-5888.9952278081928</v>
      </c>
      <c r="P16">
        <f>-0.25*(sigma^2*$A16^2-(rate-d)*$A16)*EurCall!Q17-(-0.5*sigma^2*$A16^2-0.5*rate+1/dt)*EurCall!Q16-0.25*(sigma^2*$A16^2+(rate-d)*$A16)*EurCall!Q15</f>
        <v>-5886.6479208149685</v>
      </c>
      <c r="Q16">
        <f>-0.25*(sigma^2*$A16^2-(rate-d)*$A16)*EurCall!R17-(-0.5*sigma^2*$A16^2-0.5*rate+1/dt)*EurCall!R16-0.25*(sigma^2*$A16^2+(rate-d)*$A16)*EurCall!R15</f>
        <v>-5884.2992050148587</v>
      </c>
      <c r="R16">
        <f>-0.25*(sigma^2*$A16^2-(rate-d)*$A16)*EurCall!S17-(-0.5*sigma^2*$A16^2-0.5*rate+1/dt)*EurCall!S16-0.25*(sigma^2*$A16^2+(rate-d)*$A16)*EurCall!S15</f>
        <v>-5881.9490795623042</v>
      </c>
      <c r="S16">
        <f>-0.25*(sigma^2*$A16^2-(rate-d)*$A16)*EurCall!T17-(-0.5*sigma^2*$A16^2-0.5*rate+1/dt)*EurCall!T16-0.25*(sigma^2*$A16^2+(rate-d)*$A16)*EurCall!T15</f>
        <v>-5879.5975436112458</v>
      </c>
      <c r="T16">
        <f>-0.25*(sigma^2*$A16^2-(rate-d)*$A16)*EurCall!U17-(-0.5*sigma^2*$A16^2-0.5*rate+1/dt)*EurCall!U16-0.25*(sigma^2*$A16^2+(rate-d)*$A16)*EurCall!U15</f>
        <v>-5877.244596315114</v>
      </c>
      <c r="U16">
        <f>-0.25*(sigma^2*$A16^2-(rate-d)*$A16)*EurCall!V17-(-0.5*sigma^2*$A16^2-0.5*rate+1/dt)*EurCall!V16-0.25*(sigma^2*$A16^2+(rate-d)*$A16)*EurCall!V15</f>
        <v>-5874.8902368268373</v>
      </c>
      <c r="V16">
        <f>-0.25*(sigma^2*$A16^2-(rate-d)*$A16)*EurCall!W17-(-0.5*sigma^2*$A16^2-0.5*rate+1/dt)*EurCall!W16-0.25*(sigma^2*$A16^2+(rate-d)*$A16)*EurCall!W15</f>
        <v>-5872.5344642988366</v>
      </c>
      <c r="W16">
        <f>-0.25*(sigma^2*$A16^2-(rate-d)*$A16)*EurCall!X17-(-0.5*sigma^2*$A16^2-0.5*rate+1/dt)*EurCall!X16-0.25*(sigma^2*$A16^2+(rate-d)*$A16)*EurCall!X15</f>
        <v>-5870.1772778830236</v>
      </c>
      <c r="X16">
        <f>-0.25*(sigma^2*$A16^2-(rate-d)*$A16)*EurCall!Y17-(-0.5*sigma^2*$A16^2-0.5*rate+1/dt)*EurCall!Y16-0.25*(sigma^2*$A16^2+(rate-d)*$A16)*EurCall!Y15</f>
        <v>-5867.8186767308016</v>
      </c>
      <c r="Y16">
        <f>-0.25*(sigma^2*$A16^2-(rate-d)*$A16)*EurCall!Z17-(-0.5*sigma^2*$A16^2-0.5*rate+1/dt)*EurCall!Z16-0.25*(sigma^2*$A16^2+(rate-d)*$A16)*EurCall!Z15</f>
        <v>-5865.4586599930626</v>
      </c>
      <c r="Z16">
        <f>-0.25*(sigma^2*$A16^2-(rate-d)*$A16)*EurCall!AA17-(-0.5*sigma^2*$A16^2-0.5*rate+1/dt)*EurCall!AA16-0.25*(sigma^2*$A16^2+(rate-d)*$A16)*EurCall!AA15</f>
        <v>-5863.0972268201895</v>
      </c>
      <c r="AA16">
        <f>-0.25*(sigma^2*$A16^2-(rate-d)*$A16)*EurCall!AB17-(-0.5*sigma^2*$A16^2-0.5*rate+1/dt)*EurCall!AB16-0.25*(sigma^2*$A16^2+(rate-d)*$A16)*EurCall!AB15</f>
        <v>-5860.7343763620547</v>
      </c>
      <c r="AB16">
        <f>-0.25*(sigma^2*$A16^2-(rate-d)*$A16)*EurCall!AC17-(-0.5*sigma^2*$A16^2-0.5*rate+1/dt)*EurCall!AC16-0.25*(sigma^2*$A16^2+(rate-d)*$A16)*EurCall!AC15</f>
        <v>-5858.3701077680189</v>
      </c>
      <c r="AC16">
        <f>-0.25*(sigma^2*$A16^2-(rate-d)*$A16)*EurCall!AD17-(-0.5*sigma^2*$A16^2-0.5*rate+1/dt)*EurCall!AD16-0.25*(sigma^2*$A16^2+(rate-d)*$A16)*EurCall!AD15</f>
        <v>-5856.0044201869314</v>
      </c>
      <c r="AD16">
        <f>-0.25*(sigma^2*$A16^2-(rate-d)*$A16)*EurCall!AE17-(-0.5*sigma^2*$A16^2-0.5*rate+1/dt)*EurCall!AE16-0.25*(sigma^2*$A16^2+(rate-d)*$A16)*EurCall!AE15</f>
        <v>-5853.6373127671304</v>
      </c>
      <c r="AE16">
        <f>-0.25*(sigma^2*$A16^2-(rate-d)*$A16)*EurCall!AF17-(-0.5*sigma^2*$A16^2-0.5*rate+1/dt)*EurCall!AF16-0.25*(sigma^2*$A16^2+(rate-d)*$A16)*EurCall!AF15</f>
        <v>-5851.2687846564386</v>
      </c>
      <c r="AF16">
        <f>-0.25*(sigma^2*$A16^2-(rate-d)*$A16)*EurCall!AG17-(-0.5*sigma^2*$A16^2-0.5*rate+1/dt)*EurCall!AG16-0.25*(sigma^2*$A16^2+(rate-d)*$A16)*EurCall!AG15</f>
        <v>-5848.8988350021664</v>
      </c>
      <c r="AG16">
        <f>-0.25*(sigma^2*$A16^2-(rate-d)*$A16)*EurCall!AH17-(-0.5*sigma^2*$A16^2-0.5*rate+1/dt)*EurCall!AH16-0.25*(sigma^2*$A16^2+(rate-d)*$A16)*EurCall!AH15</f>
        <v>-5846.5274629511105</v>
      </c>
      <c r="AH16">
        <f>-0.25*(sigma^2*$A16^2-(rate-d)*$A16)*EurCall!AI17-(-0.5*sigma^2*$A16^2-0.5*rate+1/dt)*EurCall!AI16-0.25*(sigma^2*$A16^2+(rate-d)*$A16)*EurCall!AI15</f>
        <v>-5844.1546676495536</v>
      </c>
      <c r="AI16">
        <f>-0.25*(sigma^2*$A16^2-(rate-d)*$A16)*EurCall!AJ17-(-0.5*sigma^2*$A16^2-0.5*rate+1/dt)*EurCall!AJ16-0.25*(sigma^2*$A16^2+(rate-d)*$A16)*EurCall!AJ15</f>
        <v>-5841.7804482432621</v>
      </c>
      <c r="AJ16">
        <f>-0.25*(sigma^2*$A16^2-(rate-d)*$A16)*EurCall!AK17-(-0.5*sigma^2*$A16^2-0.5*rate+1/dt)*EurCall!AK16-0.25*(sigma^2*$A16^2+(rate-d)*$A16)*EurCall!AK15</f>
        <v>-5839.4048038774836</v>
      </c>
      <c r="AK16">
        <f>-0.25*(sigma^2*$A16^2-(rate-d)*$A16)*EurCall!AL17-(-0.5*sigma^2*$A16^2-0.5*rate+1/dt)*EurCall!AL16-0.25*(sigma^2*$A16^2+(rate-d)*$A16)*EurCall!AL15</f>
        <v>-5837.0277336969511</v>
      </c>
      <c r="AL16">
        <f>-0.25*(sigma^2*$A16^2-(rate-d)*$A16)*EurCall!AM17-(-0.5*sigma^2*$A16^2-0.5*rate+1/dt)*EurCall!AM16-0.25*(sigma^2*$A16^2+(rate-d)*$A16)*EurCall!AM15</f>
        <v>-5834.6492368458785</v>
      </c>
      <c r="AM16">
        <f>-0.25*(sigma^2*$A16^2-(rate-d)*$A16)*EurCall!AN17-(-0.5*sigma^2*$A16^2-0.5*rate+1/dt)*EurCall!AN16-0.25*(sigma^2*$A16^2+(rate-d)*$A16)*EurCall!AN15</f>
        <v>-5832.2693124679563</v>
      </c>
      <c r="AN16">
        <f>-0.25*(sigma^2*$A16^2-(rate-d)*$A16)*EurCall!AO17-(-0.5*sigma^2*$A16^2-0.5*rate+1/dt)*EurCall!AO16-0.25*(sigma^2*$A16^2+(rate-d)*$A16)*EurCall!AO15</f>
        <v>-5829.8879597063551</v>
      </c>
      <c r="AO16">
        <f>-0.25*(sigma^2*$A16^2-(rate-d)*$A16)*EurCall!AP17-(-0.5*sigma^2*$A16^2-0.5*rate+1/dt)*EurCall!AP16-0.25*(sigma^2*$A16^2+(rate-d)*$A16)*EurCall!AP15</f>
        <v>-5827.5051777037188</v>
      </c>
      <c r="AP16">
        <f>-0.25*(sigma^2*$A16^2-(rate-d)*$A16)*EurCall!AQ17-(-0.5*sigma^2*$A16^2-0.5*rate+1/dt)*EurCall!AQ16-0.25*(sigma^2*$A16^2+(rate-d)*$A16)*EurCall!AQ15</f>
        <v>-5825.1209656021601</v>
      </c>
      <c r="AQ16">
        <f>-0.25*(sigma^2*$A16^2-(rate-d)*$A16)*EurCall!AR17-(-0.5*sigma^2*$A16^2-0.5*rate+1/dt)*EurCall!AR16-0.25*(sigma^2*$A16^2+(rate-d)*$A16)*EurCall!AR15</f>
        <v>-5822.7353225432589</v>
      </c>
      <c r="AR16">
        <f>-0.25*(sigma^2*$A16^2-(rate-d)*$A16)*EurCall!AS17-(-0.5*sigma^2*$A16^2-0.5*rate+1/dt)*EurCall!AS16-0.25*(sigma^2*$A16^2+(rate-d)*$A16)*EurCall!AS15</f>
        <v>-5820.3482476680547</v>
      </c>
      <c r="AS16">
        <f>-0.25*(sigma^2*$A16^2-(rate-d)*$A16)*EurCall!AT17-(-0.5*sigma^2*$A16^2-0.5*rate+1/dt)*EurCall!AT16-0.25*(sigma^2*$A16^2+(rate-d)*$A16)*EurCall!AT15</f>
        <v>-5817.9597401170286</v>
      </c>
      <c r="AT16">
        <f>-0.25*(sigma^2*$A16^2-(rate-d)*$A16)*EurCall!AU17-(-0.5*sigma^2*$A16^2-0.5*rate+1/dt)*EurCall!AU16-0.25*(sigma^2*$A16^2+(rate-d)*$A16)*EurCall!AU15</f>
        <v>-5815.5697990300978</v>
      </c>
      <c r="AU16">
        <f>-0.25*(sigma^2*$A16^2-(rate-d)*$A16)*EurCall!AV17-(-0.5*sigma^2*$A16^2-0.5*rate+1/dt)*EurCall!AV16-0.25*(sigma^2*$A16^2+(rate-d)*$A16)*EurCall!AV15</f>
        <v>-5813.1784235465775</v>
      </c>
      <c r="AV16">
        <f>-0.25*(sigma^2*$A16^2-(rate-d)*$A16)*EurCall!AW17-(-0.5*sigma^2*$A16^2-0.5*rate+1/dt)*EurCall!AW16-0.25*(sigma^2*$A16^2+(rate-d)*$A16)*EurCall!AW15</f>
        <v>-5810.7856128051326</v>
      </c>
      <c r="AW16">
        <f>-0.25*(sigma^2*$A16^2-(rate-d)*$A16)*EurCall!AX17-(-0.5*sigma^2*$A16^2-0.5*rate+1/dt)*EurCall!AX16-0.25*(sigma^2*$A16^2+(rate-d)*$A16)*EurCall!AX15</f>
        <v>-5808.3913659436839</v>
      </c>
      <c r="AX16">
        <f>-0.25*(sigma^2*$A16^2-(rate-d)*$A16)*EurCall!AY17-(-0.5*sigma^2*$A16^2-0.5*rate+1/dt)*EurCall!AY16-0.25*(sigma^2*$A16^2+(rate-d)*$A16)*EurCall!AY15</f>
        <v>-5805.9956820991974</v>
      </c>
      <c r="AY16">
        <f>-0.25*(sigma^2*$A16^2-(rate-d)*$A16)*EurCall!AZ17-(-0.5*sigma^2*$A16^2-0.5*rate+1/dt)*EurCall!AZ16-0.25*(sigma^2*$A16^2+(rate-d)*$A16)*EurCall!AZ15</f>
        <v>-5803.5985604071693</v>
      </c>
      <c r="AZ16">
        <f>-0.25*(sigma^2*$A16^2-(rate-d)*$A16)*EurCall!BA17-(-0.5*sigma^2*$A16^2-0.5*rate+1/dt)*EurCall!BA16-0.25*(sigma^2*$A16^2+(rate-d)*$A16)*EurCall!BA15</f>
        <v>-5801.2000000000007</v>
      </c>
      <c r="BA16" s="6"/>
    </row>
    <row r="17" spans="1:53" x14ac:dyDescent="0.2">
      <c r="A17">
        <f t="shared" ref="A17:A65" si="3">A16-1</f>
        <v>48</v>
      </c>
      <c r="B17" s="3">
        <f t="shared" si="0"/>
        <v>96</v>
      </c>
      <c r="C17">
        <f>-0.25*(sigma^2*$A17^2-(rate-d)*$A17)*EurCall!D18-(-0.5*sigma^2*$A17^2-0.5*rate+1/dt)*EurCall!D17-0.25*(sigma^2*$A17^2+(rate-d)*$A17)*EurCall!D16</f>
        <v>-5717.0533325266497</v>
      </c>
      <c r="D17">
        <f>-0.25*(sigma^2*$A17^2-(rate-d)*$A17)*EurCall!E18-(-0.5*sigma^2*$A17^2-0.5*rate+1/dt)*EurCall!E17-0.25*(sigma^2*$A17^2+(rate-d)*$A17)*EurCall!E16</f>
        <v>-5714.7228654211813</v>
      </c>
      <c r="E17">
        <f>-0.25*(sigma^2*$A17^2-(rate-d)*$A17)*EurCall!F18-(-0.5*sigma^2*$A17^2-0.5*rate+1/dt)*EurCall!F17-0.25*(sigma^2*$A17^2+(rate-d)*$A17)*EurCall!F16</f>
        <v>-5712.3909996207685</v>
      </c>
      <c r="F17">
        <f>-0.25*(sigma^2*$A17^2-(rate-d)*$A17)*EurCall!G18-(-0.5*sigma^2*$A17^2-0.5*rate+1/dt)*EurCall!G17-0.25*(sigma^2*$A17^2+(rate-d)*$A17)*EurCall!G16</f>
        <v>-5710.0577342848173</v>
      </c>
      <c r="G17">
        <f>-0.25*(sigma^2*$A17^2-(rate-d)*$A17)*EurCall!H18-(-0.5*sigma^2*$A17^2-0.5*rate+1/dt)*EurCall!H17-0.25*(sigma^2*$A17^2+(rate-d)*$A17)*EurCall!H16</f>
        <v>-5707.7230685724498</v>
      </c>
      <c r="H17">
        <f>-0.25*(sigma^2*$A17^2-(rate-d)*$A17)*EurCall!I18-(-0.5*sigma^2*$A17^2-0.5*rate+1/dt)*EurCall!I17-0.25*(sigma^2*$A17^2+(rate-d)*$A17)*EurCall!I16</f>
        <v>-5705.3870016424635</v>
      </c>
      <c r="I17">
        <f>-0.25*(sigma^2*$A17^2-(rate-d)*$A17)*EurCall!J18-(-0.5*sigma^2*$A17^2-0.5*rate+1/dt)*EurCall!J17-0.25*(sigma^2*$A17^2+(rate-d)*$A17)*EurCall!J16</f>
        <v>-5703.0495326533064</v>
      </c>
      <c r="J17">
        <f>-0.25*(sigma^2*$A17^2-(rate-d)*$A17)*EurCall!K18-(-0.5*sigma^2*$A17^2-0.5*rate+1/dt)*EurCall!K17-0.25*(sigma^2*$A17^2+(rate-d)*$A17)*EurCall!K16</f>
        <v>-5700.7106607630421</v>
      </c>
      <c r="K17">
        <f>-0.25*(sigma^2*$A17^2-(rate-d)*$A17)*EurCall!L18-(-0.5*sigma^2*$A17^2-0.5*rate+1/dt)*EurCall!L17-0.25*(sigma^2*$A17^2+(rate-d)*$A17)*EurCall!L16</f>
        <v>-5698.3703851293276</v>
      </c>
      <c r="L17">
        <f>-0.25*(sigma^2*$A17^2-(rate-d)*$A17)*EurCall!M18-(-0.5*sigma^2*$A17^2-0.5*rate+1/dt)*EurCall!M17-0.25*(sigma^2*$A17^2+(rate-d)*$A17)*EurCall!M16</f>
        <v>-5696.0287049093977</v>
      </c>
      <c r="M17">
        <f>-0.25*(sigma^2*$A17^2-(rate-d)*$A17)*EurCall!N18-(-0.5*sigma^2*$A17^2-0.5*rate+1/dt)*EurCall!N17-0.25*(sigma^2*$A17^2+(rate-d)*$A17)*EurCall!N16</f>
        <v>-5693.6856192600408</v>
      </c>
      <c r="N17">
        <f>-0.25*(sigma^2*$A17^2-(rate-d)*$A17)*EurCall!O18-(-0.5*sigma^2*$A17^2-0.5*rate+1/dt)*EurCall!O17-0.25*(sigma^2*$A17^2+(rate-d)*$A17)*EurCall!O16</f>
        <v>-5691.3411273375896</v>
      </c>
      <c r="O17">
        <f>-0.25*(sigma^2*$A17^2-(rate-d)*$A17)*EurCall!P18-(-0.5*sigma^2*$A17^2-0.5*rate+1/dt)*EurCall!P17-0.25*(sigma^2*$A17^2+(rate-d)*$A17)*EurCall!P16</f>
        <v>-5688.9952282979084</v>
      </c>
      <c r="P17">
        <f>-0.25*(sigma^2*$A17^2-(rate-d)*$A17)*EurCall!Q18-(-0.5*sigma^2*$A17^2-0.5*rate+1/dt)*EurCall!Q17-0.25*(sigma^2*$A17^2+(rate-d)*$A17)*EurCall!Q16</f>
        <v>-5686.6479212963877</v>
      </c>
      <c r="Q17">
        <f>-0.25*(sigma^2*$A17^2-(rate-d)*$A17)*EurCall!R18-(-0.5*sigma^2*$A17^2-0.5*rate+1/dt)*EurCall!R17-0.25*(sigma^2*$A17^2+(rate-d)*$A17)*EurCall!R16</f>
        <v>-5684.2992054879251</v>
      </c>
      <c r="R17">
        <f>-0.25*(sigma^2*$A17^2-(rate-d)*$A17)*EurCall!S18-(-0.5*sigma^2*$A17^2-0.5*rate+1/dt)*EurCall!S17-0.25*(sigma^2*$A17^2+(rate-d)*$A17)*EurCall!S16</f>
        <v>-5681.949080026935</v>
      </c>
      <c r="S17">
        <f>-0.25*(sigma^2*$A17^2-(rate-d)*$A17)*EurCall!T18-(-0.5*sigma^2*$A17^2-0.5*rate+1/dt)*EurCall!T17-0.25*(sigma^2*$A17^2+(rate-d)*$A17)*EurCall!T16</f>
        <v>-5679.5975440673292</v>
      </c>
      <c r="T17">
        <f>-0.25*(sigma^2*$A17^2-(rate-d)*$A17)*EurCall!U18-(-0.5*sigma^2*$A17^2-0.5*rate+1/dt)*EurCall!U17-0.25*(sigma^2*$A17^2+(rate-d)*$A17)*EurCall!U16</f>
        <v>-5677.2445967625245</v>
      </c>
      <c r="U17">
        <f>-0.25*(sigma^2*$A17^2-(rate-d)*$A17)*EurCall!V18-(-0.5*sigma^2*$A17^2-0.5*rate+1/dt)*EurCall!V17-0.25*(sigma^2*$A17^2+(rate-d)*$A17)*EurCall!V16</f>
        <v>-5674.8902372654311</v>
      </c>
      <c r="V17">
        <f>-0.25*(sigma^2*$A17^2-(rate-d)*$A17)*EurCall!W18-(-0.5*sigma^2*$A17^2-0.5*rate+1/dt)*EurCall!W17-0.25*(sigma^2*$A17^2+(rate-d)*$A17)*EurCall!W16</f>
        <v>-5672.5344647284574</v>
      </c>
      <c r="W17">
        <f>-0.25*(sigma^2*$A17^2-(rate-d)*$A17)*EurCall!X18-(-0.5*sigma^2*$A17^2-0.5*rate+1/dt)*EurCall!X17-0.25*(sigma^2*$A17^2+(rate-d)*$A17)*EurCall!X16</f>
        <v>-5670.1772783035049</v>
      </c>
      <c r="X17">
        <f>-0.25*(sigma^2*$A17^2-(rate-d)*$A17)*EurCall!Y18-(-0.5*sigma^2*$A17^2-0.5*rate+1/dt)*EurCall!Y17-0.25*(sigma^2*$A17^2+(rate-d)*$A17)*EurCall!Y16</f>
        <v>-5667.8186771419651</v>
      </c>
      <c r="Y17">
        <f>-0.25*(sigma^2*$A17^2-(rate-d)*$A17)*EurCall!Z18-(-0.5*sigma^2*$A17^2-0.5*rate+1/dt)*EurCall!Z17-0.25*(sigma^2*$A17^2+(rate-d)*$A17)*EurCall!Z16</f>
        <v>-5665.4586603947209</v>
      </c>
      <c r="Z17">
        <f>-0.25*(sigma^2*$A17^2-(rate-d)*$A17)*EurCall!AA18-(-0.5*sigma^2*$A17^2-0.5*rate+1/dt)*EurCall!AA17-0.25*(sigma^2*$A17^2+(rate-d)*$A17)*EurCall!AA16</f>
        <v>-5663.0972272121453</v>
      </c>
      <c r="AA17">
        <f>-0.25*(sigma^2*$A17^2-(rate-d)*$A17)*EurCall!AB18-(-0.5*sigma^2*$A17^2-0.5*rate+1/dt)*EurCall!AB17-0.25*(sigma^2*$A17^2+(rate-d)*$A17)*EurCall!AB16</f>
        <v>-5660.7343767440989</v>
      </c>
      <c r="AB17">
        <f>-0.25*(sigma^2*$A17^2-(rate-d)*$A17)*EurCall!AC18-(-0.5*sigma^2*$A17^2-0.5*rate+1/dt)*EurCall!AC17-0.25*(sigma^2*$A17^2+(rate-d)*$A17)*EurCall!AC16</f>
        <v>-5658.3701081399331</v>
      </c>
      <c r="AC17">
        <f>-0.25*(sigma^2*$A17^2-(rate-d)*$A17)*EurCall!AD18-(-0.5*sigma^2*$A17^2-0.5*rate+1/dt)*EurCall!AD17-0.25*(sigma^2*$A17^2+(rate-d)*$A17)*EurCall!AD16</f>
        <v>-5656.0044205484837</v>
      </c>
      <c r="AD17">
        <f>-0.25*(sigma^2*$A17^2-(rate-d)*$A17)*EurCall!AE18-(-0.5*sigma^2*$A17^2-0.5*rate+1/dt)*EurCall!AE17-0.25*(sigma^2*$A17^2+(rate-d)*$A17)*EurCall!AE16</f>
        <v>-5653.6373131180744</v>
      </c>
      <c r="AE17">
        <f>-0.25*(sigma^2*$A17^2-(rate-d)*$A17)*EurCall!AF18-(-0.5*sigma^2*$A17^2-0.5*rate+1/dt)*EurCall!AF17-0.25*(sigma^2*$A17^2+(rate-d)*$A17)*EurCall!AF16</f>
        <v>-5651.268784996515</v>
      </c>
      <c r="AF17">
        <f>-0.25*(sigma^2*$A17^2-(rate-d)*$A17)*EurCall!AG18-(-0.5*sigma^2*$A17^2-0.5*rate+1/dt)*EurCall!AG17-0.25*(sigma^2*$A17^2+(rate-d)*$A17)*EurCall!AG16</f>
        <v>-5648.8988353310997</v>
      </c>
      <c r="AG17">
        <f>-0.25*(sigma^2*$A17^2-(rate-d)*$A17)*EurCall!AH18-(-0.5*sigma^2*$A17^2-0.5*rate+1/dt)*EurCall!AH17-0.25*(sigma^2*$A17^2+(rate-d)*$A17)*EurCall!AH16</f>
        <v>-5646.5274632686096</v>
      </c>
      <c r="AH17">
        <f>-0.25*(sigma^2*$A17^2-(rate-d)*$A17)*EurCall!AI18-(-0.5*sigma^2*$A17^2-0.5*rate+1/dt)*EurCall!AI17-0.25*(sigma^2*$A17^2+(rate-d)*$A17)*EurCall!AI16</f>
        <v>-5644.1546679553048</v>
      </c>
      <c r="AI17">
        <f>-0.25*(sigma^2*$A17^2-(rate-d)*$A17)*EurCall!AJ18-(-0.5*sigma^2*$A17^2-0.5*rate+1/dt)*EurCall!AJ17-0.25*(sigma^2*$A17^2+(rate-d)*$A17)*EurCall!AJ16</f>
        <v>-5641.7804485369306</v>
      </c>
      <c r="AJ17">
        <f>-0.25*(sigma^2*$A17^2-(rate-d)*$A17)*EurCall!AK18-(-0.5*sigma^2*$A17^2-0.5*rate+1/dt)*EurCall!AK17-0.25*(sigma^2*$A17^2+(rate-d)*$A17)*EurCall!AK16</f>
        <v>-5639.4048041587121</v>
      </c>
      <c r="AK17">
        <f>-0.25*(sigma^2*$A17^2-(rate-d)*$A17)*EurCall!AL18-(-0.5*sigma^2*$A17^2-0.5*rate+1/dt)*EurCall!AL17-0.25*(sigma^2*$A17^2+(rate-d)*$A17)*EurCall!AL16</f>
        <v>-5637.0277339653549</v>
      </c>
      <c r="AL17">
        <f>-0.25*(sigma^2*$A17^2-(rate-d)*$A17)*EurCall!AM18-(-0.5*sigma^2*$A17^2-0.5*rate+1/dt)*EurCall!AM17-0.25*(sigma^2*$A17^2+(rate-d)*$A17)*EurCall!AM16</f>
        <v>-5634.649237101039</v>
      </c>
      <c r="AM17">
        <f>-0.25*(sigma^2*$A17^2-(rate-d)*$A17)*EurCall!AN18-(-0.5*sigma^2*$A17^2-0.5*rate+1/dt)*EurCall!AN17-0.25*(sigma^2*$A17^2+(rate-d)*$A17)*EurCall!AN16</f>
        <v>-5632.2693127094226</v>
      </c>
      <c r="AN17">
        <f>-0.25*(sigma^2*$A17^2-(rate-d)*$A17)*EurCall!AO18-(-0.5*sigma^2*$A17^2-0.5*rate+1/dt)*EurCall!AO17-0.25*(sigma^2*$A17^2+(rate-d)*$A17)*EurCall!AO16</f>
        <v>-5629.887959933636</v>
      </c>
      <c r="AO17">
        <f>-0.25*(sigma^2*$A17^2-(rate-d)*$A17)*EurCall!AP18-(-0.5*sigma^2*$A17^2-0.5*rate+1/dt)*EurCall!AP17-0.25*(sigma^2*$A17^2+(rate-d)*$A17)*EurCall!AP16</f>
        <v>-5627.5051779162741</v>
      </c>
      <c r="AP17">
        <f>-0.25*(sigma^2*$A17^2-(rate-d)*$A17)*EurCall!AQ18-(-0.5*sigma^2*$A17^2-0.5*rate+1/dt)*EurCall!AQ17-0.25*(sigma^2*$A17^2+(rate-d)*$A17)*EurCall!AQ16</f>
        <v>-5625.1209657994004</v>
      </c>
      <c r="AQ17">
        <f>-0.25*(sigma^2*$A17^2-(rate-d)*$A17)*EurCall!AR18-(-0.5*sigma^2*$A17^2-0.5*rate+1/dt)*EurCall!AR17-0.25*(sigma^2*$A17^2+(rate-d)*$A17)*EurCall!AR16</f>
        <v>-5622.7353227245294</v>
      </c>
      <c r="AR17">
        <f>-0.25*(sigma^2*$A17^2-(rate-d)*$A17)*EurCall!AS18-(-0.5*sigma^2*$A17^2-0.5*rate+1/dt)*EurCall!AS17-0.25*(sigma^2*$A17^2+(rate-d)*$A17)*EurCall!AS16</f>
        <v>-5620.3482478326296</v>
      </c>
      <c r="AS17">
        <f>-0.25*(sigma^2*$A17^2-(rate-d)*$A17)*EurCall!AT18-(-0.5*sigma^2*$A17^2-0.5*rate+1/dt)*EurCall!AT17-0.25*(sigma^2*$A17^2+(rate-d)*$A17)*EurCall!AT16</f>
        <v>-5617.9597402640984</v>
      </c>
      <c r="AT17">
        <f>-0.25*(sigma^2*$A17^2-(rate-d)*$A17)*EurCall!AU18-(-0.5*sigma^2*$A17^2-0.5*rate+1/dt)*EurCall!AU17-0.25*(sigma^2*$A17^2+(rate-d)*$A17)*EurCall!AU16</f>
        <v>-5615.569799158754</v>
      </c>
      <c r="AU17">
        <f>-0.25*(sigma^2*$A17^2-(rate-d)*$A17)*EurCall!AV18-(-0.5*sigma^2*$A17^2-0.5*rate+1/dt)*EurCall!AV17-0.25*(sigma^2*$A17^2+(rate-d)*$A17)*EurCall!AV16</f>
        <v>-5613.1784236558024</v>
      </c>
      <c r="AV17">
        <f>-0.25*(sigma^2*$A17^2-(rate-d)*$A17)*EurCall!AW18-(-0.5*sigma^2*$A17^2-0.5*rate+1/dt)*EurCall!AW17-0.25*(sigma^2*$A17^2+(rate-d)*$A17)*EurCall!AW16</f>
        <v>-5610.7856128937965</v>
      </c>
      <c r="AW17">
        <f>-0.25*(sigma^2*$A17^2-(rate-d)*$A17)*EurCall!AX18-(-0.5*sigma^2*$A17^2-0.5*rate+1/dt)*EurCall!AX17-0.25*(sigma^2*$A17^2+(rate-d)*$A17)*EurCall!AX16</f>
        <v>-5608.3913660105754</v>
      </c>
      <c r="AX17">
        <f>-0.25*(sigma^2*$A17^2-(rate-d)*$A17)*EurCall!AY18-(-0.5*sigma^2*$A17^2-0.5*rate+1/dt)*EurCall!AY17-0.25*(sigma^2*$A17^2+(rate-d)*$A17)*EurCall!AY16</f>
        <v>-5605.9956821431733</v>
      </c>
      <c r="AY17">
        <f>-0.25*(sigma^2*$A17^2-(rate-d)*$A17)*EurCall!AZ18-(-0.5*sigma^2*$A17^2-0.5*rate+1/dt)*EurCall!AZ17-0.25*(sigma^2*$A17^2+(rate-d)*$A17)*EurCall!AZ16</f>
        <v>-5603.5985604277521</v>
      </c>
      <c r="AZ17">
        <f>-0.25*(sigma^2*$A17^2-(rate-d)*$A17)*EurCall!BA18-(-0.5*sigma^2*$A17^2-0.5*rate+1/dt)*EurCall!BA17-0.25*(sigma^2*$A17^2+(rate-d)*$A17)*EurCall!BA16</f>
        <v>-5601.2000000000007</v>
      </c>
      <c r="BA17" s="6"/>
    </row>
    <row r="18" spans="1:53" x14ac:dyDescent="0.2">
      <c r="A18">
        <f t="shared" si="3"/>
        <v>47</v>
      </c>
      <c r="B18" s="3">
        <f t="shared" si="0"/>
        <v>94</v>
      </c>
      <c r="C18">
        <f>-0.25*(sigma^2*$A18^2-(rate-d)*$A18)*EurCall!D19-(-0.5*sigma^2*$A18^2-0.5*rate+1/dt)*EurCall!D18-0.25*(sigma^2*$A18^2+(rate-d)*$A18)*EurCall!D17</f>
        <v>-5517.0533331214529</v>
      </c>
      <c r="D18">
        <f>-0.25*(sigma^2*$A18^2-(rate-d)*$A18)*EurCall!E19-(-0.5*sigma^2*$A18^2-0.5*rate+1/dt)*EurCall!E18-0.25*(sigma^2*$A18^2+(rate-d)*$A18)*EurCall!E17</f>
        <v>-5514.722865982535</v>
      </c>
      <c r="E18">
        <f>-0.25*(sigma^2*$A18^2-(rate-d)*$A18)*EurCall!F19-(-0.5*sigma^2*$A18^2-0.5*rate+1/dt)*EurCall!F18-0.25*(sigma^2*$A18^2+(rate-d)*$A18)*EurCall!F17</f>
        <v>-5512.3910001546792</v>
      </c>
      <c r="F18">
        <f>-0.25*(sigma^2*$A18^2-(rate-d)*$A18)*EurCall!G19-(-0.5*sigma^2*$A18^2-0.5*rate+1/dt)*EurCall!G18-0.25*(sigma^2*$A18^2+(rate-d)*$A18)*EurCall!G17</f>
        <v>-5510.0577347960261</v>
      </c>
      <c r="G18">
        <f>-0.25*(sigma^2*$A18^2-(rate-d)*$A18)*EurCall!H19-(-0.5*sigma^2*$A18^2-0.5*rate+1/dt)*EurCall!H18-0.25*(sigma^2*$A18^2+(rate-d)*$A18)*EurCall!H17</f>
        <v>-5507.7230690646675</v>
      </c>
      <c r="H18">
        <f>-0.25*(sigma^2*$A18^2-(rate-d)*$A18)*EurCall!I19-(-0.5*sigma^2*$A18^2-0.5*rate+1/dt)*EurCall!I18-0.25*(sigma^2*$A18^2+(rate-d)*$A18)*EurCall!I17</f>
        <v>-5505.3870021185594</v>
      </c>
      <c r="I18">
        <f>-0.25*(sigma^2*$A18^2-(rate-d)*$A18)*EurCall!J19-(-0.5*sigma^2*$A18^2-0.5*rate+1/dt)*EurCall!J18-0.25*(sigma^2*$A18^2+(rate-d)*$A18)*EurCall!J17</f>
        <v>-5503.0495331154716</v>
      </c>
      <c r="J18">
        <f>-0.25*(sigma^2*$A18^2-(rate-d)*$A18)*EurCall!K19-(-0.5*sigma^2*$A18^2-0.5*rate+1/dt)*EurCall!K18-0.25*(sigma^2*$A18^2+(rate-d)*$A18)*EurCall!K17</f>
        <v>-5500.7106612129264</v>
      </c>
      <c r="K18">
        <f>-0.25*(sigma^2*$A18^2-(rate-d)*$A18)*EurCall!L19-(-0.5*sigma^2*$A18^2-0.5*rate+1/dt)*EurCall!L18-0.25*(sigma^2*$A18^2+(rate-d)*$A18)*EurCall!L17</f>
        <v>-5498.370385568157</v>
      </c>
      <c r="L18">
        <f>-0.25*(sigma^2*$A18^2-(rate-d)*$A18)*EurCall!M19-(-0.5*sigma^2*$A18^2-0.5*rate+1/dt)*EurCall!M18-0.25*(sigma^2*$A18^2+(rate-d)*$A18)*EurCall!M17</f>
        <v>-5496.028705338058</v>
      </c>
      <c r="M18">
        <f>-0.25*(sigma^2*$A18^2-(rate-d)*$A18)*EurCall!N19-(-0.5*sigma^2*$A18^2-0.5*rate+1/dt)*EurCall!N18-0.25*(sigma^2*$A18^2+(rate-d)*$A18)*EurCall!N17</f>
        <v>-5493.6856196791596</v>
      </c>
      <c r="N18">
        <f>-0.25*(sigma^2*$A18^2-(rate-d)*$A18)*EurCall!O19-(-0.5*sigma^2*$A18^2-0.5*rate+1/dt)*EurCall!O18-0.25*(sigma^2*$A18^2+(rate-d)*$A18)*EurCall!O17</f>
        <v>-5491.3411277475934</v>
      </c>
      <c r="O18">
        <f>-0.25*(sigma^2*$A18^2-(rate-d)*$A18)*EurCall!P19-(-0.5*sigma^2*$A18^2-0.5*rate+1/dt)*EurCall!P18-0.25*(sigma^2*$A18^2+(rate-d)*$A18)*EurCall!P17</f>
        <v>-5488.9952286990738</v>
      </c>
      <c r="P18">
        <f>-0.25*(sigma^2*$A18^2-(rate-d)*$A18)*EurCall!Q19-(-0.5*sigma^2*$A18^2-0.5*rate+1/dt)*EurCall!Q18-0.25*(sigma^2*$A18^2+(rate-d)*$A18)*EurCall!Q17</f>
        <v>-5486.6479216888702</v>
      </c>
      <c r="Q18">
        <f>-0.25*(sigma^2*$A18^2-(rate-d)*$A18)*EurCall!R19-(-0.5*sigma^2*$A18^2-0.5*rate+1/dt)*EurCall!R18-0.25*(sigma^2*$A18^2+(rate-d)*$A18)*EurCall!R17</f>
        <v>-5484.2992058718</v>
      </c>
      <c r="R18">
        <f>-0.25*(sigma^2*$A18^2-(rate-d)*$A18)*EurCall!S19-(-0.5*sigma^2*$A18^2-0.5*rate+1/dt)*EurCall!S18-0.25*(sigma^2*$A18^2+(rate-d)*$A18)*EurCall!S17</f>
        <v>-5481.9490804022107</v>
      </c>
      <c r="S18">
        <f>-0.25*(sigma^2*$A18^2-(rate-d)*$A18)*EurCall!T19-(-0.5*sigma^2*$A18^2-0.5*rate+1/dt)*EurCall!T18-0.25*(sigma^2*$A18^2+(rate-d)*$A18)*EurCall!T17</f>
        <v>-5479.5975444339683</v>
      </c>
      <c r="T18">
        <f>-0.25*(sigma^2*$A18^2-(rate-d)*$A18)*EurCall!U19-(-0.5*sigma^2*$A18^2-0.5*rate+1/dt)*EurCall!U18-0.25*(sigma^2*$A18^2+(rate-d)*$A18)*EurCall!U17</f>
        <v>-5477.2445971204543</v>
      </c>
      <c r="U18">
        <f>-0.25*(sigma^2*$A18^2-(rate-d)*$A18)*EurCall!V19-(-0.5*sigma^2*$A18^2-0.5*rate+1/dt)*EurCall!V18-0.25*(sigma^2*$A18^2+(rate-d)*$A18)*EurCall!V17</f>
        <v>-5474.890237614557</v>
      </c>
      <c r="V18">
        <f>-0.25*(sigma^2*$A18^2-(rate-d)*$A18)*EurCall!W19-(-0.5*sigma^2*$A18^2-0.5*rate+1/dt)*EurCall!W18-0.25*(sigma^2*$A18^2+(rate-d)*$A18)*EurCall!W17</f>
        <v>-5472.534465068662</v>
      </c>
      <c r="W18">
        <f>-0.25*(sigma^2*$A18^2-(rate-d)*$A18)*EurCall!X19-(-0.5*sigma^2*$A18^2-0.5*rate+1/dt)*EurCall!X18-0.25*(sigma^2*$A18^2+(rate-d)*$A18)*EurCall!X17</f>
        <v>-5470.1772786346537</v>
      </c>
      <c r="X18">
        <f>-0.25*(sigma^2*$A18^2-(rate-d)*$A18)*EurCall!Y19-(-0.5*sigma^2*$A18^2-0.5*rate+1/dt)*EurCall!Y18-0.25*(sigma^2*$A18^2+(rate-d)*$A18)*EurCall!Y17</f>
        <v>-5467.8186774639153</v>
      </c>
      <c r="Y18">
        <f>-0.25*(sigma^2*$A18^2-(rate-d)*$A18)*EurCall!Z19-(-0.5*sigma^2*$A18^2-0.5*rate+1/dt)*EurCall!Z18-0.25*(sigma^2*$A18^2+(rate-d)*$A18)*EurCall!Z17</f>
        <v>-5465.4586607073188</v>
      </c>
      <c r="Z18">
        <f>-0.25*(sigma^2*$A18^2-(rate-d)*$A18)*EurCall!AA19-(-0.5*sigma^2*$A18^2-0.5*rate+1/dt)*EurCall!AA18-0.25*(sigma^2*$A18^2+(rate-d)*$A18)*EurCall!AA17</f>
        <v>-5463.0972275152299</v>
      </c>
      <c r="AA18">
        <f>-0.25*(sigma^2*$A18^2-(rate-d)*$A18)*EurCall!AB19-(-0.5*sigma^2*$A18^2-0.5*rate+1/dt)*EurCall!AB18-0.25*(sigma^2*$A18^2+(rate-d)*$A18)*EurCall!AB17</f>
        <v>-5460.7343770374991</v>
      </c>
      <c r="AB18">
        <f>-0.25*(sigma^2*$A18^2-(rate-d)*$A18)*EurCall!AC19-(-0.5*sigma^2*$A18^2-0.5*rate+1/dt)*EurCall!AC18-0.25*(sigma^2*$A18^2+(rate-d)*$A18)*EurCall!AC17</f>
        <v>-5458.370108423469</v>
      </c>
      <c r="AC18">
        <f>-0.25*(sigma^2*$A18^2-(rate-d)*$A18)*EurCall!AD19-(-0.5*sigma^2*$A18^2-0.5*rate+1/dt)*EurCall!AD18-0.25*(sigma^2*$A18^2+(rate-d)*$A18)*EurCall!AD17</f>
        <v>-5456.0044208219706</v>
      </c>
      <c r="AD18">
        <f>-0.25*(sigma^2*$A18^2-(rate-d)*$A18)*EurCall!AE19-(-0.5*sigma^2*$A18^2-0.5*rate+1/dt)*EurCall!AE18-0.25*(sigma^2*$A18^2+(rate-d)*$A18)*EurCall!AE17</f>
        <v>-5453.6373133813186</v>
      </c>
      <c r="AE18">
        <f>-0.25*(sigma^2*$A18^2-(rate-d)*$A18)*EurCall!AF19-(-0.5*sigma^2*$A18^2-0.5*rate+1/dt)*EurCall!AF18-0.25*(sigma^2*$A18^2+(rate-d)*$A18)*EurCall!AF17</f>
        <v>-5451.2687852493127</v>
      </c>
      <c r="AF18">
        <f>-0.25*(sigma^2*$A18^2-(rate-d)*$A18)*EurCall!AG19-(-0.5*sigma^2*$A18^2-0.5*rate+1/dt)*EurCall!AG18-0.25*(sigma^2*$A18^2+(rate-d)*$A18)*EurCall!AG17</f>
        <v>-5448.8988355732399</v>
      </c>
      <c r="AG18">
        <f>-0.25*(sigma^2*$A18^2-(rate-d)*$A18)*EurCall!AH19-(-0.5*sigma^2*$A18^2-0.5*rate+1/dt)*EurCall!AH18-0.25*(sigma^2*$A18^2+(rate-d)*$A18)*EurCall!AH17</f>
        <v>-5446.5274634998714</v>
      </c>
      <c r="AH18">
        <f>-0.25*(sigma^2*$A18^2-(rate-d)*$A18)*EurCall!AI19-(-0.5*sigma^2*$A18^2-0.5*rate+1/dt)*EurCall!AI18-0.25*(sigma^2*$A18^2+(rate-d)*$A18)*EurCall!AI17</f>
        <v>-5444.1546681754589</v>
      </c>
      <c r="AI18">
        <f>-0.25*(sigma^2*$A18^2-(rate-d)*$A18)*EurCall!AJ19-(-0.5*sigma^2*$A18^2-0.5*rate+1/dt)*EurCall!AJ18-0.25*(sigma^2*$A18^2+(rate-d)*$A18)*EurCall!AJ17</f>
        <v>-5441.780448745737</v>
      </c>
      <c r="AJ18">
        <f>-0.25*(sigma^2*$A18^2-(rate-d)*$A18)*EurCall!AK19-(-0.5*sigma^2*$A18^2-0.5*rate+1/dt)*EurCall!AK18-0.25*(sigma^2*$A18^2+(rate-d)*$A18)*EurCall!AK17</f>
        <v>-5439.4048043559214</v>
      </c>
      <c r="AK18">
        <f>-0.25*(sigma^2*$A18^2-(rate-d)*$A18)*EurCall!AL19-(-0.5*sigma^2*$A18^2-0.5*rate+1/dt)*EurCall!AL18-0.25*(sigma^2*$A18^2+(rate-d)*$A18)*EurCall!AL17</f>
        <v>-5437.0277341507062</v>
      </c>
      <c r="AL18">
        <f>-0.25*(sigma^2*$A18^2-(rate-d)*$A18)*EurCall!AM19-(-0.5*sigma^2*$A18^2-0.5*rate+1/dt)*EurCall!AM18-0.25*(sigma^2*$A18^2+(rate-d)*$A18)*EurCall!AM17</f>
        <v>-5434.6492372742623</v>
      </c>
      <c r="AM18">
        <f>-0.25*(sigma^2*$A18^2-(rate-d)*$A18)*EurCall!AN19-(-0.5*sigma^2*$A18^2-0.5*rate+1/dt)*EurCall!AN18-0.25*(sigma^2*$A18^2+(rate-d)*$A18)*EurCall!AN17</f>
        <v>-5432.2693128702385</v>
      </c>
      <c r="AN18">
        <f>-0.25*(sigma^2*$A18^2-(rate-d)*$A18)*EurCall!AO19-(-0.5*sigma^2*$A18^2-0.5*rate+1/dt)*EurCall!AO18-0.25*(sigma^2*$A18^2+(rate-d)*$A18)*EurCall!AO17</f>
        <v>-5429.8879600817554</v>
      </c>
      <c r="AO18">
        <f>-0.25*(sigma^2*$A18^2-(rate-d)*$A18)*EurCall!AP19-(-0.5*sigma^2*$A18^2-0.5*rate+1/dt)*EurCall!AP18-0.25*(sigma^2*$A18^2+(rate-d)*$A18)*EurCall!AP17</f>
        <v>-5427.5051780514041</v>
      </c>
      <c r="AP18">
        <f>-0.25*(sigma^2*$A18^2-(rate-d)*$A18)*EurCall!AQ19-(-0.5*sigma^2*$A18^2-0.5*rate+1/dt)*EurCall!AQ18-0.25*(sigma^2*$A18^2+(rate-d)*$A18)*EurCall!AQ17</f>
        <v>-5425.1209659212454</v>
      </c>
      <c r="AQ18">
        <f>-0.25*(sigma^2*$A18^2-(rate-d)*$A18)*EurCall!AR19-(-0.5*sigma^2*$A18^2-0.5*rate+1/dt)*EurCall!AR18-0.25*(sigma^2*$A18^2+(rate-d)*$A18)*EurCall!AR17</f>
        <v>-5422.7353228328011</v>
      </c>
      <c r="AR18">
        <f>-0.25*(sigma^2*$A18^2-(rate-d)*$A18)*EurCall!AS19-(-0.5*sigma^2*$A18^2-0.5*rate+1/dt)*EurCall!AS18-0.25*(sigma^2*$A18^2+(rate-d)*$A18)*EurCall!AS17</f>
        <v>-5420.3482479270533</v>
      </c>
      <c r="AS18">
        <f>-0.25*(sigma^2*$A18^2-(rate-d)*$A18)*EurCall!AT19-(-0.5*sigma^2*$A18^2-0.5*rate+1/dt)*EurCall!AT18-0.25*(sigma^2*$A18^2+(rate-d)*$A18)*EurCall!AT17</f>
        <v>-5417.9597403444386</v>
      </c>
      <c r="AT18">
        <f>-0.25*(sigma^2*$A18^2-(rate-d)*$A18)*EurCall!AU19-(-0.5*sigma^2*$A18^2-0.5*rate+1/dt)*EurCall!AU18-0.25*(sigma^2*$A18^2+(rate-d)*$A18)*EurCall!AU17</f>
        <v>-5415.569799224847</v>
      </c>
      <c r="AU18">
        <f>-0.25*(sigma^2*$A18^2-(rate-d)*$A18)*EurCall!AV19-(-0.5*sigma^2*$A18^2-0.5*rate+1/dt)*EurCall!AV18-0.25*(sigma^2*$A18^2+(rate-d)*$A18)*EurCall!AV17</f>
        <v>-5413.1784237076154</v>
      </c>
      <c r="AV18">
        <f>-0.25*(sigma^2*$A18^2-(rate-d)*$A18)*EurCall!AW19-(-0.5*sigma^2*$A18^2-0.5*rate+1/dt)*EurCall!AW18-0.25*(sigma^2*$A18^2+(rate-d)*$A18)*EurCall!AW17</f>
        <v>-5410.7856129315387</v>
      </c>
      <c r="AW18">
        <f>-0.25*(sigma^2*$A18^2-(rate-d)*$A18)*EurCall!AX19-(-0.5*sigma^2*$A18^2-0.5*rate+1/dt)*EurCall!AX18-0.25*(sigma^2*$A18^2+(rate-d)*$A18)*EurCall!AX17</f>
        <v>-5408.3913660348944</v>
      </c>
      <c r="AX18">
        <f>-0.25*(sigma^2*$A18^2-(rate-d)*$A18)*EurCall!AY19-(-0.5*sigma^2*$A18^2-0.5*rate+1/dt)*EurCall!AY18-0.25*(sigma^2*$A18^2+(rate-d)*$A18)*EurCall!AY17</f>
        <v>-5405.995682155547</v>
      </c>
      <c r="AY18">
        <f>-0.25*(sigma^2*$A18^2-(rate-d)*$A18)*EurCall!AZ19-(-0.5*sigma^2*$A18^2-0.5*rate+1/dt)*EurCall!AZ18-0.25*(sigma^2*$A18^2+(rate-d)*$A18)*EurCall!AZ17</f>
        <v>-5403.5985604312045</v>
      </c>
      <c r="AZ18">
        <f>-0.25*(sigma^2*$A18^2-(rate-d)*$A18)*EurCall!BA19-(-0.5*sigma^2*$A18^2-0.5*rate+1/dt)*EurCall!BA18-0.25*(sigma^2*$A18^2+(rate-d)*$A18)*EurCall!BA17</f>
        <v>-5401.1999999999989</v>
      </c>
      <c r="BA18" s="6"/>
    </row>
    <row r="19" spans="1:53" x14ac:dyDescent="0.2">
      <c r="A19">
        <f t="shared" si="3"/>
        <v>46</v>
      </c>
      <c r="B19" s="3">
        <f t="shared" si="0"/>
        <v>92</v>
      </c>
      <c r="C19">
        <f>-0.25*(sigma^2*$A19^2-(rate-d)*$A19)*EurCall!D20-(-0.5*sigma^2*$A19^2-0.5*rate+1/dt)*EurCall!D19-0.25*(sigma^2*$A19^2+(rate-d)*$A19)*EurCall!D18</f>
        <v>-5317.0533337666575</v>
      </c>
      <c r="D19">
        <f>-0.25*(sigma^2*$A19^2-(rate-d)*$A19)*EurCall!E20-(-0.5*sigma^2*$A19^2-0.5*rate+1/dt)*EurCall!E19-0.25*(sigma^2*$A19^2+(rate-d)*$A19)*EurCall!E18</f>
        <v>-5314.7228665633993</v>
      </c>
      <c r="E19">
        <f>-0.25*(sigma^2*$A19^2-(rate-d)*$A19)*EurCall!F20-(-0.5*sigma^2*$A19^2-0.5*rate+1/dt)*EurCall!F19-0.25*(sigma^2*$A19^2+(rate-d)*$A19)*EurCall!F18</f>
        <v>-5312.3910006837641</v>
      </c>
      <c r="F19">
        <f>-0.25*(sigma^2*$A19^2-(rate-d)*$A19)*EurCall!G20-(-0.5*sigma^2*$A19^2-0.5*rate+1/dt)*EurCall!G19-0.25*(sigma^2*$A19^2+(rate-d)*$A19)*EurCall!G18</f>
        <v>-5310.0577352834098</v>
      </c>
      <c r="G19">
        <f>-0.25*(sigma^2*$A19^2-(rate-d)*$A19)*EurCall!H20-(-0.5*sigma^2*$A19^2-0.5*rate+1/dt)*EurCall!H19-0.25*(sigma^2*$A19^2+(rate-d)*$A19)*EurCall!H18</f>
        <v>-5307.7230695183616</v>
      </c>
      <c r="H19">
        <f>-0.25*(sigma^2*$A19^2-(rate-d)*$A19)*EurCall!I20-(-0.5*sigma^2*$A19^2-0.5*rate+1/dt)*EurCall!I19-0.25*(sigma^2*$A19^2+(rate-d)*$A19)*EurCall!I18</f>
        <v>-5305.3870025448778</v>
      </c>
      <c r="I19">
        <f>-0.25*(sigma^2*$A19^2-(rate-d)*$A19)*EurCall!J20-(-0.5*sigma^2*$A19^2-0.5*rate+1/dt)*EurCall!J19-0.25*(sigma^2*$A19^2+(rate-d)*$A19)*EurCall!J18</f>
        <v>-5303.0495335193373</v>
      </c>
      <c r="J19">
        <f>-0.25*(sigma^2*$A19^2-(rate-d)*$A19)*EurCall!K20-(-0.5*sigma^2*$A19^2-0.5*rate+1/dt)*EurCall!K19-0.25*(sigma^2*$A19^2+(rate-d)*$A19)*EurCall!K18</f>
        <v>-5300.7106615981411</v>
      </c>
      <c r="K19">
        <f>-0.25*(sigma^2*$A19^2-(rate-d)*$A19)*EurCall!L20-(-0.5*sigma^2*$A19^2-0.5*rate+1/dt)*EurCall!L19-0.25*(sigma^2*$A19^2+(rate-d)*$A19)*EurCall!L18</f>
        <v>-5298.3703859376164</v>
      </c>
      <c r="L19">
        <f>-0.25*(sigma^2*$A19^2-(rate-d)*$A19)*EurCall!M20-(-0.5*sigma^2*$A19^2-0.5*rate+1/dt)*EurCall!M19-0.25*(sigma^2*$A19^2+(rate-d)*$A19)*EurCall!M18</f>
        <v>-5296.0287056939442</v>
      </c>
      <c r="M19">
        <f>-0.25*(sigma^2*$A19^2-(rate-d)*$A19)*EurCall!N20-(-0.5*sigma^2*$A19^2-0.5*rate+1/dt)*EurCall!N19-0.25*(sigma^2*$A19^2+(rate-d)*$A19)*EurCall!N18</f>
        <v>-5293.6856200230877</v>
      </c>
      <c r="N19">
        <f>-0.25*(sigma^2*$A19^2-(rate-d)*$A19)*EurCall!O20-(-0.5*sigma^2*$A19^2-0.5*rate+1/dt)*EurCall!O19-0.25*(sigma^2*$A19^2+(rate-d)*$A19)*EurCall!O18</f>
        <v>-5291.3411280807404</v>
      </c>
      <c r="O19">
        <f>-0.25*(sigma^2*$A19^2-(rate-d)*$A19)*EurCall!P20-(-0.5*sigma^2*$A19^2-0.5*rate+1/dt)*EurCall!P19-0.25*(sigma^2*$A19^2+(rate-d)*$A19)*EurCall!P18</f>
        <v>-5288.9952290222764</v>
      </c>
      <c r="P19">
        <f>-0.25*(sigma^2*$A19^2-(rate-d)*$A19)*EurCall!Q20-(-0.5*sigma^2*$A19^2-0.5*rate+1/dt)*EurCall!Q19-0.25*(sigma^2*$A19^2+(rate-d)*$A19)*EurCall!Q18</f>
        <v>-5286.6479220027095</v>
      </c>
      <c r="Q19">
        <f>-0.25*(sigma^2*$A19^2-(rate-d)*$A19)*EurCall!R20-(-0.5*sigma^2*$A19^2-0.5*rate+1/dt)*EurCall!R19-0.25*(sigma^2*$A19^2+(rate-d)*$A19)*EurCall!R18</f>
        <v>-5284.2992061766618</v>
      </c>
      <c r="R19">
        <f>-0.25*(sigma^2*$A19^2-(rate-d)*$A19)*EurCall!S20-(-0.5*sigma^2*$A19^2-0.5*rate+1/dt)*EurCall!S19-0.25*(sigma^2*$A19^2+(rate-d)*$A19)*EurCall!S18</f>
        <v>-5281.9490806983349</v>
      </c>
      <c r="S19">
        <f>-0.25*(sigma^2*$A19^2-(rate-d)*$A19)*EurCall!T20-(-0.5*sigma^2*$A19^2-0.5*rate+1/dt)*EurCall!T19-0.25*(sigma^2*$A19^2+(rate-d)*$A19)*EurCall!T18</f>
        <v>-5279.5975447214914</v>
      </c>
      <c r="T19">
        <f>-0.25*(sigma^2*$A19^2-(rate-d)*$A19)*EurCall!U20-(-0.5*sigma^2*$A19^2-0.5*rate+1/dt)*EurCall!U19-0.25*(sigma^2*$A19^2+(rate-d)*$A19)*EurCall!U18</f>
        <v>-5277.2445973994354</v>
      </c>
      <c r="U19">
        <f>-0.25*(sigma^2*$A19^2-(rate-d)*$A19)*EurCall!V20-(-0.5*sigma^2*$A19^2-0.5*rate+1/dt)*EurCall!V19-0.25*(sigma^2*$A19^2+(rate-d)*$A19)*EurCall!V18</f>
        <v>-5274.890237884998</v>
      </c>
      <c r="V19">
        <f>-0.25*(sigma^2*$A19^2-(rate-d)*$A19)*EurCall!W20-(-0.5*sigma^2*$A19^2-0.5*rate+1/dt)*EurCall!W19-0.25*(sigma^2*$A19^2+(rate-d)*$A19)*EurCall!W18</f>
        <v>-5272.5344653305274</v>
      </c>
      <c r="W19">
        <f>-0.25*(sigma^2*$A19^2-(rate-d)*$A19)*EurCall!X20-(-0.5*sigma^2*$A19^2-0.5*rate+1/dt)*EurCall!X19-0.25*(sigma^2*$A19^2+(rate-d)*$A19)*EurCall!X18</f>
        <v>-5270.1772788878843</v>
      </c>
      <c r="X19">
        <f>-0.25*(sigma^2*$A19^2-(rate-d)*$A19)*EurCall!Y20-(-0.5*sigma^2*$A19^2-0.5*rate+1/dt)*EurCall!Y19-0.25*(sigma^2*$A19^2+(rate-d)*$A19)*EurCall!Y18</f>
        <v>-5267.8186777084284</v>
      </c>
      <c r="Y19">
        <f>-0.25*(sigma^2*$A19^2-(rate-d)*$A19)*EurCall!Z20-(-0.5*sigma^2*$A19^2-0.5*rate+1/dt)*EurCall!Z19-0.25*(sigma^2*$A19^2+(rate-d)*$A19)*EurCall!Z18</f>
        <v>-5265.4586609430189</v>
      </c>
      <c r="Z19">
        <f>-0.25*(sigma^2*$A19^2-(rate-d)*$A19)*EurCall!AA20-(-0.5*sigma^2*$A19^2-0.5*rate+1/dt)*EurCall!AA19-0.25*(sigma^2*$A19^2+(rate-d)*$A19)*EurCall!AA18</f>
        <v>-5263.0972277420133</v>
      </c>
      <c r="AA19">
        <f>-0.25*(sigma^2*$A19^2-(rate-d)*$A19)*EurCall!AB20-(-0.5*sigma^2*$A19^2-0.5*rate+1/dt)*EurCall!AB19-0.25*(sigma^2*$A19^2+(rate-d)*$A19)*EurCall!AB18</f>
        <v>-5260.7343772552567</v>
      </c>
      <c r="AB19">
        <f>-0.25*(sigma^2*$A19^2-(rate-d)*$A19)*EurCall!AC20-(-0.5*sigma^2*$A19^2-0.5*rate+1/dt)*EurCall!AC19-0.25*(sigma^2*$A19^2+(rate-d)*$A19)*EurCall!AC18</f>
        <v>-5258.3701086320871</v>
      </c>
      <c r="AC19">
        <f>-0.25*(sigma^2*$A19^2-(rate-d)*$A19)*EurCall!AD20-(-0.5*sigma^2*$A19^2-0.5*rate+1/dt)*EurCall!AD19-0.25*(sigma^2*$A19^2+(rate-d)*$A19)*EurCall!AD18</f>
        <v>-5256.0044210213318</v>
      </c>
      <c r="AD19">
        <f>-0.25*(sigma^2*$A19^2-(rate-d)*$A19)*EurCall!AE20-(-0.5*sigma^2*$A19^2-0.5*rate+1/dt)*EurCall!AE19-0.25*(sigma^2*$A19^2+(rate-d)*$A19)*EurCall!AE18</f>
        <v>-5253.6373135713038</v>
      </c>
      <c r="AE19">
        <f>-0.25*(sigma^2*$A19^2-(rate-d)*$A19)*EurCall!AF20-(-0.5*sigma^2*$A19^2-0.5*rate+1/dt)*EurCall!AF19-0.25*(sigma^2*$A19^2+(rate-d)*$A19)*EurCall!AF18</f>
        <v>-5251.2687854298038</v>
      </c>
      <c r="AF19">
        <f>-0.25*(sigma^2*$A19^2-(rate-d)*$A19)*EurCall!AG20-(-0.5*sigma^2*$A19^2-0.5*rate+1/dt)*EurCall!AG19-0.25*(sigma^2*$A19^2+(rate-d)*$A19)*EurCall!AG18</f>
        <v>-5248.8988357441185</v>
      </c>
      <c r="AG19">
        <f>-0.25*(sigma^2*$A19^2-(rate-d)*$A19)*EurCall!AH20-(-0.5*sigma^2*$A19^2-0.5*rate+1/dt)*EurCall!AH19-0.25*(sigma^2*$A19^2+(rate-d)*$A19)*EurCall!AH18</f>
        <v>-5246.5274636610175</v>
      </c>
      <c r="AH19">
        <f>-0.25*(sigma^2*$A19^2-(rate-d)*$A19)*EurCall!AI20-(-0.5*sigma^2*$A19^2-0.5*rate+1/dt)*EurCall!AI19-0.25*(sigma^2*$A19^2+(rate-d)*$A19)*EurCall!AI18</f>
        <v>-5244.154668326757</v>
      </c>
      <c r="AI19">
        <f>-0.25*(sigma^2*$A19^2-(rate-d)*$A19)*EurCall!AJ20-(-0.5*sigma^2*$A19^2-0.5*rate+1/dt)*EurCall!AJ19-0.25*(sigma^2*$A19^2+(rate-d)*$A19)*EurCall!AJ18</f>
        <v>-5241.7804488870761</v>
      </c>
      <c r="AJ19">
        <f>-0.25*(sigma^2*$A19^2-(rate-d)*$A19)*EurCall!AK20-(-0.5*sigma^2*$A19^2-0.5*rate+1/dt)*EurCall!AK19-0.25*(sigma^2*$A19^2+(rate-d)*$A19)*EurCall!AK18</f>
        <v>-5239.4048044871961</v>
      </c>
      <c r="AK19">
        <f>-0.25*(sigma^2*$A19^2-(rate-d)*$A19)*EurCall!AL20-(-0.5*sigma^2*$A19^2-0.5*rate+1/dt)*EurCall!AL19-0.25*(sigma^2*$A19^2+(rate-d)*$A19)*EurCall!AL18</f>
        <v>-5237.0277342718191</v>
      </c>
      <c r="AL19">
        <f>-0.25*(sigma^2*$A19^2-(rate-d)*$A19)*EurCall!AM20-(-0.5*sigma^2*$A19^2-0.5*rate+1/dt)*EurCall!AM19-0.25*(sigma^2*$A19^2+(rate-d)*$A19)*EurCall!AM18</f>
        <v>-5234.6492373851288</v>
      </c>
      <c r="AM19">
        <f>-0.25*(sigma^2*$A19^2-(rate-d)*$A19)*EurCall!AN20-(-0.5*sigma^2*$A19^2-0.5*rate+1/dt)*EurCall!AN19-0.25*(sigma^2*$A19^2+(rate-d)*$A19)*EurCall!AN18</f>
        <v>-5232.2693129707914</v>
      </c>
      <c r="AN19">
        <f>-0.25*(sigma^2*$A19^2-(rate-d)*$A19)*EurCall!AO20-(-0.5*sigma^2*$A19^2-0.5*rate+1/dt)*EurCall!AO19-0.25*(sigma^2*$A19^2+(rate-d)*$A19)*EurCall!AO18</f>
        <v>-5229.8879601719491</v>
      </c>
      <c r="AO19">
        <f>-0.25*(sigma^2*$A19^2-(rate-d)*$A19)*EurCall!AP20-(-0.5*sigma^2*$A19^2-0.5*rate+1/dt)*EurCall!AP19-0.25*(sigma^2*$A19^2+(rate-d)*$A19)*EurCall!AP18</f>
        <v>-5227.5051781312268</v>
      </c>
      <c r="AP19">
        <f>-0.25*(sigma^2*$A19^2-(rate-d)*$A19)*EurCall!AQ20-(-0.5*sigma^2*$A19^2-0.5*rate+1/dt)*EurCall!AQ19-0.25*(sigma^2*$A19^2+(rate-d)*$A19)*EurCall!AQ18</f>
        <v>-5225.120965990729</v>
      </c>
      <c r="AQ19">
        <f>-0.25*(sigma^2*$A19^2-(rate-d)*$A19)*EurCall!AR20-(-0.5*sigma^2*$A19^2-0.5*rate+1/dt)*EurCall!AR19-0.25*(sigma^2*$A19^2+(rate-d)*$A19)*EurCall!AR18</f>
        <v>-5222.7353228920356</v>
      </c>
      <c r="AR19">
        <f>-0.25*(sigma^2*$A19^2-(rate-d)*$A19)*EurCall!AS20-(-0.5*sigma^2*$A19^2-0.5*rate+1/dt)*EurCall!AS19-0.25*(sigma^2*$A19^2+(rate-d)*$A19)*EurCall!AS18</f>
        <v>-5220.3482479762124</v>
      </c>
      <c r="AS19">
        <f>-0.25*(sigma^2*$A19^2-(rate-d)*$A19)*EurCall!AT20-(-0.5*sigma^2*$A19^2-0.5*rate+1/dt)*EurCall!AT19-0.25*(sigma^2*$A19^2+(rate-d)*$A19)*EurCall!AT18</f>
        <v>-5217.9597403838106</v>
      </c>
      <c r="AT19">
        <f>-0.25*(sigma^2*$A19^2-(rate-d)*$A19)*EurCall!AU20-(-0.5*sigma^2*$A19^2-0.5*rate+1/dt)*EurCall!AU19-0.25*(sigma^2*$A19^2+(rate-d)*$A19)*EurCall!AU18</f>
        <v>-5215.5697992548767</v>
      </c>
      <c r="AU19">
        <f>-0.25*(sigma^2*$A19^2-(rate-d)*$A19)*EurCall!AV20-(-0.5*sigma^2*$A19^2-0.5*rate+1/dt)*EurCall!AV19-0.25*(sigma^2*$A19^2+(rate-d)*$A19)*EurCall!AV18</f>
        <v>-5213.1784237289694</v>
      </c>
      <c r="AV19">
        <f>-0.25*(sigma^2*$A19^2-(rate-d)*$A19)*EurCall!AW20-(-0.5*sigma^2*$A19^2-0.5*rate+1/dt)*EurCall!AW19-0.25*(sigma^2*$A19^2+(rate-d)*$A19)*EurCall!AW18</f>
        <v>-5210.7856129451848</v>
      </c>
      <c r="AW19">
        <f>-0.25*(sigma^2*$A19^2-(rate-d)*$A19)*EurCall!AX20-(-0.5*sigma^2*$A19^2-0.5*rate+1/dt)*EurCall!AX19-0.25*(sigma^2*$A19^2+(rate-d)*$A19)*EurCall!AX18</f>
        <v>-5208.3913660422086</v>
      </c>
      <c r="AX19">
        <f>-0.25*(sigma^2*$A19^2-(rate-d)*$A19)*EurCall!AY20-(-0.5*sigma^2*$A19^2-0.5*rate+1/dt)*EurCall!AY19-0.25*(sigma^2*$A19^2+(rate-d)*$A19)*EurCall!AY18</f>
        <v>-5205.9956821583819</v>
      </c>
      <c r="AY19">
        <f>-0.25*(sigma^2*$A19^2-(rate-d)*$A19)*EurCall!AZ20-(-0.5*sigma^2*$A19^2-0.5*rate+1/dt)*EurCall!AZ19-0.25*(sigma^2*$A19^2+(rate-d)*$A19)*EurCall!AZ18</f>
        <v>-5203.5985604317657</v>
      </c>
      <c r="AZ19">
        <f>-0.25*(sigma^2*$A19^2-(rate-d)*$A19)*EurCall!BA20-(-0.5*sigma^2*$A19^2-0.5*rate+1/dt)*EurCall!BA19-0.25*(sigma^2*$A19^2+(rate-d)*$A19)*EurCall!BA18</f>
        <v>-5201.2</v>
      </c>
      <c r="BA19" s="6"/>
    </row>
    <row r="20" spans="1:53" x14ac:dyDescent="0.2">
      <c r="A20">
        <f t="shared" si="3"/>
        <v>45</v>
      </c>
      <c r="B20" s="3">
        <f t="shared" si="0"/>
        <v>90</v>
      </c>
      <c r="C20">
        <f>-0.25*(sigma^2*$A20^2-(rate-d)*$A20)*EurCall!D21-(-0.5*sigma^2*$A20^2-0.5*rate+1/dt)*EurCall!D20-0.25*(sigma^2*$A20^2+(rate-d)*$A20)*EurCall!D19</f>
        <v>-5117.0533346421435</v>
      </c>
      <c r="D20">
        <f>-0.25*(sigma^2*$A20^2-(rate-d)*$A20)*EurCall!E21-(-0.5*sigma^2*$A20^2-0.5*rate+1/dt)*EurCall!E20-0.25*(sigma^2*$A20^2+(rate-d)*$A20)*EurCall!E19</f>
        <v>-5114.7228673061491</v>
      </c>
      <c r="E20">
        <f>-0.25*(sigma^2*$A20^2-(rate-d)*$A20)*EurCall!F21-(-0.5*sigma^2*$A20^2-0.5*rate+1/dt)*EurCall!F20-0.25*(sigma^2*$A20^2+(rate-d)*$A20)*EurCall!F19</f>
        <v>-5112.3910013202649</v>
      </c>
      <c r="F20">
        <f>-0.25*(sigma^2*$A20^2-(rate-d)*$A20)*EurCall!G21-(-0.5*sigma^2*$A20^2-0.5*rate+1/dt)*EurCall!G20-0.25*(sigma^2*$A20^2+(rate-d)*$A20)*EurCall!G19</f>
        <v>-5110.0577358351975</v>
      </c>
      <c r="G20">
        <f>-0.25*(sigma^2*$A20^2-(rate-d)*$A20)*EurCall!H21-(-0.5*sigma^2*$A20^2-0.5*rate+1/dt)*EurCall!H20-0.25*(sigma^2*$A20^2+(rate-d)*$A20)*EurCall!H19</f>
        <v>-5107.7230700028013</v>
      </c>
      <c r="H20">
        <f>-0.25*(sigma^2*$A20^2-(rate-d)*$A20)*EurCall!I21-(-0.5*sigma^2*$A20^2-0.5*rate+1/dt)*EurCall!I20-0.25*(sigma^2*$A20^2+(rate-d)*$A20)*EurCall!I19</f>
        <v>-5105.3870029758591</v>
      </c>
      <c r="I20">
        <f>-0.25*(sigma^2*$A20^2-(rate-d)*$A20)*EurCall!J21-(-0.5*sigma^2*$A20^2-0.5*rate+1/dt)*EurCall!J20-0.25*(sigma^2*$A20^2+(rate-d)*$A20)*EurCall!J19</f>
        <v>-5103.0495339078698</v>
      </c>
      <c r="J20">
        <f>-0.25*(sigma^2*$A20^2-(rate-d)*$A20)*EurCall!K21-(-0.5*sigma^2*$A20^2-0.5*rate+1/dt)*EurCall!K20-0.25*(sigma^2*$A20^2+(rate-d)*$A20)*EurCall!K19</f>
        <v>-5100.7106619528695</v>
      </c>
      <c r="K20">
        <f>-0.25*(sigma^2*$A20^2-(rate-d)*$A20)*EurCall!L21-(-0.5*sigma^2*$A20^2-0.5*rate+1/dt)*EurCall!L20-0.25*(sigma^2*$A20^2+(rate-d)*$A20)*EurCall!L19</f>
        <v>-5098.370386265261</v>
      </c>
      <c r="L20">
        <f>-0.25*(sigma^2*$A20^2-(rate-d)*$A20)*EurCall!M21-(-0.5*sigma^2*$A20^2-0.5*rate+1/dt)*EurCall!M20-0.25*(sigma^2*$A20^2+(rate-d)*$A20)*EurCall!M19</f>
        <v>-5096.0287059996708</v>
      </c>
      <c r="M20">
        <f>-0.25*(sigma^2*$A20^2-(rate-d)*$A20)*EurCall!N21-(-0.5*sigma^2*$A20^2-0.5*rate+1/dt)*EurCall!N20-0.25*(sigma^2*$A20^2+(rate-d)*$A20)*EurCall!N19</f>
        <v>-5093.6856203108246</v>
      </c>
      <c r="N20">
        <f>-0.25*(sigma^2*$A20^2-(rate-d)*$A20)*EurCall!O21-(-0.5*sigma^2*$A20^2-0.5*rate+1/dt)*EurCall!O20-0.25*(sigma^2*$A20^2+(rate-d)*$A20)*EurCall!O19</f>
        <v>-5091.3411283534351</v>
      </c>
      <c r="O20">
        <f>-0.25*(sigma^2*$A20^2-(rate-d)*$A20)*EurCall!P21-(-0.5*sigma^2*$A20^2-0.5*rate+1/dt)*EurCall!P20-0.25*(sigma^2*$A20^2+(rate-d)*$A20)*EurCall!P19</f>
        <v>-5088.9952292821108</v>
      </c>
      <c r="P20">
        <f>-0.25*(sigma^2*$A20^2-(rate-d)*$A20)*EurCall!Q21-(-0.5*sigma^2*$A20^2-0.5*rate+1/dt)*EurCall!Q20-0.25*(sigma^2*$A20^2+(rate-d)*$A20)*EurCall!Q19</f>
        <v>-5086.6479222512744</v>
      </c>
      <c r="Q20">
        <f>-0.25*(sigma^2*$A20^2-(rate-d)*$A20)*EurCall!R21-(-0.5*sigma^2*$A20^2-0.5*rate+1/dt)*EurCall!R20-0.25*(sigma^2*$A20^2+(rate-d)*$A20)*EurCall!R19</f>
        <v>-5084.2992064150967</v>
      </c>
      <c r="R20">
        <f>-0.25*(sigma^2*$A20^2-(rate-d)*$A20)*EurCall!S21-(-0.5*sigma^2*$A20^2-0.5*rate+1/dt)*EurCall!S20-0.25*(sigma^2*$A20^2+(rate-d)*$A20)*EurCall!S19</f>
        <v>-5081.9490809274384</v>
      </c>
      <c r="S20">
        <f>-0.25*(sigma^2*$A20^2-(rate-d)*$A20)*EurCall!T21-(-0.5*sigma^2*$A20^2-0.5*rate+1/dt)*EurCall!T20-0.25*(sigma^2*$A20^2+(rate-d)*$A20)*EurCall!T19</f>
        <v>-5079.5975449418102</v>
      </c>
      <c r="T20">
        <f>-0.25*(sigma^2*$A20^2-(rate-d)*$A20)*EurCall!U21-(-0.5*sigma^2*$A20^2-0.5*rate+1/dt)*EurCall!U20-0.25*(sigma^2*$A20^2+(rate-d)*$A20)*EurCall!U19</f>
        <v>-5077.2445976113304</v>
      </c>
      <c r="U20">
        <f>-0.25*(sigma^2*$A20^2-(rate-d)*$A20)*EurCall!V21-(-0.5*sigma^2*$A20^2-0.5*rate+1/dt)*EurCall!V20-0.25*(sigma^2*$A20^2+(rate-d)*$A20)*EurCall!V19</f>
        <v>-5074.8902380886975</v>
      </c>
      <c r="V20">
        <f>-0.25*(sigma^2*$A20^2-(rate-d)*$A20)*EurCall!W21-(-0.5*sigma^2*$A20^2-0.5*rate+1/dt)*EurCall!W20-0.25*(sigma^2*$A20^2+(rate-d)*$A20)*EurCall!W19</f>
        <v>-5072.5344655261679</v>
      </c>
      <c r="W20">
        <f>-0.25*(sigma^2*$A20^2-(rate-d)*$A20)*EurCall!X21-(-0.5*sigma^2*$A20^2-0.5*rate+1/dt)*EurCall!X20-0.25*(sigma^2*$A20^2+(rate-d)*$A20)*EurCall!X19</f>
        <v>-5070.1772790755322</v>
      </c>
      <c r="X20">
        <f>-0.25*(sigma^2*$A20^2-(rate-d)*$A20)*EurCall!Y21-(-0.5*sigma^2*$A20^2-0.5*rate+1/dt)*EurCall!Y20-0.25*(sigma^2*$A20^2+(rate-d)*$A20)*EurCall!Y19</f>
        <v>-5067.8186778881109</v>
      </c>
      <c r="Y20">
        <f>-0.25*(sigma^2*$A20^2-(rate-d)*$A20)*EurCall!Z21-(-0.5*sigma^2*$A20^2-0.5*rate+1/dt)*EurCall!Z20-0.25*(sigma^2*$A20^2+(rate-d)*$A20)*EurCall!Z19</f>
        <v>-5065.4586611147342</v>
      </c>
      <c r="Z20">
        <f>-0.25*(sigma^2*$A20^2-(rate-d)*$A20)*EurCall!AA21-(-0.5*sigma^2*$A20^2-0.5*rate+1/dt)*EurCall!AA20-0.25*(sigma^2*$A20^2+(rate-d)*$A20)*EurCall!AA19</f>
        <v>-5063.0972279057396</v>
      </c>
      <c r="AA20">
        <f>-0.25*(sigma^2*$A20^2-(rate-d)*$A20)*EurCall!AB21-(-0.5*sigma^2*$A20^2-0.5*rate+1/dt)*EurCall!AB20-0.25*(sigma^2*$A20^2+(rate-d)*$A20)*EurCall!AB19</f>
        <v>-5060.734377410965</v>
      </c>
      <c r="AB20">
        <f>-0.25*(sigma^2*$A20^2-(rate-d)*$A20)*EurCall!AC21-(-0.5*sigma^2*$A20^2-0.5*rate+1/dt)*EurCall!AC20-0.25*(sigma^2*$A20^2+(rate-d)*$A20)*EurCall!AC19</f>
        <v>-5058.3701087797444</v>
      </c>
      <c r="AC20">
        <f>-0.25*(sigma^2*$A20^2-(rate-d)*$A20)*EurCall!AD21-(-0.5*sigma^2*$A20^2-0.5*rate+1/dt)*EurCall!AD20-0.25*(sigma^2*$A20^2+(rate-d)*$A20)*EurCall!AD19</f>
        <v>-5056.0044211609029</v>
      </c>
      <c r="AD20">
        <f>-0.25*(sigma^2*$A20^2-(rate-d)*$A20)*EurCall!AE21-(-0.5*sigma^2*$A20^2-0.5*rate+1/dt)*EurCall!AE20-0.25*(sigma^2*$A20^2+(rate-d)*$A20)*EurCall!AE19</f>
        <v>-5053.6373137027576</v>
      </c>
      <c r="AE20">
        <f>-0.25*(sigma^2*$A20^2-(rate-d)*$A20)*EurCall!AF21-(-0.5*sigma^2*$A20^2-0.5*rate+1/dt)*EurCall!AF20-0.25*(sigma^2*$A20^2+(rate-d)*$A20)*EurCall!AF19</f>
        <v>-5051.2687855531149</v>
      </c>
      <c r="AF20">
        <f>-0.25*(sigma^2*$A20^2-(rate-d)*$A20)*EurCall!AG21-(-0.5*sigma^2*$A20^2-0.5*rate+1/dt)*EurCall!AG20-0.25*(sigma^2*$A20^2+(rate-d)*$A20)*EurCall!AG19</f>
        <v>-5048.8988358592687</v>
      </c>
      <c r="AG20">
        <f>-0.25*(sigma^2*$A20^2-(rate-d)*$A20)*EurCall!AH21-(-0.5*sigma^2*$A20^2-0.5*rate+1/dt)*EurCall!AH20-0.25*(sigma^2*$A20^2+(rate-d)*$A20)*EurCall!AH19</f>
        <v>-5046.5274637679977</v>
      </c>
      <c r="AH20">
        <f>-0.25*(sigma^2*$A20^2-(rate-d)*$A20)*EurCall!AI21-(-0.5*sigma^2*$A20^2-0.5*rate+1/dt)*EurCall!AI20-0.25*(sigma^2*$A20^2+(rate-d)*$A20)*EurCall!AI19</f>
        <v>-5044.1546684255718</v>
      </c>
      <c r="AI20">
        <f>-0.25*(sigma^2*$A20^2-(rate-d)*$A20)*EurCall!AJ21-(-0.5*sigma^2*$A20^2-0.5*rate+1/dt)*EurCall!AJ20-0.25*(sigma^2*$A20^2+(rate-d)*$A20)*EurCall!AJ19</f>
        <v>-5041.7804489777445</v>
      </c>
      <c r="AJ20">
        <f>-0.25*(sigma^2*$A20^2-(rate-d)*$A20)*EurCall!AK21-(-0.5*sigma^2*$A20^2-0.5*rate+1/dt)*EurCall!AK20-0.25*(sigma^2*$A20^2+(rate-d)*$A20)*EurCall!AK19</f>
        <v>-5039.4048045697546</v>
      </c>
      <c r="AK20">
        <f>-0.25*(sigma^2*$A20^2-(rate-d)*$A20)*EurCall!AL21-(-0.5*sigma^2*$A20^2-0.5*rate+1/dt)*EurCall!AL20-0.25*(sigma^2*$A20^2+(rate-d)*$A20)*EurCall!AL19</f>
        <v>-5037.0277343463276</v>
      </c>
      <c r="AL20">
        <f>-0.25*(sigma^2*$A20^2-(rate-d)*$A20)*EurCall!AM21-(-0.5*sigma^2*$A20^2-0.5*rate+1/dt)*EurCall!AM20-0.25*(sigma^2*$A20^2+(rate-d)*$A20)*EurCall!AM19</f>
        <v>-5034.6492374516765</v>
      </c>
      <c r="AM20">
        <f>-0.25*(sigma^2*$A20^2-(rate-d)*$A20)*EurCall!AN21-(-0.5*sigma^2*$A20^2-0.5*rate+1/dt)*EurCall!AN20-0.25*(sigma^2*$A20^2+(rate-d)*$A20)*EurCall!AN19</f>
        <v>-5032.2693130294965</v>
      </c>
      <c r="AN20">
        <f>-0.25*(sigma^2*$A20^2-(rate-d)*$A20)*EurCall!AO21-(-0.5*sigma^2*$A20^2-0.5*rate+1/dt)*EurCall!AO20-0.25*(sigma^2*$A20^2+(rate-d)*$A20)*EurCall!AO19</f>
        <v>-5029.8879602229754</v>
      </c>
      <c r="AO20">
        <f>-0.25*(sigma^2*$A20^2-(rate-d)*$A20)*EurCall!AP21-(-0.5*sigma^2*$A20^2-0.5*rate+1/dt)*EurCall!AP20-0.25*(sigma^2*$A20^2+(rate-d)*$A20)*EurCall!AP19</f>
        <v>-5027.5051781747843</v>
      </c>
      <c r="AP20">
        <f>-0.25*(sigma^2*$A20^2-(rate-d)*$A20)*EurCall!AQ21-(-0.5*sigma^2*$A20^2-0.5*rate+1/dt)*EurCall!AQ20-0.25*(sigma^2*$A20^2+(rate-d)*$A20)*EurCall!AQ19</f>
        <v>-5025.1209660270879</v>
      </c>
      <c r="AQ20">
        <f>-0.25*(sigma^2*$A20^2-(rate-d)*$A20)*EurCall!AR21-(-0.5*sigma^2*$A20^2-0.5*rate+1/dt)*EurCall!AR20-0.25*(sigma^2*$A20^2+(rate-d)*$A20)*EurCall!AR19</f>
        <v>-5022.7353229215441</v>
      </c>
      <c r="AR20">
        <f>-0.25*(sigma^2*$A20^2-(rate-d)*$A20)*EurCall!AS21-(-0.5*sigma^2*$A20^2-0.5*rate+1/dt)*EurCall!AS20-0.25*(sigma^2*$A20^2+(rate-d)*$A20)*EurCall!AS19</f>
        <v>-5020.3482479993072</v>
      </c>
      <c r="AS20">
        <f>-0.25*(sigma^2*$A20^2-(rate-d)*$A20)*EurCall!AT21-(-0.5*sigma^2*$A20^2-0.5*rate+1/dt)*EurCall!AT20-0.25*(sigma^2*$A20^2+(rate-d)*$A20)*EurCall!AT19</f>
        <v>-5017.9597404010383</v>
      </c>
      <c r="AT20">
        <f>-0.25*(sigma^2*$A20^2-(rate-d)*$A20)*EurCall!AU21-(-0.5*sigma^2*$A20^2-0.5*rate+1/dt)*EurCall!AU20-0.25*(sigma^2*$A20^2+(rate-d)*$A20)*EurCall!AU19</f>
        <v>-5015.5697992669102</v>
      </c>
      <c r="AU20">
        <f>-0.25*(sigma^2*$A20^2-(rate-d)*$A20)*EurCall!AV21-(-0.5*sigma^2*$A20^2-0.5*rate+1/dt)*EurCall!AV20-0.25*(sigma^2*$A20^2+(rate-d)*$A20)*EurCall!AV19</f>
        <v>-5013.1784237366255</v>
      </c>
      <c r="AV20">
        <f>-0.25*(sigma^2*$A20^2-(rate-d)*$A20)*EurCall!AW21-(-0.5*sigma^2*$A20^2-0.5*rate+1/dt)*EurCall!AW20-0.25*(sigma^2*$A20^2+(rate-d)*$A20)*EurCall!AW19</f>
        <v>-5010.785612949423</v>
      </c>
      <c r="AW20">
        <f>-0.25*(sigma^2*$A20^2-(rate-d)*$A20)*EurCall!AX21-(-0.5*sigma^2*$A20^2-0.5*rate+1/dt)*EurCall!AX20-0.25*(sigma^2*$A20^2+(rate-d)*$A20)*EurCall!AX19</f>
        <v>-5008.3913660440912</v>
      </c>
      <c r="AX20">
        <f>-0.25*(sigma^2*$A20^2-(rate-d)*$A20)*EurCall!AY21-(-0.5*sigma^2*$A20^2-0.5*rate+1/dt)*EurCall!AY20-0.25*(sigma^2*$A20^2+(rate-d)*$A20)*EurCall!AY19</f>
        <v>-5005.9956821589612</v>
      </c>
      <c r="AY20">
        <f>-0.25*(sigma^2*$A20^2-(rate-d)*$A20)*EurCall!AZ21-(-0.5*sigma^2*$A20^2-0.5*rate+1/dt)*EurCall!AZ20-0.25*(sigma^2*$A20^2+(rate-d)*$A20)*EurCall!AZ19</f>
        <v>-5003.5985604318539</v>
      </c>
      <c r="AZ20">
        <f>-0.25*(sigma^2*$A20^2-(rate-d)*$A20)*EurCall!BA21-(-0.5*sigma^2*$A20^2-0.5*rate+1/dt)*EurCall!BA20-0.25*(sigma^2*$A20^2+(rate-d)*$A20)*EurCall!BA19</f>
        <v>-5001.2</v>
      </c>
      <c r="BA20" s="6"/>
    </row>
    <row r="21" spans="1:53" x14ac:dyDescent="0.2">
      <c r="A21">
        <f t="shared" si="3"/>
        <v>44</v>
      </c>
      <c r="B21" s="3">
        <f t="shared" si="0"/>
        <v>88</v>
      </c>
      <c r="C21">
        <f>-0.25*(sigma^2*$A21^2-(rate-d)*$A21)*EurCall!D22-(-0.5*sigma^2*$A21^2-0.5*rate+1/dt)*EurCall!D21-0.25*(sigma^2*$A21^2+(rate-d)*$A21)*EurCall!D20</f>
        <v>-4917.0533361509761</v>
      </c>
      <c r="D21">
        <f>-0.25*(sigma^2*$A21^2-(rate-d)*$A21)*EurCall!E22-(-0.5*sigma^2*$A21^2-0.5*rate+1/dt)*EurCall!E21-0.25*(sigma^2*$A21^2+(rate-d)*$A21)*EurCall!E20</f>
        <v>-4914.7228685313839</v>
      </c>
      <c r="E21">
        <f>-0.25*(sigma^2*$A21^2-(rate-d)*$A21)*EurCall!F22-(-0.5*sigma^2*$A21^2-0.5*rate+1/dt)*EurCall!F21-0.25*(sigma^2*$A21^2+(rate-d)*$A21)*EurCall!F20</f>
        <v>-4912.3910023176577</v>
      </c>
      <c r="F21">
        <f>-0.25*(sigma^2*$A21^2-(rate-d)*$A21)*EurCall!G22-(-0.5*sigma^2*$A21^2-0.5*rate+1/dt)*EurCall!G21-0.25*(sigma^2*$A21^2+(rate-d)*$A21)*EurCall!G20</f>
        <v>-4910.0577366506504</v>
      </c>
      <c r="G21">
        <f>-0.25*(sigma^2*$A21^2-(rate-d)*$A21)*EurCall!H22-(-0.5*sigma^2*$A21^2-0.5*rate+1/dt)*EurCall!H21-0.25*(sigma^2*$A21^2+(rate-d)*$A21)*EurCall!H20</f>
        <v>-4907.7230706738274</v>
      </c>
      <c r="H21">
        <f>-0.25*(sigma^2*$A21^2-(rate-d)*$A21)*EurCall!I22-(-0.5*sigma^2*$A21^2-0.5*rate+1/dt)*EurCall!I21-0.25*(sigma^2*$A21^2+(rate-d)*$A21)*EurCall!I20</f>
        <v>-4905.38700353287</v>
      </c>
      <c r="I21">
        <f>-0.25*(sigma^2*$A21^2-(rate-d)*$A21)*EurCall!J22-(-0.5*sigma^2*$A21^2-0.5*rate+1/dt)*EurCall!J21-0.25*(sigma^2*$A21^2+(rate-d)*$A21)*EurCall!J20</f>
        <v>-4903.0495343753155</v>
      </c>
      <c r="J21">
        <f>-0.25*(sigma^2*$A21^2-(rate-d)*$A21)*EurCall!K22-(-0.5*sigma^2*$A21^2-0.5*rate+1/dt)*EurCall!K21-0.25*(sigma^2*$A21^2+(rate-d)*$A21)*EurCall!K20</f>
        <v>-4900.710662350235</v>
      </c>
      <c r="K21">
        <f>-0.25*(sigma^2*$A21^2-(rate-d)*$A21)*EurCall!L22-(-0.5*sigma^2*$A21^2-0.5*rate+1/dt)*EurCall!L21-0.25*(sigma^2*$A21^2+(rate-d)*$A21)*EurCall!L20</f>
        <v>-4898.3703866079304</v>
      </c>
      <c r="L21">
        <f>-0.25*(sigma^2*$A21^2-(rate-d)*$A21)*EurCall!M22-(-0.5*sigma^2*$A21^2-0.5*rate+1/dt)*EurCall!M21-0.25*(sigma^2*$A21^2+(rate-d)*$A21)*EurCall!M20</f>
        <v>-4896.028706299674</v>
      </c>
      <c r="M21">
        <f>-0.25*(sigma^2*$A21^2-(rate-d)*$A21)*EurCall!N22-(-0.5*sigma^2*$A21^2-0.5*rate+1/dt)*EurCall!N21-0.25*(sigma^2*$A21^2+(rate-d)*$A21)*EurCall!N20</f>
        <v>-4893.6856205774739</v>
      </c>
      <c r="N21">
        <f>-0.25*(sigma^2*$A21^2-(rate-d)*$A21)*EurCall!O22-(-0.5*sigma^2*$A21^2-0.5*rate+1/dt)*EurCall!O21-0.25*(sigma^2*$A21^2+(rate-d)*$A21)*EurCall!O20</f>
        <v>-4891.3411285938573</v>
      </c>
      <c r="O21">
        <f>-0.25*(sigma^2*$A21^2-(rate-d)*$A21)*EurCall!P22-(-0.5*sigma^2*$A21^2-0.5*rate+1/dt)*EurCall!P21-0.25*(sigma^2*$A21^2+(rate-d)*$A21)*EurCall!P20</f>
        <v>-4888.9952295016983</v>
      </c>
      <c r="P21">
        <f>-0.25*(sigma^2*$A21^2-(rate-d)*$A21)*EurCall!Q22-(-0.5*sigma^2*$A21^2-0.5*rate+1/dt)*EurCall!Q21-0.25*(sigma^2*$A21^2+(rate-d)*$A21)*EurCall!Q20</f>
        <v>-4886.647922454059</v>
      </c>
      <c r="Q21">
        <f>-0.25*(sigma^2*$A21^2-(rate-d)*$A21)*EurCall!R22-(-0.5*sigma^2*$A21^2-0.5*rate+1/dt)*EurCall!R21-0.25*(sigma^2*$A21^2+(rate-d)*$A21)*EurCall!R20</f>
        <v>-4884.2992066040515</v>
      </c>
      <c r="R21">
        <f>-0.25*(sigma^2*$A21^2-(rate-d)*$A21)*EurCall!S22-(-0.5*sigma^2*$A21^2-0.5*rate+1/dt)*EurCall!S21-0.25*(sigma^2*$A21^2+(rate-d)*$A21)*EurCall!S20</f>
        <v>-4881.9490811047299</v>
      </c>
      <c r="S21">
        <f>-0.25*(sigma^2*$A21^2-(rate-d)*$A21)*EurCall!T22-(-0.5*sigma^2*$A21^2-0.5*rate+1/dt)*EurCall!T21-0.25*(sigma^2*$A21^2+(rate-d)*$A21)*EurCall!T20</f>
        <v>-4879.5975451089907</v>
      </c>
      <c r="T21">
        <f>-0.25*(sigma^2*$A21^2-(rate-d)*$A21)*EurCall!U22-(-0.5*sigma^2*$A21^2-0.5*rate+1/dt)*EurCall!U21-0.25*(sigma^2*$A21^2+(rate-d)*$A21)*EurCall!U20</f>
        <v>-4877.2445977694961</v>
      </c>
      <c r="U21">
        <f>-0.25*(sigma^2*$A21^2-(rate-d)*$A21)*EurCall!V22-(-0.5*sigma^2*$A21^2-0.5*rate+1/dt)*EurCall!V21-0.25*(sigma^2*$A21^2+(rate-d)*$A21)*EurCall!V20</f>
        <v>-4874.8902382386095</v>
      </c>
      <c r="V21">
        <f>-0.25*(sigma^2*$A21^2-(rate-d)*$A21)*EurCall!W22-(-0.5*sigma^2*$A21^2-0.5*rate+1/dt)*EurCall!W21-0.25*(sigma^2*$A21^2+(rate-d)*$A21)*EurCall!W20</f>
        <v>-4872.5344656683474</v>
      </c>
      <c r="W21">
        <f>-0.25*(sigma^2*$A21^2-(rate-d)*$A21)*EurCall!X22-(-0.5*sigma^2*$A21^2-0.5*rate+1/dt)*EurCall!X21-0.25*(sigma^2*$A21^2+(rate-d)*$A21)*EurCall!X20</f>
        <v>-4870.1772792103311</v>
      </c>
      <c r="X21">
        <f>-0.25*(sigma^2*$A21^2-(rate-d)*$A21)*EurCall!Y22-(-0.5*sigma^2*$A21^2-0.5*rate+1/dt)*EurCall!Y21-0.25*(sigma^2*$A21^2+(rate-d)*$A21)*EurCall!Y20</f>
        <v>-4867.818678015763</v>
      </c>
      <c r="Y21">
        <f>-0.25*(sigma^2*$A21^2-(rate-d)*$A21)*EurCall!Z22-(-0.5*sigma^2*$A21^2-0.5*rate+1/dt)*EurCall!Z21-0.25*(sigma^2*$A21^2+(rate-d)*$A21)*EurCall!Z20</f>
        <v>-4865.4586612353951</v>
      </c>
      <c r="Z21">
        <f>-0.25*(sigma^2*$A21^2-(rate-d)*$A21)*EurCall!AA22-(-0.5*sigma^2*$A21^2-0.5*rate+1/dt)*EurCall!AA21-0.25*(sigma^2*$A21^2+(rate-d)*$A21)*EurCall!AA20</f>
        <v>-4863.0972280195165</v>
      </c>
      <c r="AA21">
        <f>-0.25*(sigma^2*$A21^2-(rate-d)*$A21)*EurCall!AB22-(-0.5*sigma^2*$A21^2-0.5*rate+1/dt)*EurCall!AB21-0.25*(sigma^2*$A21^2+(rate-d)*$A21)*EurCall!AB20</f>
        <v>-4860.7343775179334</v>
      </c>
      <c r="AB21">
        <f>-0.25*(sigma^2*$A21^2-(rate-d)*$A21)*EurCall!AC22-(-0.5*sigma^2*$A21^2-0.5*rate+1/dt)*EurCall!AC21-0.25*(sigma^2*$A21^2+(rate-d)*$A21)*EurCall!AC20</f>
        <v>-4858.3701088799644</v>
      </c>
      <c r="AC21">
        <f>-0.25*(sigma^2*$A21^2-(rate-d)*$A21)*EurCall!AD22-(-0.5*sigma^2*$A21^2-0.5*rate+1/dt)*EurCall!AD21-0.25*(sigma^2*$A21^2+(rate-d)*$A21)*EurCall!AD20</f>
        <v>-4856.004421254429</v>
      </c>
      <c r="AD21">
        <f>-0.25*(sigma^2*$A21^2-(rate-d)*$A21)*EurCall!AE22-(-0.5*sigma^2*$A21^2-0.5*rate+1/dt)*EurCall!AE21-0.25*(sigma^2*$A21^2+(rate-d)*$A21)*EurCall!AE20</f>
        <v>-4853.6373137896453</v>
      </c>
      <c r="AE21">
        <f>-0.25*(sigma^2*$A21^2-(rate-d)*$A21)*EurCall!AF22-(-0.5*sigma^2*$A21^2-0.5*rate+1/dt)*EurCall!AF21-0.25*(sigma^2*$A21^2+(rate-d)*$A21)*EurCall!AF20</f>
        <v>-4851.268785633426</v>
      </c>
      <c r="AF21">
        <f>-0.25*(sigma^2*$A21^2-(rate-d)*$A21)*EurCall!AG22-(-0.5*sigma^2*$A21^2-0.5*rate+1/dt)*EurCall!AG21-0.25*(sigma^2*$A21^2+(rate-d)*$A21)*EurCall!AG20</f>
        <v>-4848.8988359330742</v>
      </c>
      <c r="AG21">
        <f>-0.25*(sigma^2*$A21^2-(rate-d)*$A21)*EurCall!AH22-(-0.5*sigma^2*$A21^2-0.5*rate+1/dt)*EurCall!AH21-0.25*(sigma^2*$A21^2+(rate-d)*$A21)*EurCall!AH20</f>
        <v>-4846.5274638353858</v>
      </c>
      <c r="AH21">
        <f>-0.25*(sigma^2*$A21^2-(rate-d)*$A21)*EurCall!AI22-(-0.5*sigma^2*$A21^2-0.5*rate+1/dt)*EurCall!AI21-0.25*(sigma^2*$A21^2+(rate-d)*$A21)*EurCall!AI20</f>
        <v>-4844.1546684866444</v>
      </c>
      <c r="AI21">
        <f>-0.25*(sigma^2*$A21^2-(rate-d)*$A21)*EurCall!AJ22-(-0.5*sigma^2*$A21^2-0.5*rate+1/dt)*EurCall!AJ21-0.25*(sigma^2*$A21^2+(rate-d)*$A21)*EurCall!AJ20</f>
        <v>-4841.7804490326243</v>
      </c>
      <c r="AJ21">
        <f>-0.25*(sigma^2*$A21^2-(rate-d)*$A21)*EurCall!AK22-(-0.5*sigma^2*$A21^2-0.5*rate+1/dt)*EurCall!AK21-0.25*(sigma^2*$A21^2+(rate-d)*$A21)*EurCall!AK20</f>
        <v>-4839.4048046185881</v>
      </c>
      <c r="AK21">
        <f>-0.25*(sigma^2*$A21^2-(rate-d)*$A21)*EurCall!AL22-(-0.5*sigma^2*$A21^2-0.5*rate+1/dt)*EurCall!AL21-0.25*(sigma^2*$A21^2+(rate-d)*$A21)*EurCall!AL20</f>
        <v>-4837.0277343892867</v>
      </c>
      <c r="AL21">
        <f>-0.25*(sigma^2*$A21^2-(rate-d)*$A21)*EurCall!AM22-(-0.5*sigma^2*$A21^2-0.5*rate+1/dt)*EurCall!AM21-0.25*(sigma^2*$A21^2+(rate-d)*$A21)*EurCall!AM20</f>
        <v>-4834.6492374889622</v>
      </c>
      <c r="AM21">
        <f>-0.25*(sigma^2*$A21^2-(rate-d)*$A21)*EurCall!AN22-(-0.5*sigma^2*$A21^2-0.5*rate+1/dt)*EurCall!AN21-0.25*(sigma^2*$A21^2+(rate-d)*$A21)*EurCall!AN20</f>
        <v>-4832.2693130613461</v>
      </c>
      <c r="AN21">
        <f>-0.25*(sigma^2*$A21^2-(rate-d)*$A21)*EurCall!AO22-(-0.5*sigma^2*$A21^2-0.5*rate+1/dt)*EurCall!AO21-0.25*(sigma^2*$A21^2+(rate-d)*$A21)*EurCall!AO20</f>
        <v>-4829.8879602496645</v>
      </c>
      <c r="AO21">
        <f>-0.25*(sigma^2*$A21^2-(rate-d)*$A21)*EurCall!AP22-(-0.5*sigma^2*$A21^2-0.5*rate+1/dt)*EurCall!AP21-0.25*(sigma^2*$A21^2+(rate-d)*$A21)*EurCall!AP20</f>
        <v>-4827.5051781966349</v>
      </c>
      <c r="AP21">
        <f>-0.25*(sigma^2*$A21^2-(rate-d)*$A21)*EurCall!AQ22-(-0.5*sigma^2*$A21^2-0.5*rate+1/dt)*EurCall!AQ21-0.25*(sigma^2*$A21^2+(rate-d)*$A21)*EurCall!AQ20</f>
        <v>-4825.1209660444683</v>
      </c>
      <c r="AQ21">
        <f>-0.25*(sigma^2*$A21^2-(rate-d)*$A21)*EurCall!AR22-(-0.5*sigma^2*$A21^2-0.5*rate+1/dt)*EurCall!AR21-0.25*(sigma^2*$A21^2+(rate-d)*$A21)*EurCall!AR20</f>
        <v>-4822.7353229348755</v>
      </c>
      <c r="AR21">
        <f>-0.25*(sigma^2*$A21^2-(rate-d)*$A21)*EurCall!AS22-(-0.5*sigma^2*$A21^2-0.5*rate+1/dt)*EurCall!AS21-0.25*(sigma^2*$A21^2+(rate-d)*$A21)*EurCall!AS20</f>
        <v>-4820.3482480090688</v>
      </c>
      <c r="AS21">
        <f>-0.25*(sigma^2*$A21^2-(rate-d)*$A21)*EurCall!AT22-(-0.5*sigma^2*$A21^2-0.5*rate+1/dt)*EurCall!AT21-0.25*(sigma^2*$A21^2+(rate-d)*$A21)*EurCall!AT20</f>
        <v>-4817.9597404077613</v>
      </c>
      <c r="AT21">
        <f>-0.25*(sigma^2*$A21^2-(rate-d)*$A21)*EurCall!AU22-(-0.5*sigma^2*$A21^2-0.5*rate+1/dt)*EurCall!AU21-0.25*(sigma^2*$A21^2+(rate-d)*$A21)*EurCall!AU20</f>
        <v>-4815.5697992711748</v>
      </c>
      <c r="AU21">
        <f>-0.25*(sigma^2*$A21^2-(rate-d)*$A21)*EurCall!AV22-(-0.5*sigma^2*$A21^2-0.5*rate+1/dt)*EurCall!AV21-0.25*(sigma^2*$A21^2+(rate-d)*$A21)*EurCall!AV20</f>
        <v>-4813.1784237390357</v>
      </c>
      <c r="AV21">
        <f>-0.25*(sigma^2*$A21^2-(rate-d)*$A21)*EurCall!AW22-(-0.5*sigma^2*$A21^2-0.5*rate+1/dt)*EurCall!AW21-0.25*(sigma^2*$A21^2+(rate-d)*$A21)*EurCall!AW20</f>
        <v>-4810.7856129505763</v>
      </c>
      <c r="AW21">
        <f>-0.25*(sigma^2*$A21^2-(rate-d)*$A21)*EurCall!AX22-(-0.5*sigma^2*$A21^2-0.5*rate+1/dt)*EurCall!AX21-0.25*(sigma^2*$A21^2+(rate-d)*$A21)*EurCall!AX20</f>
        <v>-4808.3913660445232</v>
      </c>
      <c r="AX21">
        <f>-0.25*(sigma^2*$A21^2-(rate-d)*$A21)*EurCall!AY22-(-0.5*sigma^2*$A21^2-0.5*rate+1/dt)*EurCall!AY21-0.25*(sigma^2*$A21^2+(rate-d)*$A21)*EurCall!AY20</f>
        <v>-4805.9956821590713</v>
      </c>
      <c r="AY21">
        <f>-0.25*(sigma^2*$A21^2-(rate-d)*$A21)*EurCall!AZ22-(-0.5*sigma^2*$A21^2-0.5*rate+1/dt)*EurCall!AZ21-0.25*(sigma^2*$A21^2+(rate-d)*$A21)*EurCall!AZ20</f>
        <v>-4803.5985604318685</v>
      </c>
      <c r="AZ21">
        <f>-0.25*(sigma^2*$A21^2-(rate-d)*$A21)*EurCall!BA22-(-0.5*sigma^2*$A21^2-0.5*rate+1/dt)*EurCall!BA21-0.25*(sigma^2*$A21^2+(rate-d)*$A21)*EurCall!BA20</f>
        <v>-4801.2</v>
      </c>
      <c r="BA21" s="6"/>
    </row>
    <row r="22" spans="1:53" x14ac:dyDescent="0.2">
      <c r="A22">
        <f t="shared" si="3"/>
        <v>43</v>
      </c>
      <c r="B22" s="3">
        <f t="shared" si="0"/>
        <v>86</v>
      </c>
      <c r="C22">
        <f>-0.25*(sigma^2*$A22^2-(rate-d)*$A22)*EurCall!D23-(-0.5*sigma^2*$A22^2-0.5*rate+1/dt)*EurCall!D22-0.25*(sigma^2*$A22^2+(rate-d)*$A22)*EurCall!D21</f>
        <v>-4717.0533392084362</v>
      </c>
      <c r="D22">
        <f>-0.25*(sigma^2*$A22^2-(rate-d)*$A22)*EurCall!E23-(-0.5*sigma^2*$A22^2-0.5*rate+1/dt)*EurCall!E22-0.25*(sigma^2*$A22^2+(rate-d)*$A22)*EurCall!E21</f>
        <v>-4714.7228709731608</v>
      </c>
      <c r="E22">
        <f>-0.25*(sigma^2*$A22^2-(rate-d)*$A22)*EurCall!F23-(-0.5*sigma^2*$A22^2-0.5*rate+1/dt)*EurCall!F22-0.25*(sigma^2*$A22^2+(rate-d)*$A22)*EurCall!F21</f>
        <v>-4712.3910042606467</v>
      </c>
      <c r="F22">
        <f>-0.25*(sigma^2*$A22^2-(rate-d)*$A22)*EurCall!G23-(-0.5*sigma^2*$A22^2-0.5*rate+1/dt)*EurCall!G22-0.25*(sigma^2*$A22^2+(rate-d)*$A22)*EurCall!G21</f>
        <v>-4710.0577381923067</v>
      </c>
      <c r="G22">
        <f>-0.25*(sigma^2*$A22^2-(rate-d)*$A22)*EurCall!H23-(-0.5*sigma^2*$A22^2-0.5*rate+1/dt)*EurCall!H22-0.25*(sigma^2*$A22^2+(rate-d)*$A22)*EurCall!H21</f>
        <v>-4707.7230718948113</v>
      </c>
      <c r="H22">
        <f>-0.25*(sigma^2*$A22^2-(rate-d)*$A22)*EurCall!I23-(-0.5*sigma^2*$A22^2-0.5*rate+1/dt)*EurCall!I22-0.25*(sigma^2*$A22^2+(rate-d)*$A22)*EurCall!I21</f>
        <v>-4705.3870044994428</v>
      </c>
      <c r="I22">
        <f>-0.25*(sigma^2*$A22^2-(rate-d)*$A22)*EurCall!J23-(-0.5*sigma^2*$A22^2-0.5*rate+1/dt)*EurCall!J22-0.25*(sigma^2*$A22^2+(rate-d)*$A22)*EurCall!J21</f>
        <v>-4703.0495351414829</v>
      </c>
      <c r="J22">
        <f>-0.25*(sigma^2*$A22^2-(rate-d)*$A22)*EurCall!K23-(-0.5*sigma^2*$A22^2-0.5*rate+1/dt)*EurCall!K22-0.25*(sigma^2*$A22^2+(rate-d)*$A22)*EurCall!K21</f>
        <v>-4700.7106629596465</v>
      </c>
      <c r="K22">
        <f>-0.25*(sigma^2*$A22^2-(rate-d)*$A22)*EurCall!L23-(-0.5*sigma^2*$A22^2-0.5*rate+1/dt)*EurCall!L22-0.25*(sigma^2*$A22^2+(rate-d)*$A22)*EurCall!L21</f>
        <v>-4698.3703870955578</v>
      </c>
      <c r="L22">
        <f>-0.25*(sigma^2*$A22^2-(rate-d)*$A22)*EurCall!M23-(-0.5*sigma^2*$A22^2-0.5*rate+1/dt)*EurCall!M22-0.25*(sigma^2*$A22^2+(rate-d)*$A22)*EurCall!M21</f>
        <v>-4696.0287066932806</v>
      </c>
      <c r="M22">
        <f>-0.25*(sigma^2*$A22^2-(rate-d)*$A22)*EurCall!N23-(-0.5*sigma^2*$A22^2-0.5*rate+1/dt)*EurCall!N22-0.25*(sigma^2*$A22^2+(rate-d)*$A22)*EurCall!N21</f>
        <v>-4693.6856208988847</v>
      </c>
      <c r="N22">
        <f>-0.25*(sigma^2*$A22^2-(rate-d)*$A22)*EurCall!O23-(-0.5*sigma^2*$A22^2-0.5*rate+1/dt)*EurCall!O22-0.25*(sigma^2*$A22^2+(rate-d)*$A22)*EurCall!O21</f>
        <v>-4691.3411288600582</v>
      </c>
      <c r="O22">
        <f>-0.25*(sigma^2*$A22^2-(rate-d)*$A22)*EurCall!P23-(-0.5*sigma^2*$A22^2-0.5*rate+1/dt)*EurCall!P22-0.25*(sigma^2*$A22^2+(rate-d)*$A22)*EurCall!P21</f>
        <v>-4688.9952297257669</v>
      </c>
      <c r="P22">
        <f>-0.25*(sigma^2*$A22^2-(rate-d)*$A22)*EurCall!Q23-(-0.5*sigma^2*$A22^2-0.5*rate+1/dt)*EurCall!Q22-0.25*(sigma^2*$A22^2+(rate-d)*$A22)*EurCall!Q21</f>
        <v>-4686.6479226459496</v>
      </c>
      <c r="Q22">
        <f>-0.25*(sigma^2*$A22^2-(rate-d)*$A22)*EurCall!R23-(-0.5*sigma^2*$A22^2-0.5*rate+1/dt)*EurCall!R22-0.25*(sigma^2*$A22^2+(rate-d)*$A22)*EurCall!R21</f>
        <v>-4684.2992067712539</v>
      </c>
      <c r="R22">
        <f>-0.25*(sigma^2*$A22^2-(rate-d)*$A22)*EurCall!S23-(-0.5*sigma^2*$A22^2-0.5*rate+1/dt)*EurCall!S22-0.25*(sigma^2*$A22^2+(rate-d)*$A22)*EurCall!S21</f>
        <v>-4681.9490812528056</v>
      </c>
      <c r="S22">
        <f>-0.25*(sigma^2*$A22^2-(rate-d)*$A22)*EurCall!T23-(-0.5*sigma^2*$A22^2-0.5*rate+1/dt)*EurCall!T22-0.25*(sigma^2*$A22^2+(rate-d)*$A22)*EurCall!T21</f>
        <v>-4679.5975452420207</v>
      </c>
      <c r="T22">
        <f>-0.25*(sigma^2*$A22^2-(rate-d)*$A22)*EurCall!U23-(-0.5*sigma^2*$A22^2-0.5*rate+1/dt)*EurCall!U22-0.25*(sigma^2*$A22^2+(rate-d)*$A22)*EurCall!U21</f>
        <v>-4677.2445978904352</v>
      </c>
      <c r="U22">
        <f>-0.25*(sigma^2*$A22^2-(rate-d)*$A22)*EurCall!V23-(-0.5*sigma^2*$A22^2-0.5*rate+1/dt)*EurCall!V22-0.25*(sigma^2*$A22^2+(rate-d)*$A22)*EurCall!V21</f>
        <v>-4674.8902383495688</v>
      </c>
      <c r="V22">
        <f>-0.25*(sigma^2*$A22^2-(rate-d)*$A22)*EurCall!W23-(-0.5*sigma^2*$A22^2-0.5*rate+1/dt)*EurCall!W22-0.25*(sigma^2*$A22^2+(rate-d)*$A22)*EurCall!W21</f>
        <v>-4672.5344657708156</v>
      </c>
      <c r="W22">
        <f>-0.25*(sigma^2*$A22^2-(rate-d)*$A22)*EurCall!X23-(-0.5*sigma^2*$A22^2-0.5*rate+1/dt)*EurCall!X22-0.25*(sigma^2*$A22^2+(rate-d)*$A22)*EurCall!X21</f>
        <v>-4670.1772793053487</v>
      </c>
      <c r="X22">
        <f>-0.25*(sigma^2*$A22^2-(rate-d)*$A22)*EurCall!Y23-(-0.5*sigma^2*$A22^2-0.5*rate+1/dt)*EurCall!Y22-0.25*(sigma^2*$A22^2+(rate-d)*$A22)*EurCall!Y21</f>
        <v>-4667.8186781040495</v>
      </c>
      <c r="Y22">
        <f>-0.25*(sigma^2*$A22^2-(rate-d)*$A22)*EurCall!Z23-(-0.5*sigma^2*$A22^2-0.5*rate+1/dt)*EurCall!Z22-0.25*(sigma^2*$A22^2+(rate-d)*$A22)*EurCall!Z21</f>
        <v>-4665.4586613174506</v>
      </c>
      <c r="Z22">
        <f>-0.25*(sigma^2*$A22^2-(rate-d)*$A22)*EurCall!AA23-(-0.5*sigma^2*$A22^2-0.5*rate+1/dt)*EurCall!AA22-0.25*(sigma^2*$A22^2+(rate-d)*$A22)*EurCall!AA21</f>
        <v>-4663.0972280956912</v>
      </c>
      <c r="AA22">
        <f>-0.25*(sigma^2*$A22^2-(rate-d)*$A22)*EurCall!AB23-(-0.5*sigma^2*$A22^2-0.5*rate+1/dt)*EurCall!AB22-0.25*(sigma^2*$A22^2+(rate-d)*$A22)*EurCall!AB21</f>
        <v>-4660.7343775884792</v>
      </c>
      <c r="AB22">
        <f>-0.25*(sigma^2*$A22^2-(rate-d)*$A22)*EurCall!AC23-(-0.5*sigma^2*$A22^2-0.5*rate+1/dt)*EurCall!AC22-0.25*(sigma^2*$A22^2+(rate-d)*$A22)*EurCall!AC21</f>
        <v>-4658.3701089450733</v>
      </c>
      <c r="AC22">
        <f>-0.25*(sigma^2*$A22^2-(rate-d)*$A22)*EurCall!AD23-(-0.5*sigma^2*$A22^2-0.5*rate+1/dt)*EurCall!AD22-0.25*(sigma^2*$A22^2+(rate-d)*$A22)*EurCall!AD21</f>
        <v>-4656.0044213142583</v>
      </c>
      <c r="AD22">
        <f>-0.25*(sigma^2*$A22^2-(rate-d)*$A22)*EurCall!AE23-(-0.5*sigma^2*$A22^2-0.5*rate+1/dt)*EurCall!AE22-0.25*(sigma^2*$A22^2+(rate-d)*$A22)*EurCall!AE21</f>
        <v>-4653.6373138443359</v>
      </c>
      <c r="AE22">
        <f>-0.25*(sigma^2*$A22^2-(rate-d)*$A22)*EurCall!AF23-(-0.5*sigma^2*$A22^2-0.5*rate+1/dt)*EurCall!AF22-0.25*(sigma^2*$A22^2+(rate-d)*$A22)*EurCall!AF21</f>
        <v>-4651.2687856831153</v>
      </c>
      <c r="AF22">
        <f>-0.25*(sigma^2*$A22^2-(rate-d)*$A22)*EurCall!AG23-(-0.5*sigma^2*$A22^2-0.5*rate+1/dt)*EurCall!AG22-0.25*(sigma^2*$A22^2+(rate-d)*$A22)*EurCall!AG21</f>
        <v>-4648.8988359779041</v>
      </c>
      <c r="AG22">
        <f>-0.25*(sigma^2*$A22^2-(rate-d)*$A22)*EurCall!AH23-(-0.5*sigma^2*$A22^2-0.5*rate+1/dt)*EurCall!AH22-0.25*(sigma^2*$A22^2+(rate-d)*$A22)*EurCall!AH21</f>
        <v>-4646.5274638755072</v>
      </c>
      <c r="AH22">
        <f>-0.25*(sigma^2*$A22^2-(rate-d)*$A22)*EurCall!AI23-(-0.5*sigma^2*$A22^2-0.5*rate+1/dt)*EurCall!AI22-0.25*(sigma^2*$A22^2+(rate-d)*$A22)*EurCall!AI21</f>
        <v>-4644.154668522222</v>
      </c>
      <c r="AI22">
        <f>-0.25*(sigma^2*$A22^2-(rate-d)*$A22)*EurCall!AJ23-(-0.5*sigma^2*$A22^2-0.5*rate+1/dt)*EurCall!AJ22-0.25*(sigma^2*$A22^2+(rate-d)*$A22)*EurCall!AJ21</f>
        <v>-4641.7804490638382</v>
      </c>
      <c r="AJ22">
        <f>-0.25*(sigma^2*$A22^2-(rate-d)*$A22)*EurCall!AK23-(-0.5*sigma^2*$A22^2-0.5*rate+1/dt)*EurCall!AK22-0.25*(sigma^2*$A22^2+(rate-d)*$A22)*EurCall!AK21</f>
        <v>-4639.4048046456392</v>
      </c>
      <c r="AK22">
        <f>-0.25*(sigma^2*$A22^2-(rate-d)*$A22)*EurCall!AL23-(-0.5*sigma^2*$A22^2-0.5*rate+1/dt)*EurCall!AL22-0.25*(sigma^2*$A22^2+(rate-d)*$A22)*EurCall!AL21</f>
        <v>-4637.027734412397</v>
      </c>
      <c r="AL22">
        <f>-0.25*(sigma^2*$A22^2-(rate-d)*$A22)*EurCall!AM23-(-0.5*sigma^2*$A22^2-0.5*rate+1/dt)*EurCall!AM22-0.25*(sigma^2*$A22^2+(rate-d)*$A22)*EurCall!AM21</f>
        <v>-4634.6492375083762</v>
      </c>
      <c r="AM22">
        <f>-0.25*(sigma^2*$A22^2-(rate-d)*$A22)*EurCall!AN23-(-0.5*sigma^2*$A22^2-0.5*rate+1/dt)*EurCall!AN22-0.25*(sigma^2*$A22^2+(rate-d)*$A22)*EurCall!AN21</f>
        <v>-4632.269313077335</v>
      </c>
      <c r="AN22">
        <f>-0.25*(sigma^2*$A22^2-(rate-d)*$A22)*EurCall!AO23-(-0.5*sigma^2*$A22^2-0.5*rate+1/dt)*EurCall!AO22-0.25*(sigma^2*$A22^2+(rate-d)*$A22)*EurCall!AO21</f>
        <v>-4629.8879602625211</v>
      </c>
      <c r="AO22">
        <f>-0.25*(sigma^2*$A22^2-(rate-d)*$A22)*EurCall!AP23-(-0.5*sigma^2*$A22^2-0.5*rate+1/dt)*EurCall!AP22-0.25*(sigma^2*$A22^2+(rate-d)*$A22)*EurCall!AP21</f>
        <v>-4627.5051782066757</v>
      </c>
      <c r="AP22">
        <f>-0.25*(sigma^2*$A22^2-(rate-d)*$A22)*EurCall!AQ23-(-0.5*sigma^2*$A22^2-0.5*rate+1/dt)*EurCall!AQ22-0.25*(sigma^2*$A22^2+(rate-d)*$A22)*EurCall!AQ21</f>
        <v>-4625.1209660520344</v>
      </c>
      <c r="AQ22">
        <f>-0.25*(sigma^2*$A22^2-(rate-d)*$A22)*EurCall!AR23-(-0.5*sigma^2*$A22^2-0.5*rate+1/dt)*EurCall!AR22-0.25*(sigma^2*$A22^2+(rate-d)*$A22)*EurCall!AR21</f>
        <v>-4622.7353229403288</v>
      </c>
      <c r="AR22">
        <f>-0.25*(sigma^2*$A22^2-(rate-d)*$A22)*EurCall!AS23-(-0.5*sigma^2*$A22^2-0.5*rate+1/dt)*EurCall!AS22-0.25*(sigma^2*$A22^2+(rate-d)*$A22)*EurCall!AS21</f>
        <v>-4620.3482480127795</v>
      </c>
      <c r="AS22">
        <f>-0.25*(sigma^2*$A22^2-(rate-d)*$A22)*EurCall!AT23-(-0.5*sigma^2*$A22^2-0.5*rate+1/dt)*EurCall!AT22-0.25*(sigma^2*$A22^2+(rate-d)*$A22)*EurCall!AT21</f>
        <v>-4617.9597404101069</v>
      </c>
      <c r="AT22">
        <f>-0.25*(sigma^2*$A22^2-(rate-d)*$A22)*EurCall!AU23-(-0.5*sigma^2*$A22^2-0.5*rate+1/dt)*EurCall!AU22-0.25*(sigma^2*$A22^2+(rate-d)*$A22)*EurCall!AU21</f>
        <v>-4615.5697992725181</v>
      </c>
      <c r="AU22">
        <f>-0.25*(sigma^2*$A22^2-(rate-d)*$A22)*EurCall!AV23-(-0.5*sigma^2*$A22^2-0.5*rate+1/dt)*EurCall!AV22-0.25*(sigma^2*$A22^2+(rate-d)*$A22)*EurCall!AV21</f>
        <v>-4613.1784237397096</v>
      </c>
      <c r="AV22">
        <f>-0.25*(sigma^2*$A22^2-(rate-d)*$A22)*EurCall!AW23-(-0.5*sigma^2*$A22^2-0.5*rate+1/dt)*EurCall!AW22-0.25*(sigma^2*$A22^2+(rate-d)*$A22)*EurCall!AW21</f>
        <v>-4610.7856129508582</v>
      </c>
      <c r="AW22">
        <f>-0.25*(sigma^2*$A22^2-(rate-d)*$A22)*EurCall!AX23-(-0.5*sigma^2*$A22^2-0.5*rate+1/dt)*EurCall!AX22-0.25*(sigma^2*$A22^2+(rate-d)*$A22)*EurCall!AX21</f>
        <v>-4608.3913660446124</v>
      </c>
      <c r="AX22">
        <f>-0.25*(sigma^2*$A22^2-(rate-d)*$A22)*EurCall!AY23-(-0.5*sigma^2*$A22^2-0.5*rate+1/dt)*EurCall!AY22-0.25*(sigma^2*$A22^2+(rate-d)*$A22)*EurCall!AY21</f>
        <v>-4605.9956821590904</v>
      </c>
      <c r="AY22">
        <f>-0.25*(sigma^2*$A22^2-(rate-d)*$A22)*EurCall!AZ23-(-0.5*sigma^2*$A22^2-0.5*rate+1/dt)*EurCall!AZ22-0.25*(sigma^2*$A22^2+(rate-d)*$A22)*EurCall!AZ21</f>
        <v>-4603.5985604318712</v>
      </c>
      <c r="AZ22">
        <f>-0.25*(sigma^2*$A22^2-(rate-d)*$A22)*EurCall!BA23-(-0.5*sigma^2*$A22^2-0.5*rate+1/dt)*EurCall!BA22-0.25*(sigma^2*$A22^2+(rate-d)*$A22)*EurCall!BA21</f>
        <v>-4601.2000000000007</v>
      </c>
      <c r="BA22" s="6"/>
    </row>
    <row r="23" spans="1:53" x14ac:dyDescent="0.2">
      <c r="A23">
        <f t="shared" si="3"/>
        <v>42</v>
      </c>
      <c r="B23" s="3">
        <f t="shared" si="0"/>
        <v>84</v>
      </c>
      <c r="C23">
        <f>-0.25*(sigma^2*$A23^2-(rate-d)*$A23)*EurCall!D24-(-0.5*sigma^2*$A23^2-0.5*rate+1/dt)*EurCall!D23-0.25*(sigma^2*$A23^2+(rate-d)*$A23)*EurCall!D22</f>
        <v>-4517.0533459067201</v>
      </c>
      <c r="D23">
        <f>-0.25*(sigma^2*$A23^2-(rate-d)*$A23)*EurCall!E24-(-0.5*sigma^2*$A23^2-0.5*rate+1/dt)*EurCall!E23-0.25*(sigma^2*$A23^2+(rate-d)*$A23)*EurCall!E22</f>
        <v>-4514.7228763264729</v>
      </c>
      <c r="E23">
        <f>-0.25*(sigma^2*$A23^2-(rate-d)*$A23)*EurCall!F24-(-0.5*sigma^2*$A23^2-0.5*rate+1/dt)*EurCall!F23-0.25*(sigma^2*$A23^2+(rate-d)*$A23)*EurCall!F22</f>
        <v>-4512.3910085128673</v>
      </c>
      <c r="F23">
        <f>-0.25*(sigma^2*$A23^2-(rate-d)*$A23)*EurCall!G24-(-0.5*sigma^2*$A23^2-0.5*rate+1/dt)*EurCall!G23-0.25*(sigma^2*$A23^2+(rate-d)*$A23)*EurCall!G22</f>
        <v>-4510.0577415492935</v>
      </c>
      <c r="G23">
        <f>-0.25*(sigma^2*$A23^2-(rate-d)*$A23)*EurCall!H24-(-0.5*sigma^2*$A23^2-0.5*rate+1/dt)*EurCall!H23-0.25*(sigma^2*$A23^2+(rate-d)*$A23)*EurCall!H22</f>
        <v>-4507.7230745291508</v>
      </c>
      <c r="H23">
        <f>-0.25*(sigma^2*$A23^2-(rate-d)*$A23)*EurCall!I24-(-0.5*sigma^2*$A23^2-0.5*rate+1/dt)*EurCall!I23-0.25*(sigma^2*$A23^2+(rate-d)*$A23)*EurCall!I22</f>
        <v>-4505.3870065547926</v>
      </c>
      <c r="I23">
        <f>-0.25*(sigma^2*$A23^2-(rate-d)*$A23)*EurCall!J24-(-0.5*sigma^2*$A23^2-0.5*rate+1/dt)*EurCall!J23-0.25*(sigma^2*$A23^2+(rate-d)*$A23)*EurCall!J22</f>
        <v>-4503.0495367365211</v>
      </c>
      <c r="J23">
        <f>-0.25*(sigma^2*$A23^2-(rate-d)*$A23)*EurCall!K24-(-0.5*sigma^2*$A23^2-0.5*rate+1/dt)*EurCall!K23-0.25*(sigma^2*$A23^2+(rate-d)*$A23)*EurCall!K22</f>
        <v>-4500.7106641916425</v>
      </c>
      <c r="K23">
        <f>-0.25*(sigma^2*$A23^2-(rate-d)*$A23)*EurCall!L24-(-0.5*sigma^2*$A23^2-0.5*rate+1/dt)*EurCall!L23-0.25*(sigma^2*$A23^2+(rate-d)*$A23)*EurCall!L22</f>
        <v>-4498.3703880435723</v>
      </c>
      <c r="L23">
        <f>-0.25*(sigma^2*$A23^2-(rate-d)*$A23)*EurCall!M24-(-0.5*sigma^2*$A23^2-0.5*rate+1/dt)*EurCall!M23-0.25*(sigma^2*$A23^2+(rate-d)*$A23)*EurCall!M22</f>
        <v>-4496.0287074210119</v>
      </c>
      <c r="M23">
        <f>-0.25*(sigma^2*$A23^2-(rate-d)*$A23)*EurCall!N24-(-0.5*sigma^2*$A23^2-0.5*rate+1/dt)*EurCall!N23-0.25*(sigma^2*$A23^2+(rate-d)*$A23)*EurCall!N22</f>
        <v>-4493.6856214571799</v>
      </c>
      <c r="N23">
        <f>-0.25*(sigma^2*$A23^2-(rate-d)*$A23)*EurCall!O24-(-0.5*sigma^2*$A23^2-0.5*rate+1/dt)*EurCall!O23-0.25*(sigma^2*$A23^2+(rate-d)*$A23)*EurCall!O22</f>
        <v>-4491.3411292891142</v>
      </c>
      <c r="O23">
        <f>-0.25*(sigma^2*$A23^2-(rate-d)*$A23)*EurCall!P24-(-0.5*sigma^2*$A23^2-0.5*rate+1/dt)*EurCall!P23-0.25*(sigma^2*$A23^2+(rate-d)*$A23)*EurCall!P22</f>
        <v>-4488.995230057034</v>
      </c>
      <c r="P23">
        <f>-0.25*(sigma^2*$A23^2-(rate-d)*$A23)*EurCall!Q24-(-0.5*sigma^2*$A23^2-0.5*rate+1/dt)*EurCall!Q23-0.25*(sigma^2*$A23^2+(rate-d)*$A23)*EurCall!Q22</f>
        <v>-4486.6479229037714</v>
      </c>
      <c r="Q23">
        <f>-0.25*(sigma^2*$A23^2-(rate-d)*$A23)*EurCall!R24-(-0.5*sigma^2*$A23^2-0.5*rate+1/dt)*EurCall!R23-0.25*(sigma^2*$A23^2+(rate-d)*$A23)*EurCall!R22</f>
        <v>-4484.2992069742559</v>
      </c>
      <c r="R23">
        <f>-0.25*(sigma^2*$A23^2-(rate-d)*$A23)*EurCall!S24-(-0.5*sigma^2*$A23^2-0.5*rate+1/dt)*EurCall!S23-0.25*(sigma^2*$A23^2+(rate-d)*$A23)*EurCall!S22</f>
        <v>-4481.9490814150749</v>
      </c>
      <c r="S23">
        <f>-0.25*(sigma^2*$A23^2-(rate-d)*$A23)*EurCall!T24-(-0.5*sigma^2*$A23^2-0.5*rate+1/dt)*EurCall!T23-0.25*(sigma^2*$A23^2+(rate-d)*$A23)*EurCall!T22</f>
        <v>-4479.5975453740757</v>
      </c>
      <c r="T23">
        <f>-0.25*(sigma^2*$A23^2-(rate-d)*$A23)*EurCall!U24-(-0.5*sigma^2*$A23^2-0.5*rate+1/dt)*EurCall!U23-0.25*(sigma^2*$A23^2+(rate-d)*$A23)*EurCall!U22</f>
        <v>-4477.2445980000275</v>
      </c>
      <c r="U23">
        <f>-0.25*(sigma^2*$A23^2-(rate-d)*$A23)*EurCall!V24-(-0.5*sigma^2*$A23^2-0.5*rate+1/dt)*EurCall!V23-0.25*(sigma^2*$A23^2+(rate-d)*$A23)*EurCall!V22</f>
        <v>-4474.8902384423363</v>
      </c>
      <c r="V23">
        <f>-0.25*(sigma^2*$A23^2-(rate-d)*$A23)*EurCall!W24-(-0.5*sigma^2*$A23^2-0.5*rate+1/dt)*EurCall!W23-0.25*(sigma^2*$A23^2+(rate-d)*$A23)*EurCall!W22</f>
        <v>-4472.5344658508038</v>
      </c>
      <c r="W23">
        <f>-0.25*(sigma^2*$A23^2-(rate-d)*$A23)*EurCall!X24-(-0.5*sigma^2*$A23^2-0.5*rate+1/dt)*EurCall!X23-0.25*(sigma^2*$A23^2+(rate-d)*$A23)*EurCall!X22</f>
        <v>-4470.1772793754208</v>
      </c>
      <c r="X23">
        <f>-0.25*(sigma^2*$A23^2-(rate-d)*$A23)*EurCall!Y24-(-0.5*sigma^2*$A23^2-0.5*rate+1/dt)*EurCall!Y23-0.25*(sigma^2*$A23^2+(rate-d)*$A23)*EurCall!Y22</f>
        <v>-4467.8186781662089</v>
      </c>
      <c r="Y23">
        <f>-0.25*(sigma^2*$A23^2-(rate-d)*$A23)*EurCall!Z24-(-0.5*sigma^2*$A23^2-0.5*rate+1/dt)*EurCall!Z23-0.25*(sigma^2*$A23^2+(rate-d)*$A23)*EurCall!Z22</f>
        <v>-4465.4586613730835</v>
      </c>
      <c r="Z23">
        <f>-0.25*(sigma^2*$A23^2-(rate-d)*$A23)*EurCall!AA24-(-0.5*sigma^2*$A23^2-0.5*rate+1/dt)*EurCall!AA23-0.25*(sigma^2*$A23^2+(rate-d)*$A23)*EurCall!AA22</f>
        <v>-4463.0972281457534</v>
      </c>
      <c r="AA23">
        <f>-0.25*(sigma^2*$A23^2-(rate-d)*$A23)*EurCall!AB24-(-0.5*sigma^2*$A23^2-0.5*rate+1/dt)*EurCall!AB23-0.25*(sigma^2*$A23^2+(rate-d)*$A23)*EurCall!AB22</f>
        <v>-4460.7343776336338</v>
      </c>
      <c r="AB23">
        <f>-0.25*(sigma^2*$A23^2-(rate-d)*$A23)*EurCall!AC24-(-0.5*sigma^2*$A23^2-0.5*rate+1/dt)*EurCall!AC23-0.25*(sigma^2*$A23^2+(rate-d)*$A23)*EurCall!AC22</f>
        <v>-4458.3701089857859</v>
      </c>
      <c r="AC23">
        <f>-0.25*(sigma^2*$A23^2-(rate-d)*$A23)*EurCall!AD24-(-0.5*sigma^2*$A23^2-0.5*rate+1/dt)*EurCall!AD23-0.25*(sigma^2*$A23^2+(rate-d)*$A23)*EurCall!AD22</f>
        <v>-4456.0044213508691</v>
      </c>
      <c r="AD23">
        <f>-0.25*(sigma^2*$A23^2-(rate-d)*$A23)*EurCall!AE24-(-0.5*sigma^2*$A23^2-0.5*rate+1/dt)*EurCall!AE23-0.25*(sigma^2*$A23^2+(rate-d)*$A23)*EurCall!AE22</f>
        <v>-4453.6373138771096</v>
      </c>
      <c r="AE23">
        <f>-0.25*(sigma^2*$A23^2-(rate-d)*$A23)*EurCall!AF24-(-0.5*sigma^2*$A23^2-0.5*rate+1/dt)*EurCall!AF23-0.25*(sigma^2*$A23^2+(rate-d)*$A23)*EurCall!AF22</f>
        <v>-4451.268785712271</v>
      </c>
      <c r="AF23">
        <f>-0.25*(sigma^2*$A23^2-(rate-d)*$A23)*EurCall!AG24-(-0.5*sigma^2*$A23^2-0.5*rate+1/dt)*EurCall!AG23-0.25*(sigma^2*$A23^2+(rate-d)*$A23)*EurCall!AG22</f>
        <v>-4448.8988360036392</v>
      </c>
      <c r="AG23">
        <f>-0.25*(sigma^2*$A23^2-(rate-d)*$A23)*EurCall!AH24-(-0.5*sigma^2*$A23^2-0.5*rate+1/dt)*EurCall!AH23-0.25*(sigma^2*$A23^2+(rate-d)*$A23)*EurCall!AH22</f>
        <v>-4446.5274638980109</v>
      </c>
      <c r="AH23">
        <f>-0.25*(sigma^2*$A23^2-(rate-d)*$A23)*EurCall!AI24-(-0.5*sigma^2*$A23^2-0.5*rate+1/dt)*EurCall!AI23-0.25*(sigma^2*$A23^2+(rate-d)*$A23)*EurCall!AI22</f>
        <v>-4444.1546685416852</v>
      </c>
      <c r="AI23">
        <f>-0.25*(sigma^2*$A23^2-(rate-d)*$A23)*EurCall!AJ24-(-0.5*sigma^2*$A23^2-0.5*rate+1/dt)*EurCall!AJ23-0.25*(sigma^2*$A23^2+(rate-d)*$A23)*EurCall!AJ22</f>
        <v>-4441.7804490804574</v>
      </c>
      <c r="AJ23">
        <f>-0.25*(sigma^2*$A23^2-(rate-d)*$A23)*EurCall!AK24-(-0.5*sigma^2*$A23^2-0.5*rate+1/dt)*EurCall!AK23-0.25*(sigma^2*$A23^2+(rate-d)*$A23)*EurCall!AK22</f>
        <v>-4439.4048046596199</v>
      </c>
      <c r="AK23">
        <f>-0.25*(sigma^2*$A23^2-(rate-d)*$A23)*EurCall!AL24-(-0.5*sigma^2*$A23^2-0.5*rate+1/dt)*EurCall!AL23-0.25*(sigma^2*$A23^2+(rate-d)*$A23)*EurCall!AL22</f>
        <v>-4437.0277344239557</v>
      </c>
      <c r="AL23">
        <f>-0.25*(sigma^2*$A23^2-(rate-d)*$A23)*EurCall!AM24-(-0.5*sigma^2*$A23^2-0.5*rate+1/dt)*EurCall!AM23-0.25*(sigma^2*$A23^2+(rate-d)*$A23)*EurCall!AM22</f>
        <v>-4434.6492375177395</v>
      </c>
      <c r="AM23">
        <f>-0.25*(sigma^2*$A23^2-(rate-d)*$A23)*EurCall!AN24-(-0.5*sigma^2*$A23^2-0.5*rate+1/dt)*EurCall!AN23-0.25*(sigma^2*$A23^2+(rate-d)*$A23)*EurCall!AN22</f>
        <v>-4432.2693130847365</v>
      </c>
      <c r="AN23">
        <f>-0.25*(sigma^2*$A23^2-(rate-d)*$A23)*EurCall!AO24-(-0.5*sigma^2*$A23^2-0.5*rate+1/dt)*EurCall!AO23-0.25*(sigma^2*$A23^2+(rate-d)*$A23)*EurCall!AO22</f>
        <v>-4429.8879602682055</v>
      </c>
      <c r="AO23">
        <f>-0.25*(sigma^2*$A23^2-(rate-d)*$A23)*EurCall!AP24-(-0.5*sigma^2*$A23^2-0.5*rate+1/dt)*EurCall!AP23-0.25*(sigma^2*$A23^2+(rate-d)*$A23)*EurCall!AP22</f>
        <v>-4427.5051782108912</v>
      </c>
      <c r="AP23">
        <f>-0.25*(sigma^2*$A23^2-(rate-d)*$A23)*EurCall!AQ24-(-0.5*sigma^2*$A23^2-0.5*rate+1/dt)*EurCall!AQ23-0.25*(sigma^2*$A23^2+(rate-d)*$A23)*EurCall!AQ22</f>
        <v>-4425.1209660550294</v>
      </c>
      <c r="AQ23">
        <f>-0.25*(sigma^2*$A23^2-(rate-d)*$A23)*EurCall!AR24-(-0.5*sigma^2*$A23^2-0.5*rate+1/dt)*EurCall!AR23-0.25*(sigma^2*$A23^2+(rate-d)*$A23)*EurCall!AR22</f>
        <v>-4422.7353229423452</v>
      </c>
      <c r="AR23">
        <f>-0.25*(sigma^2*$A23^2-(rate-d)*$A23)*EurCall!AS24-(-0.5*sigma^2*$A23^2-0.5*rate+1/dt)*EurCall!AS23-0.25*(sigma^2*$A23^2+(rate-d)*$A23)*EurCall!AS22</f>
        <v>-4420.348248014051</v>
      </c>
      <c r="AS23">
        <f>-0.25*(sigma^2*$A23^2-(rate-d)*$A23)*EurCall!AT24-(-0.5*sigma^2*$A23^2-0.5*rate+1/dt)*EurCall!AT23-0.25*(sigma^2*$A23^2+(rate-d)*$A23)*EurCall!AT22</f>
        <v>-4417.9597404108426</v>
      </c>
      <c r="AT23">
        <f>-0.25*(sigma^2*$A23^2-(rate-d)*$A23)*EurCall!AU24-(-0.5*sigma^2*$A23^2-0.5*rate+1/dt)*EurCall!AU23-0.25*(sigma^2*$A23^2+(rate-d)*$A23)*EurCall!AU22</f>
        <v>-4415.5697992728992</v>
      </c>
      <c r="AU23">
        <f>-0.25*(sigma^2*$A23^2-(rate-d)*$A23)*EurCall!AV24-(-0.5*sigma^2*$A23^2-0.5*rate+1/dt)*EurCall!AV23-0.25*(sigma^2*$A23^2+(rate-d)*$A23)*EurCall!AV22</f>
        <v>-4413.1784237398797</v>
      </c>
      <c r="AV23">
        <f>-0.25*(sigma^2*$A23^2-(rate-d)*$A23)*EurCall!AW24-(-0.5*sigma^2*$A23^2-0.5*rate+1/dt)*EurCall!AW23-0.25*(sigma^2*$A23^2+(rate-d)*$A23)*EurCall!AW22</f>
        <v>-4410.78561295092</v>
      </c>
      <c r="AW23">
        <f>-0.25*(sigma^2*$A23^2-(rate-d)*$A23)*EurCall!AX24-(-0.5*sigma^2*$A23^2-0.5*rate+1/dt)*EurCall!AX23-0.25*(sigma^2*$A23^2+(rate-d)*$A23)*EurCall!AX22</f>
        <v>-4408.3913660446296</v>
      </c>
      <c r="AX23">
        <f>-0.25*(sigma^2*$A23^2-(rate-d)*$A23)*EurCall!AY24-(-0.5*sigma^2*$A23^2-0.5*rate+1/dt)*EurCall!AY23-0.25*(sigma^2*$A23^2+(rate-d)*$A23)*EurCall!AY22</f>
        <v>-4405.9956821590931</v>
      </c>
      <c r="AY23">
        <f>-0.25*(sigma^2*$A23^2-(rate-d)*$A23)*EurCall!AZ24-(-0.5*sigma^2*$A23^2-0.5*rate+1/dt)*EurCall!AZ23-0.25*(sigma^2*$A23^2+(rate-d)*$A23)*EurCall!AZ22</f>
        <v>-4403.5985604318712</v>
      </c>
      <c r="AZ23">
        <f>-0.25*(sigma^2*$A23^2-(rate-d)*$A23)*EurCall!BA24-(-0.5*sigma^2*$A23^2-0.5*rate+1/dt)*EurCall!BA23-0.25*(sigma^2*$A23^2+(rate-d)*$A23)*EurCall!BA22</f>
        <v>-4401.2</v>
      </c>
      <c r="BA23" s="6"/>
    </row>
    <row r="24" spans="1:53" x14ac:dyDescent="0.2">
      <c r="A24">
        <f t="shared" si="3"/>
        <v>41</v>
      </c>
      <c r="B24" s="3">
        <f t="shared" si="0"/>
        <v>82</v>
      </c>
      <c r="C24">
        <f>-0.25*(sigma^2*$A24^2-(rate-d)*$A24)*EurCall!D25-(-0.5*sigma^2*$A24^2-0.5*rate+1/dt)*EurCall!D24-0.25*(sigma^2*$A24^2+(rate-d)*$A24)*EurCall!D23</f>
        <v>-4317.0533610423317</v>
      </c>
      <c r="D24">
        <f>-0.25*(sigma^2*$A24^2-(rate-d)*$A24)*EurCall!E25-(-0.5*sigma^2*$A24^2-0.5*rate+1/dt)*EurCall!E24-0.25*(sigma^2*$A24^2+(rate-d)*$A24)*EurCall!E23</f>
        <v>-4314.7228885203322</v>
      </c>
      <c r="E24">
        <f>-0.25*(sigma^2*$A24^2-(rate-d)*$A24)*EurCall!F25-(-0.5*sigma^2*$A24^2-0.5*rate+1/dt)*EurCall!F24-0.25*(sigma^2*$A24^2+(rate-d)*$A24)*EurCall!F23</f>
        <v>-4312.3910182707268</v>
      </c>
      <c r="F24">
        <f>-0.25*(sigma^2*$A24^2-(rate-d)*$A24)*EurCall!G25-(-0.5*sigma^2*$A24^2-0.5*rate+1/dt)*EurCall!G24-0.25*(sigma^2*$A24^2+(rate-d)*$A24)*EurCall!G23</f>
        <v>-4310.057749303448</v>
      </c>
      <c r="G24">
        <f>-0.25*(sigma^2*$A24^2-(rate-d)*$A24)*EurCall!H25-(-0.5*sigma^2*$A24^2-0.5*rate+1/dt)*EurCall!H24-0.25*(sigma^2*$A24^2+(rate-d)*$A24)*EurCall!H23</f>
        <v>-4307.7230806467232</v>
      </c>
      <c r="H24">
        <f>-0.25*(sigma^2*$A24^2-(rate-d)*$A24)*EurCall!I25-(-0.5*sigma^2*$A24^2-0.5*rate+1/dt)*EurCall!I24-0.25*(sigma^2*$A24^2+(rate-d)*$A24)*EurCall!I23</f>
        <v>-4305.387011345445</v>
      </c>
      <c r="I24">
        <f>-0.25*(sigma^2*$A24^2-(rate-d)*$A24)*EurCall!J25-(-0.5*sigma^2*$A24^2-0.5*rate+1/dt)*EurCall!J24-0.25*(sigma^2*$A24^2+(rate-d)*$A24)*EurCall!J23</f>
        <v>-4303.0495404595877</v>
      </c>
      <c r="J24">
        <f>-0.25*(sigma^2*$A24^2-(rate-d)*$A24)*EurCall!K25-(-0.5*sigma^2*$A24^2-0.5*rate+1/dt)*EurCall!K24-0.25*(sigma^2*$A24^2+(rate-d)*$A24)*EurCall!K23</f>
        <v>-4300.7106670626727</v>
      </c>
      <c r="K24">
        <f>-0.25*(sigma^2*$A24^2-(rate-d)*$A24)*EurCall!L25-(-0.5*sigma^2*$A24^2-0.5*rate+1/dt)*EurCall!L24-0.25*(sigma^2*$A24^2+(rate-d)*$A24)*EurCall!L23</f>
        <v>-4298.3703902403122</v>
      </c>
      <c r="L24">
        <f>-0.25*(sigma^2*$A24^2-(rate-d)*$A24)*EurCall!M25-(-0.5*sigma^2*$A24^2-0.5*rate+1/dt)*EurCall!M24-0.25*(sigma^2*$A24^2+(rate-d)*$A24)*EurCall!M23</f>
        <v>-4296.0287090888096</v>
      </c>
      <c r="M24">
        <f>-0.25*(sigma^2*$A24^2-(rate-d)*$A24)*EurCall!N25-(-0.5*sigma^2*$A24^2-0.5*rate+1/dt)*EurCall!N24-0.25*(sigma^2*$A24^2+(rate-d)*$A24)*EurCall!N23</f>
        <v>-4293.6856227138487</v>
      </c>
      <c r="N24">
        <f>-0.25*(sigma^2*$A24^2-(rate-d)*$A24)*EurCall!O25-(-0.5*sigma^2*$A24^2-0.5*rate+1/dt)*EurCall!O24-0.25*(sigma^2*$A24^2+(rate-d)*$A24)*EurCall!O23</f>
        <v>-4291.3411302292616</v>
      </c>
      <c r="O24">
        <f>-0.25*(sigma^2*$A24^2-(rate-d)*$A24)*EurCall!P25-(-0.5*sigma^2*$A24^2-0.5*rate+1/dt)*EurCall!P24-0.25*(sigma^2*$A24^2+(rate-d)*$A24)*EurCall!P23</f>
        <v>-4288.9952307558906</v>
      </c>
      <c r="P24">
        <f>-0.25*(sigma^2*$A24^2-(rate-d)*$A24)*EurCall!Q25-(-0.5*sigma^2*$A24^2-0.5*rate+1/dt)*EurCall!Q24-0.25*(sigma^2*$A24^2+(rate-d)*$A24)*EurCall!Q23</f>
        <v>-4286.6479234205399</v>
      </c>
      <c r="Q24">
        <f>-0.25*(sigma^2*$A24^2-(rate-d)*$A24)*EurCall!R25-(-0.5*sigma^2*$A24^2-0.5*rate+1/dt)*EurCall!R24-0.25*(sigma^2*$A24^2+(rate-d)*$A24)*EurCall!R23</f>
        <v>-4284.2992073550195</v>
      </c>
      <c r="R24">
        <f>-0.25*(sigma^2*$A24^2-(rate-d)*$A24)*EurCall!S25-(-0.5*sigma^2*$A24^2-0.5*rate+1/dt)*EurCall!S24-0.25*(sigma^2*$A24^2+(rate-d)*$A24)*EurCall!S23</f>
        <v>-4281.9490816952884</v>
      </c>
      <c r="S24">
        <f>-0.25*(sigma^2*$A24^2-(rate-d)*$A24)*EurCall!T25-(-0.5*sigma^2*$A24^2-0.5*rate+1/dt)*EurCall!T24-0.25*(sigma^2*$A24^2+(rate-d)*$A24)*EurCall!T23</f>
        <v>-4279.5975455806874</v>
      </c>
      <c r="T24">
        <f>-0.25*(sigma^2*$A24^2-(rate-d)*$A24)*EurCall!U25-(-0.5*sigma^2*$A24^2-0.5*rate+1/dt)*EurCall!U24-0.25*(sigma^2*$A24^2+(rate-d)*$A24)*EurCall!U23</f>
        <v>-4277.2445981532574</v>
      </c>
      <c r="U24">
        <f>-0.25*(sigma^2*$A24^2-(rate-d)*$A24)*EurCall!V25-(-0.5*sigma^2*$A24^2-0.5*rate+1/dt)*EurCall!V24-0.25*(sigma^2*$A24^2+(rate-d)*$A24)*EurCall!V23</f>
        <v>-4274.890238557151</v>
      </c>
      <c r="V24">
        <f>-0.25*(sigma^2*$A24^2-(rate-d)*$A24)*EurCall!W25-(-0.5*sigma^2*$A24^2-0.5*rate+1/dt)*EurCall!W24-0.25*(sigma^2*$A24^2+(rate-d)*$A24)*EurCall!W23</f>
        <v>-4272.5344659381262</v>
      </c>
      <c r="W24">
        <f>-0.25*(sigma^2*$A24^2-(rate-d)*$A24)*EurCall!X25-(-0.5*sigma^2*$A24^2-0.5*rate+1/dt)*EurCall!X24-0.25*(sigma^2*$A24^2+(rate-d)*$A24)*EurCall!X23</f>
        <v>-4270.1772794431054</v>
      </c>
      <c r="X24">
        <f>-0.25*(sigma^2*$A24^2-(rate-d)*$A24)*EurCall!Y25-(-0.5*sigma^2*$A24^2-0.5*rate+1/dt)*EurCall!Y24-0.25*(sigma^2*$A24^2+(rate-d)*$A24)*EurCall!Y23</f>
        <v>-4267.8186782198218</v>
      </c>
      <c r="Y24">
        <f>-0.25*(sigma^2*$A24^2-(rate-d)*$A24)*EurCall!Z25-(-0.5*sigma^2*$A24^2-0.5*rate+1/dt)*EurCall!Z24-0.25*(sigma^2*$A24^2+(rate-d)*$A24)*EurCall!Z23</f>
        <v>-4265.45866141651</v>
      </c>
      <c r="Z24">
        <f>-0.25*(sigma^2*$A24^2-(rate-d)*$A24)*EurCall!AA25-(-0.5*sigma^2*$A24^2-0.5*rate+1/dt)*EurCall!AA24-0.25*(sigma^2*$A24^2+(rate-d)*$A24)*EurCall!AA23</f>
        <v>-4263.0972281816657</v>
      </c>
      <c r="AA24">
        <f>-0.25*(sigma^2*$A24^2-(rate-d)*$A24)*EurCall!AB25-(-0.5*sigma^2*$A24^2-0.5*rate+1/dt)*EurCall!AB24-0.25*(sigma^2*$A24^2+(rate-d)*$A24)*EurCall!AB23</f>
        <v>-4260.7343776638527</v>
      </c>
      <c r="AB24">
        <f>-0.25*(sigma^2*$A24^2-(rate-d)*$A24)*EurCall!AC25-(-0.5*sigma^2*$A24^2-0.5*rate+1/dt)*EurCall!AC24-0.25*(sigma^2*$A24^2+(rate-d)*$A24)*EurCall!AC23</f>
        <v>-4258.3701090115392</v>
      </c>
      <c r="AC24">
        <f>-0.25*(sigma^2*$A24^2-(rate-d)*$A24)*EurCall!AD25-(-0.5*sigma^2*$A24^2-0.5*rate+1/dt)*EurCall!AD24-0.25*(sigma^2*$A24^2+(rate-d)*$A24)*EurCall!AD23</f>
        <v>-4256.0044213729889</v>
      </c>
      <c r="AD24">
        <f>-0.25*(sigma^2*$A24^2-(rate-d)*$A24)*EurCall!AE25-(-0.5*sigma^2*$A24^2-0.5*rate+1/dt)*EurCall!AE24-0.25*(sigma^2*$A24^2+(rate-d)*$A24)*EurCall!AE23</f>
        <v>-4253.6373138961644</v>
      </c>
      <c r="AE24">
        <f>-0.25*(sigma^2*$A24^2-(rate-d)*$A24)*EurCall!AF25-(-0.5*sigma^2*$A24^2-0.5*rate+1/dt)*EurCall!AF24-0.25*(sigma^2*$A24^2+(rate-d)*$A24)*EurCall!AF23</f>
        <v>-4251.2687857286628</v>
      </c>
      <c r="AF24">
        <f>-0.25*(sigma^2*$A24^2-(rate-d)*$A24)*EurCall!AG25-(-0.5*sigma^2*$A24^2-0.5*rate+1/dt)*EurCall!AG24-0.25*(sigma^2*$A24^2+(rate-d)*$A24)*EurCall!AG23</f>
        <v>-4248.8988360176681</v>
      </c>
      <c r="AG24">
        <f>-0.25*(sigma^2*$A24^2-(rate-d)*$A24)*EurCall!AH25-(-0.5*sigma^2*$A24^2-0.5*rate+1/dt)*EurCall!AH24-0.25*(sigma^2*$A24^2+(rate-d)*$A24)*EurCall!AH23</f>
        <v>-4246.527463909918</v>
      </c>
      <c r="AH24">
        <f>-0.25*(sigma^2*$A24^2-(rate-d)*$A24)*EurCall!AI25-(-0.5*sigma^2*$A24^2-0.5*rate+1/dt)*EurCall!AI24-0.25*(sigma^2*$A24^2+(rate-d)*$A24)*EurCall!AI23</f>
        <v>-4244.154668551676</v>
      </c>
      <c r="AI24">
        <f>-0.25*(sigma^2*$A24^2-(rate-d)*$A24)*EurCall!AJ25-(-0.5*sigma^2*$A24^2-0.5*rate+1/dt)*EurCall!AJ24-0.25*(sigma^2*$A24^2+(rate-d)*$A24)*EurCall!AJ23</f>
        <v>-4241.7804490887238</v>
      </c>
      <c r="AJ24">
        <f>-0.25*(sigma^2*$A24^2-(rate-d)*$A24)*EurCall!AK25-(-0.5*sigma^2*$A24^2-0.5*rate+1/dt)*EurCall!AK24-0.25*(sigma^2*$A24^2+(rate-d)*$A24)*EurCall!AK23</f>
        <v>-4239.4048046663438</v>
      </c>
      <c r="AK24">
        <f>-0.25*(sigma^2*$A24^2-(rate-d)*$A24)*EurCall!AL25-(-0.5*sigma^2*$A24^2-0.5*rate+1/dt)*EurCall!AL24-0.25*(sigma^2*$A24^2+(rate-d)*$A24)*EurCall!AL23</f>
        <v>-4237.0277344293136</v>
      </c>
      <c r="AL24">
        <f>-0.25*(sigma^2*$A24^2-(rate-d)*$A24)*EurCall!AM25-(-0.5*sigma^2*$A24^2-0.5*rate+1/dt)*EurCall!AM24-0.25*(sigma^2*$A24^2+(rate-d)*$A24)*EurCall!AM23</f>
        <v>-4234.6492375219059</v>
      </c>
      <c r="AM24">
        <f>-0.25*(sigma^2*$A24^2-(rate-d)*$A24)*EurCall!AN25-(-0.5*sigma^2*$A24^2-0.5*rate+1/dt)*EurCall!AN24-0.25*(sigma^2*$A24^2+(rate-d)*$A24)*EurCall!AN23</f>
        <v>-4232.269313087887</v>
      </c>
      <c r="AN24">
        <f>-0.25*(sigma^2*$A24^2-(rate-d)*$A24)*EurCall!AO25-(-0.5*sigma^2*$A24^2-0.5*rate+1/dt)*EurCall!AO24-0.25*(sigma^2*$A24^2+(rate-d)*$A24)*EurCall!AO23</f>
        <v>-4229.8879602705074</v>
      </c>
      <c r="AO24">
        <f>-0.25*(sigma^2*$A24^2-(rate-d)*$A24)*EurCall!AP25-(-0.5*sigma^2*$A24^2-0.5*rate+1/dt)*EurCall!AP24-0.25*(sigma^2*$A24^2+(rate-d)*$A24)*EurCall!AP23</f>
        <v>-4227.5051782125056</v>
      </c>
      <c r="AP24">
        <f>-0.25*(sigma^2*$A24^2-(rate-d)*$A24)*EurCall!AQ25-(-0.5*sigma^2*$A24^2-0.5*rate+1/dt)*EurCall!AQ24-0.25*(sigma^2*$A24^2+(rate-d)*$A24)*EurCall!AQ23</f>
        <v>-4225.1209660561062</v>
      </c>
      <c r="AQ24">
        <f>-0.25*(sigma^2*$A24^2-(rate-d)*$A24)*EurCall!AR25-(-0.5*sigma^2*$A24^2-0.5*rate+1/dt)*EurCall!AR24-0.25*(sigma^2*$A24^2+(rate-d)*$A24)*EurCall!AR23</f>
        <v>-4222.7353229430209</v>
      </c>
      <c r="AR24">
        <f>-0.25*(sigma^2*$A24^2-(rate-d)*$A24)*EurCall!AS25-(-0.5*sigma^2*$A24^2-0.5*rate+1/dt)*EurCall!AS24-0.25*(sigma^2*$A24^2+(rate-d)*$A24)*EurCall!AS23</f>
        <v>-4220.348248014443</v>
      </c>
      <c r="AS24">
        <f>-0.25*(sigma^2*$A24^2-(rate-d)*$A24)*EurCall!AT25-(-0.5*sigma^2*$A24^2-0.5*rate+1/dt)*EurCall!AT24-0.25*(sigma^2*$A24^2+(rate-d)*$A24)*EurCall!AT23</f>
        <v>-4217.9597404110491</v>
      </c>
      <c r="AT24">
        <f>-0.25*(sigma^2*$A24^2-(rate-d)*$A24)*EurCall!AU25-(-0.5*sigma^2*$A24^2-0.5*rate+1/dt)*EurCall!AU24-0.25*(sigma^2*$A24^2+(rate-d)*$A24)*EurCall!AU23</f>
        <v>-4215.5697992729947</v>
      </c>
      <c r="AU24">
        <f>-0.25*(sigma^2*$A24^2-(rate-d)*$A24)*EurCall!AV25-(-0.5*sigma^2*$A24^2-0.5*rate+1/dt)*EurCall!AV24-0.25*(sigma^2*$A24^2+(rate-d)*$A24)*EurCall!AV23</f>
        <v>-4213.1784237399179</v>
      </c>
      <c r="AV24">
        <f>-0.25*(sigma^2*$A24^2-(rate-d)*$A24)*EurCall!AW25-(-0.5*sigma^2*$A24^2-0.5*rate+1/dt)*EurCall!AW24-0.25*(sigma^2*$A24^2+(rate-d)*$A24)*EurCall!AW23</f>
        <v>-4210.7856129509319</v>
      </c>
      <c r="AW24">
        <f>-0.25*(sigma^2*$A24^2-(rate-d)*$A24)*EurCall!AX25-(-0.5*sigma^2*$A24^2-0.5*rate+1/dt)*EurCall!AX24-0.25*(sigma^2*$A24^2+(rate-d)*$A24)*EurCall!AX23</f>
        <v>-4208.3913660446324</v>
      </c>
      <c r="AX24">
        <f>-0.25*(sigma^2*$A24^2-(rate-d)*$A24)*EurCall!AY25-(-0.5*sigma^2*$A24^2-0.5*rate+1/dt)*EurCall!AY24-0.25*(sigma^2*$A24^2+(rate-d)*$A24)*EurCall!AY23</f>
        <v>-4205.9956821590931</v>
      </c>
      <c r="AY24">
        <f>-0.25*(sigma^2*$A24^2-(rate-d)*$A24)*EurCall!AZ25-(-0.5*sigma^2*$A24^2-0.5*rate+1/dt)*EurCall!AZ24-0.25*(sigma^2*$A24^2+(rate-d)*$A24)*EurCall!AZ23</f>
        <v>-4203.5985604318703</v>
      </c>
      <c r="AZ24">
        <f>-0.25*(sigma^2*$A24^2-(rate-d)*$A24)*EurCall!BA25-(-0.5*sigma^2*$A24^2-0.5*rate+1/dt)*EurCall!BA24-0.25*(sigma^2*$A24^2+(rate-d)*$A24)*EurCall!BA23</f>
        <v>-4201.2</v>
      </c>
      <c r="BA24" s="6"/>
    </row>
    <row r="25" spans="1:53" x14ac:dyDescent="0.2">
      <c r="A25">
        <f t="shared" si="3"/>
        <v>40</v>
      </c>
      <c r="B25" s="3">
        <f t="shared" si="0"/>
        <v>80</v>
      </c>
      <c r="C25">
        <f>-0.25*(sigma^2*$A25^2-(rate-d)*$A25)*EurCall!D26-(-0.5*sigma^2*$A25^2-0.5*rate+1/dt)*EurCall!D25-0.25*(sigma^2*$A25^2+(rate-d)*$A25)*EurCall!D24</f>
        <v>-4117.0533956193194</v>
      </c>
      <c r="D25">
        <f>-0.25*(sigma^2*$A25^2-(rate-d)*$A25)*EurCall!E26-(-0.5*sigma^2*$A25^2-0.5*rate+1/dt)*EurCall!E25-0.25*(sigma^2*$A25^2+(rate-d)*$A25)*EurCall!E24</f>
        <v>-4114.7229166727502</v>
      </c>
      <c r="E25">
        <f>-0.25*(sigma^2*$A25^2-(rate-d)*$A25)*EurCall!F26-(-0.5*sigma^2*$A25^2-0.5*rate+1/dt)*EurCall!F25-0.25*(sigma^2*$A25^2+(rate-d)*$A25)*EurCall!F24</f>
        <v>-4112.3910410397657</v>
      </c>
      <c r="F25">
        <f>-0.25*(sigma^2*$A25^2-(rate-d)*$A25)*EurCall!G26-(-0.5*sigma^2*$A25^2-0.5*rate+1/dt)*EurCall!G25-0.25*(sigma^2*$A25^2+(rate-d)*$A25)*EurCall!G24</f>
        <v>-4110.0577675904078</v>
      </c>
      <c r="G25">
        <f>-0.25*(sigma^2*$A25^2-(rate-d)*$A25)*EurCall!H26-(-0.5*sigma^2*$A25^2-0.5*rate+1/dt)*EurCall!H25-0.25*(sigma^2*$A25^2+(rate-d)*$A25)*EurCall!H24</f>
        <v>-4107.7230952270511</v>
      </c>
      <c r="H25">
        <f>-0.25*(sigma^2*$A25^2-(rate-d)*$A25)*EurCall!I26-(-0.5*sigma^2*$A25^2-0.5*rate+1/dt)*EurCall!I25-0.25*(sigma^2*$A25^2+(rate-d)*$A25)*EurCall!I24</f>
        <v>-4105.3870228820269</v>
      </c>
      <c r="I25">
        <f>-0.25*(sigma^2*$A25^2-(rate-d)*$A25)*EurCall!J26-(-0.5*sigma^2*$A25^2-0.5*rate+1/dt)*EurCall!J25-0.25*(sigma^2*$A25^2+(rate-d)*$A25)*EurCall!J24</f>
        <v>-4103.0495495152591</v>
      </c>
      <c r="J25">
        <f>-0.25*(sigma^2*$A25^2-(rate-d)*$A25)*EurCall!K26-(-0.5*sigma^2*$A25^2-0.5*rate+1/dt)*EurCall!K25-0.25*(sigma^2*$A25^2+(rate-d)*$A25)*EurCall!K24</f>
        <v>-4100.710674111926</v>
      </c>
      <c r="K25">
        <f>-0.25*(sigma^2*$A25^2-(rate-d)*$A25)*EurCall!L26-(-0.5*sigma^2*$A25^2-0.5*rate+1/dt)*EurCall!L25-0.25*(sigma^2*$A25^2+(rate-d)*$A25)*EurCall!L24</f>
        <v>-4098.370395680161</v>
      </c>
      <c r="L25">
        <f>-0.25*(sigma^2*$A25^2-(rate-d)*$A25)*EurCall!M26-(-0.5*sigma^2*$A25^2-0.5*rate+1/dt)*EurCall!M25-0.25*(sigma^2*$A25^2+(rate-d)*$A25)*EurCall!M24</f>
        <v>-4096.0287132488156</v>
      </c>
      <c r="M25">
        <f>-0.25*(sigma^2*$A25^2-(rate-d)*$A25)*EurCall!N26-(-0.5*sigma^2*$A25^2-0.5*rate+1/dt)*EurCall!N25-0.25*(sigma^2*$A25^2+(rate-d)*$A25)*EurCall!N24</f>
        <v>-4093.685625865297</v>
      </c>
      <c r="N25">
        <f>-0.25*(sigma^2*$A25^2-(rate-d)*$A25)*EurCall!O26-(-0.5*sigma^2*$A25^2-0.5*rate+1/dt)*EurCall!O25-0.25*(sigma^2*$A25^2+(rate-d)*$A25)*EurCall!O24</f>
        <v>-4091.3411325934985</v>
      </c>
      <c r="O25">
        <f>-0.25*(sigma^2*$A25^2-(rate-d)*$A25)*EurCall!P26-(-0.5*sigma^2*$A25^2-0.5*rate+1/dt)*EurCall!P25-0.25*(sigma^2*$A25^2+(rate-d)*$A25)*EurCall!P24</f>
        <v>-4088.9952325118329</v>
      </c>
      <c r="P25">
        <f>-0.25*(sigma^2*$A25^2-(rate-d)*$A25)*EurCall!Q26-(-0.5*sigma^2*$A25^2-0.5*rate+1/dt)*EurCall!Q25-0.25*(sigma^2*$A25^2+(rate-d)*$A25)*EurCall!Q24</f>
        <v>-4086.6479247113812</v>
      </c>
      <c r="Q25">
        <f>-0.25*(sigma^2*$A25^2-(rate-d)*$A25)*EurCall!R26-(-0.5*sigma^2*$A25^2-0.5*rate+1/dt)*EurCall!R25-0.25*(sigma^2*$A25^2+(rate-d)*$A25)*EurCall!R24</f>
        <v>-4084.2992082941701</v>
      </c>
      <c r="R25">
        <f>-0.25*(sigma^2*$A25^2-(rate-d)*$A25)*EurCall!S26-(-0.5*sigma^2*$A25^2-0.5*rate+1/dt)*EurCall!S25-0.25*(sigma^2*$A25^2+(rate-d)*$A25)*EurCall!S24</f>
        <v>-4081.9490823715741</v>
      </c>
      <c r="S25">
        <f>-0.25*(sigma^2*$A25^2-(rate-d)*$A25)*EurCall!T26-(-0.5*sigma^2*$A25^2-0.5*rate+1/dt)*EurCall!T25-0.25*(sigma^2*$A25^2+(rate-d)*$A25)*EurCall!T24</f>
        <v>-4079.5975460628624</v>
      </c>
      <c r="T25">
        <f>-0.25*(sigma^2*$A25^2-(rate-d)*$A25)*EurCall!U26-(-0.5*sigma^2*$A25^2-0.5*rate+1/dt)*EurCall!U25-0.25*(sigma^2*$A25^2+(rate-d)*$A25)*EurCall!U24</f>
        <v>-4077.2445984938822</v>
      </c>
      <c r="U25">
        <f>-0.25*(sigma^2*$A25^2-(rate-d)*$A25)*EurCall!V26-(-0.5*sigma^2*$A25^2-0.5*rate+1/dt)*EurCall!V25-0.25*(sigma^2*$A25^2+(rate-d)*$A25)*EurCall!V24</f>
        <v>-4074.890238795876</v>
      </c>
      <c r="V25">
        <f>-0.25*(sigma^2*$A25^2-(rate-d)*$A25)*EurCall!W26-(-0.5*sigma^2*$A25^2-0.5*rate+1/dt)*EurCall!W25-0.25*(sigma^2*$A25^2+(rate-d)*$A25)*EurCall!W24</f>
        <v>-4072.5344661044437</v>
      </c>
      <c r="W25">
        <f>-0.25*(sigma^2*$A25^2-(rate-d)*$A25)*EurCall!X26-(-0.5*sigma^2*$A25^2-0.5*rate+1/dt)*EurCall!X25-0.25*(sigma^2*$A25^2+(rate-d)*$A25)*EurCall!X24</f>
        <v>-4070.1772795586321</v>
      </c>
      <c r="X25">
        <f>-0.25*(sigma^2*$A25^2-(rate-d)*$A25)*EurCall!Y26-(-0.5*sigma^2*$A25^2-0.5*rate+1/dt)*EurCall!Y25-0.25*(sigma^2*$A25^2+(rate-d)*$A25)*EurCall!Y24</f>
        <v>-4067.818678300152</v>
      </c>
      <c r="Y25">
        <f>-0.25*(sigma^2*$A25^2-(rate-d)*$A25)*EurCall!Z26-(-0.5*sigma^2*$A25^2-0.5*rate+1/dt)*EurCall!Z25-0.25*(sigma^2*$A25^2+(rate-d)*$A25)*EurCall!Z24</f>
        <v>-4065.4586614727127</v>
      </c>
      <c r="Z25">
        <f>-0.25*(sigma^2*$A25^2-(rate-d)*$A25)*EurCall!AA26-(-0.5*sigma^2*$A25^2-0.5*rate+1/dt)*EurCall!AA25-0.25*(sigma^2*$A25^2+(rate-d)*$A25)*EurCall!AA24</f>
        <v>-4063.0972282214634</v>
      </c>
      <c r="AA25">
        <f>-0.25*(sigma^2*$A25^2-(rate-d)*$A25)*EurCall!AB26-(-0.5*sigma^2*$A25^2-0.5*rate+1/dt)*EurCall!AB25-0.25*(sigma^2*$A25^2+(rate-d)*$A25)*EurCall!AB24</f>
        <v>-4060.7343776925368</v>
      </c>
      <c r="AB25">
        <f>-0.25*(sigma^2*$A25^2-(rate-d)*$A25)*EurCall!AC26-(-0.5*sigma^2*$A25^2-0.5*rate+1/dt)*EurCall!AC25-0.25*(sigma^2*$A25^2+(rate-d)*$A25)*EurCall!AC24</f>
        <v>-4058.3701090326776</v>
      </c>
      <c r="AC25">
        <f>-0.25*(sigma^2*$A25^2-(rate-d)*$A25)*EurCall!AD26-(-0.5*sigma^2*$A25^2-0.5*rate+1/dt)*EurCall!AD25-0.25*(sigma^2*$A25^2+(rate-d)*$A25)*EurCall!AD24</f>
        <v>-4056.004421388946</v>
      </c>
      <c r="AD25">
        <f>-0.25*(sigma^2*$A25^2-(rate-d)*$A25)*EurCall!AE26-(-0.5*sigma^2*$A25^2-0.5*rate+1/dt)*EurCall!AE25-0.25*(sigma^2*$A25^2+(rate-d)*$A25)*EurCall!AE24</f>
        <v>-4053.6373139084872</v>
      </c>
      <c r="AE25">
        <f>-0.25*(sigma^2*$A25^2-(rate-d)*$A25)*EurCall!AF26-(-0.5*sigma^2*$A25^2-0.5*rate+1/dt)*EurCall!AF25-0.25*(sigma^2*$A25^2+(rate-d)*$A25)*EurCall!AF24</f>
        <v>-4051.2687857383535</v>
      </c>
      <c r="AF25">
        <f>-0.25*(sigma^2*$A25^2-(rate-d)*$A25)*EurCall!AG26-(-0.5*sigma^2*$A25^2-0.5*rate+1/dt)*EurCall!AG25-0.25*(sigma^2*$A25^2+(rate-d)*$A25)*EurCall!AG24</f>
        <v>-4048.8988360253807</v>
      </c>
      <c r="AG25">
        <f>-0.25*(sigma^2*$A25^2-(rate-d)*$A25)*EurCall!AH26-(-0.5*sigma^2*$A25^2-0.5*rate+1/dt)*EurCall!AH25-0.25*(sigma^2*$A25^2+(rate-d)*$A25)*EurCall!AH24</f>
        <v>-4046.5274639160839</v>
      </c>
      <c r="AH25">
        <f>-0.25*(sigma^2*$A25^2-(rate-d)*$A25)*EurCall!AI26-(-0.5*sigma^2*$A25^2-0.5*rate+1/dt)*EurCall!AI25-0.25*(sigma^2*$A25^2+(rate-d)*$A25)*EurCall!AI24</f>
        <v>-4044.1546685565945</v>
      </c>
      <c r="AI25">
        <f>-0.25*(sigma^2*$A25^2-(rate-d)*$A25)*EurCall!AJ26-(-0.5*sigma^2*$A25^2-0.5*rate+1/dt)*EurCall!AJ25-0.25*(sigma^2*$A25^2+(rate-d)*$A25)*EurCall!AJ24</f>
        <v>-4041.7804490926101</v>
      </c>
      <c r="AJ25">
        <f>-0.25*(sigma^2*$A25^2-(rate-d)*$A25)*EurCall!AK26-(-0.5*sigma^2*$A25^2-0.5*rate+1/dt)*EurCall!AK25-0.25*(sigma^2*$A25^2+(rate-d)*$A25)*EurCall!AK24</f>
        <v>-4039.4048046693683</v>
      </c>
      <c r="AK25">
        <f>-0.25*(sigma^2*$A25^2-(rate-d)*$A25)*EurCall!AL26-(-0.5*sigma^2*$A25^2-0.5*rate+1/dt)*EurCall!AL25-0.25*(sigma^2*$A25^2+(rate-d)*$A25)*EurCall!AL24</f>
        <v>-4037.02773443162</v>
      </c>
      <c r="AL25">
        <f>-0.25*(sigma^2*$A25^2-(rate-d)*$A25)*EurCall!AM26-(-0.5*sigma^2*$A25^2-0.5*rate+1/dt)*EurCall!AM25-0.25*(sigma^2*$A25^2+(rate-d)*$A25)*EurCall!AM24</f>
        <v>-4034.6492375236212</v>
      </c>
      <c r="AM25">
        <f>-0.25*(sigma^2*$A25^2-(rate-d)*$A25)*EurCall!AN26-(-0.5*sigma^2*$A25^2-0.5*rate+1/dt)*EurCall!AN25-0.25*(sigma^2*$A25^2+(rate-d)*$A25)*EurCall!AN24</f>
        <v>-4032.2693130891221</v>
      </c>
      <c r="AN25">
        <f>-0.25*(sigma^2*$A25^2-(rate-d)*$A25)*EurCall!AO26-(-0.5*sigma^2*$A25^2-0.5*rate+1/dt)*EurCall!AO25-0.25*(sigma^2*$A25^2+(rate-d)*$A25)*EurCall!AO24</f>
        <v>-4029.8879602713628</v>
      </c>
      <c r="AO25">
        <f>-0.25*(sigma^2*$A25^2-(rate-d)*$A25)*EurCall!AP26-(-0.5*sigma^2*$A25^2-0.5*rate+1/dt)*EurCall!AP25-0.25*(sigma^2*$A25^2+(rate-d)*$A25)*EurCall!AP24</f>
        <v>-4027.5051782130704</v>
      </c>
      <c r="AP25">
        <f>-0.25*(sigma^2*$A25^2-(rate-d)*$A25)*EurCall!AQ26-(-0.5*sigma^2*$A25^2-0.5*rate+1/dt)*EurCall!AQ25-0.25*(sigma^2*$A25^2+(rate-d)*$A25)*EurCall!AQ24</f>
        <v>-4025.1209660564596</v>
      </c>
      <c r="AQ25">
        <f>-0.25*(sigma^2*$A25^2-(rate-d)*$A25)*EurCall!AR26-(-0.5*sigma^2*$A25^2-0.5*rate+1/dt)*EurCall!AR25-0.25*(sigma^2*$A25^2+(rate-d)*$A25)*EurCall!AR24</f>
        <v>-4022.7353229432265</v>
      </c>
      <c r="AR25">
        <f>-0.25*(sigma^2*$A25^2-(rate-d)*$A25)*EurCall!AS26-(-0.5*sigma^2*$A25^2-0.5*rate+1/dt)*EurCall!AS25-0.25*(sigma^2*$A25^2+(rate-d)*$A25)*EurCall!AS24</f>
        <v>-4020.3482480145531</v>
      </c>
      <c r="AS25">
        <f>-0.25*(sigma^2*$A25^2-(rate-d)*$A25)*EurCall!AT26-(-0.5*sigma^2*$A25^2-0.5*rate+1/dt)*EurCall!AT25-0.25*(sigma^2*$A25^2+(rate-d)*$A25)*EurCall!AT24</f>
        <v>-4017.9597404111018</v>
      </c>
      <c r="AT25">
        <f>-0.25*(sigma^2*$A25^2-(rate-d)*$A25)*EurCall!AU26-(-0.5*sigma^2*$A25^2-0.5*rate+1/dt)*EurCall!AU25-0.25*(sigma^2*$A25^2+(rate-d)*$A25)*EurCall!AU24</f>
        <v>-4015.569799273017</v>
      </c>
      <c r="AU25">
        <f>-0.25*(sigma^2*$A25^2-(rate-d)*$A25)*EurCall!AV26-(-0.5*sigma^2*$A25^2-0.5*rate+1/dt)*EurCall!AV25-0.25*(sigma^2*$A25^2+(rate-d)*$A25)*EurCall!AV24</f>
        <v>-4013.1784237399243</v>
      </c>
      <c r="AV25">
        <f>-0.25*(sigma^2*$A25^2-(rate-d)*$A25)*EurCall!AW26-(-0.5*sigma^2*$A25^2-0.5*rate+1/dt)*EurCall!AW25-0.25*(sigma^2*$A25^2+(rate-d)*$A25)*EurCall!AW24</f>
        <v>-4010.7856129509328</v>
      </c>
      <c r="AW25">
        <f>-0.25*(sigma^2*$A25^2-(rate-d)*$A25)*EurCall!AX26-(-0.5*sigma^2*$A25^2-0.5*rate+1/dt)*EurCall!AX25-0.25*(sigma^2*$A25^2+(rate-d)*$A25)*EurCall!AX24</f>
        <v>-4008.3913660446324</v>
      </c>
      <c r="AX25">
        <f>-0.25*(sigma^2*$A25^2-(rate-d)*$A25)*EurCall!AY26-(-0.5*sigma^2*$A25^2-0.5*rate+1/dt)*EurCall!AY25-0.25*(sigma^2*$A25^2+(rate-d)*$A25)*EurCall!AY24</f>
        <v>-4005.995682159094</v>
      </c>
      <c r="AY25">
        <f>-0.25*(sigma^2*$A25^2-(rate-d)*$A25)*EurCall!AZ26-(-0.5*sigma^2*$A25^2-0.5*rate+1/dt)*EurCall!AZ25-0.25*(sigma^2*$A25^2+(rate-d)*$A25)*EurCall!AZ24</f>
        <v>-4003.5985604318712</v>
      </c>
      <c r="AZ25">
        <f>-0.25*(sigma^2*$A25^2-(rate-d)*$A25)*EurCall!BA26-(-0.5*sigma^2*$A25^2-0.5*rate+1/dt)*EurCall!BA25-0.25*(sigma^2*$A25^2+(rate-d)*$A25)*EurCall!BA24</f>
        <v>-4001.2000000000007</v>
      </c>
      <c r="BA25" s="6"/>
    </row>
    <row r="26" spans="1:53" x14ac:dyDescent="0.2">
      <c r="A26">
        <f t="shared" si="3"/>
        <v>39</v>
      </c>
      <c r="B26" s="3">
        <f t="shared" si="0"/>
        <v>78</v>
      </c>
      <c r="C26">
        <f>-0.25*(sigma^2*$A26^2-(rate-d)*$A26)*EurCall!D27-(-0.5*sigma^2*$A26^2-0.5*rate+1/dt)*EurCall!D26-0.25*(sigma^2*$A26^2+(rate-d)*$A26)*EurCall!D25</f>
        <v>-3917.0534748627288</v>
      </c>
      <c r="D26">
        <f>-0.25*(sigma^2*$A26^2-(rate-d)*$A26)*EurCall!E27-(-0.5*sigma^2*$A26^2-0.5*rate+1/dt)*EurCall!E26-0.25*(sigma^2*$A26^2+(rate-d)*$A26)*EurCall!E25</f>
        <v>-3914.7229819315348</v>
      </c>
      <c r="E26">
        <f>-0.25*(sigma^2*$A26^2-(rate-d)*$A26)*EurCall!F27-(-0.5*sigma^2*$A26^2-0.5*rate+1/dt)*EurCall!F26-0.25*(sigma^2*$A26^2+(rate-d)*$A26)*EurCall!F25</f>
        <v>-3912.3910944385216</v>
      </c>
      <c r="F26">
        <f>-0.25*(sigma^2*$A26^2-(rate-d)*$A26)*EurCall!G27-(-0.5*sigma^2*$A26^2-0.5*rate+1/dt)*EurCall!G26-0.25*(sigma^2*$A26^2+(rate-d)*$A26)*EurCall!G25</f>
        <v>-3910.0578109919306</v>
      </c>
      <c r="G26">
        <f>-0.25*(sigma^2*$A26^2-(rate-d)*$A26)*EurCall!H27-(-0.5*sigma^2*$A26^2-0.5*rate+1/dt)*EurCall!H26-0.25*(sigma^2*$A26^2+(rate-d)*$A26)*EurCall!H25</f>
        <v>-3907.7231302552182</v>
      </c>
      <c r="H26">
        <f>-0.25*(sigma^2*$A26^2-(rate-d)*$A26)*EurCall!I27-(-0.5*sigma^2*$A26^2-0.5*rate+1/dt)*EurCall!I26-0.25*(sigma^2*$A26^2+(rate-d)*$A26)*EurCall!I25</f>
        <v>-3905.3870509438893</v>
      </c>
      <c r="I26">
        <f>-0.25*(sigma^2*$A26^2-(rate-d)*$A26)*EurCall!J27-(-0.5*sigma^2*$A26^2-0.5*rate+1/dt)*EurCall!J26-0.25*(sigma^2*$A26^2+(rate-d)*$A26)*EurCall!J25</f>
        <v>-3903.0495718222346</v>
      </c>
      <c r="J26">
        <f>-0.25*(sigma^2*$A26^2-(rate-d)*$A26)*EurCall!K27-(-0.5*sigma^2*$A26^2-0.5*rate+1/dt)*EurCall!K26-0.25*(sigma^2*$A26^2+(rate-d)*$A26)*EurCall!K25</f>
        <v>-3900.7106917000065</v>
      </c>
      <c r="K26">
        <f>-0.25*(sigma^2*$A26^2-(rate-d)*$A26)*EurCall!L27-(-0.5*sigma^2*$A26^2-0.5*rate+1/dt)*EurCall!L26-0.25*(sigma^2*$A26^2+(rate-d)*$A26)*EurCall!L25</f>
        <v>-3898.3704094290497</v>
      </c>
      <c r="L26">
        <f>-0.25*(sigma^2*$A26^2-(rate-d)*$A26)*EurCall!M27-(-0.5*sigma^2*$A26^2-0.5*rate+1/dt)*EurCall!M26-0.25*(sigma^2*$A26^2+(rate-d)*$A26)*EurCall!M25</f>
        <v>-3896.0287238999258</v>
      </c>
      <c r="M26">
        <f>-0.25*(sigma^2*$A26^2-(rate-d)*$A26)*EurCall!N27-(-0.5*sigma^2*$A26^2-0.5*rate+1/dt)*EurCall!N26-0.25*(sigma^2*$A26^2+(rate-d)*$A26)*EurCall!N25</f>
        <v>-3893.6856340385639</v>
      </c>
      <c r="N26">
        <f>-0.25*(sigma^2*$A26^2-(rate-d)*$A26)*EurCall!O27-(-0.5*sigma^2*$A26^2-0.5*rate+1/dt)*EurCall!O26-0.25*(sigma^2*$A26^2+(rate-d)*$A26)*EurCall!O25</f>
        <v>-3891.3411388029585</v>
      </c>
      <c r="O26">
        <f>-0.25*(sigma^2*$A26^2-(rate-d)*$A26)*EurCall!P27-(-0.5*sigma^2*$A26^2-0.5*rate+1/dt)*EurCall!P26-0.25*(sigma^2*$A26^2+(rate-d)*$A26)*EurCall!P25</f>
        <v>-3888.9952371799527</v>
      </c>
      <c r="P26">
        <f>-0.25*(sigma^2*$A26^2-(rate-d)*$A26)*EurCall!Q27-(-0.5*sigma^2*$A26^2-0.5*rate+1/dt)*EurCall!Q26-0.25*(sigma^2*$A26^2+(rate-d)*$A26)*EurCall!Q25</f>
        <v>-3886.647928182123</v>
      </c>
      <c r="Q26">
        <f>-0.25*(sigma^2*$A26^2-(rate-d)*$A26)*EurCall!R27-(-0.5*sigma^2*$A26^2-0.5*rate+1/dt)*EurCall!R26-0.25*(sigma^2*$A26^2+(rate-d)*$A26)*EurCall!R25</f>
        <v>-3884.2992108448052</v>
      </c>
      <c r="R26">
        <f>-0.25*(sigma^2*$A26^2-(rate-d)*$A26)*EurCall!S27-(-0.5*sigma^2*$A26^2-0.5*rate+1/dt)*EurCall!S26-0.25*(sigma^2*$A26^2+(rate-d)*$A26)*EurCall!S25</f>
        <v>-3881.9490842232635</v>
      </c>
      <c r="S26">
        <f>-0.25*(sigma^2*$A26^2-(rate-d)*$A26)*EurCall!T27-(-0.5*sigma^2*$A26^2-0.5*rate+1/dt)*EurCall!T26-0.25*(sigma^2*$A26^2+(rate-d)*$A26)*EurCall!T25</f>
        <v>-3879.5975473900407</v>
      </c>
      <c r="T26">
        <f>-0.25*(sigma^2*$A26^2-(rate-d)*$A26)*EurCall!U27-(-0.5*sigma^2*$A26^2-0.5*rate+1/dt)*EurCall!U26-0.25*(sigma^2*$A26^2+(rate-d)*$A26)*EurCall!U25</f>
        <v>-3877.2445994324962</v>
      </c>
      <c r="U26">
        <f>-0.25*(sigma^2*$A26^2-(rate-d)*$A26)*EurCall!V27-(-0.5*sigma^2*$A26^2-0.5*rate+1/dt)*EurCall!V26-0.25*(sigma^2*$A26^2+(rate-d)*$A26)*EurCall!V25</f>
        <v>-3874.8902394505412</v>
      </c>
      <c r="V26">
        <f>-0.25*(sigma^2*$A26^2-(rate-d)*$A26)*EurCall!W27-(-0.5*sigma^2*$A26^2-0.5*rate+1/dt)*EurCall!W26-0.25*(sigma^2*$A26^2+(rate-d)*$A26)*EurCall!W25</f>
        <v>-3872.5344665545799</v>
      </c>
      <c r="W26">
        <f>-0.25*(sigma^2*$A26^2-(rate-d)*$A26)*EurCall!X27-(-0.5*sigma^2*$A26^2-0.5*rate+1/dt)*EurCall!X26-0.25*(sigma^2*$A26^2+(rate-d)*$A26)*EurCall!X25</f>
        <v>-3870.177279863668</v>
      </c>
      <c r="X26">
        <f>-0.25*(sigma^2*$A26^2-(rate-d)*$A26)*EurCall!Y27-(-0.5*sigma^2*$A26^2-0.5*rate+1/dt)*EurCall!Y26-0.25*(sigma^2*$A26^2+(rate-d)*$A26)*EurCall!Y25</f>
        <v>-3867.8186785038806</v>
      </c>
      <c r="Y26">
        <f>-0.25*(sigma^2*$A26^2-(rate-d)*$A26)*EurCall!Z27-(-0.5*sigma^2*$A26^2-0.5*rate+1/dt)*EurCall!Z26-0.25*(sigma^2*$A26^2+(rate-d)*$A26)*EurCall!Z25</f>
        <v>-3865.4586616068791</v>
      </c>
      <c r="Z26">
        <f>-0.25*(sigma^2*$A26^2-(rate-d)*$A26)*EurCall!AA27-(-0.5*sigma^2*$A26^2-0.5*rate+1/dt)*EurCall!AA26-0.25*(sigma^2*$A26^2+(rate-d)*$A26)*EurCall!AA25</f>
        <v>-3863.0972283086803</v>
      </c>
      <c r="AA26">
        <f>-0.25*(sigma^2*$A26^2-(rate-d)*$A26)*EurCall!AB27-(-0.5*sigma^2*$A26^2-0.5*rate+1/dt)*EurCall!AB26-0.25*(sigma^2*$A26^2+(rate-d)*$A26)*EurCall!AB25</f>
        <v>-3860.7343777486167</v>
      </c>
      <c r="AB26">
        <f>-0.25*(sigma^2*$A26^2-(rate-d)*$A26)*EurCall!AC27-(-0.5*sigma^2*$A26^2-0.5*rate+1/dt)*EurCall!AC26-0.25*(sigma^2*$A26^2+(rate-d)*$A26)*EurCall!AC25</f>
        <v>-3858.3701090684604</v>
      </c>
      <c r="AC26">
        <f>-0.25*(sigma^2*$A26^2-(rate-d)*$A26)*EurCall!AD27-(-0.5*sigma^2*$A26^2-0.5*rate+1/dt)*EurCall!AD26-0.25*(sigma^2*$A26^2+(rate-d)*$A26)*EurCall!AD25</f>
        <v>-3856.0044214117106</v>
      </c>
      <c r="AD26">
        <f>-0.25*(sigma^2*$A26^2-(rate-d)*$A26)*EurCall!AE27-(-0.5*sigma^2*$A26^2-0.5*rate+1/dt)*EurCall!AE26-0.25*(sigma^2*$A26^2+(rate-d)*$A26)*EurCall!AE25</f>
        <v>-3853.6373139230168</v>
      </c>
      <c r="AE26">
        <f>-0.25*(sigma^2*$A26^2-(rate-d)*$A26)*EurCall!AF27-(-0.5*sigma^2*$A26^2-0.5*rate+1/dt)*EurCall!AF26-0.25*(sigma^2*$A26^2+(rate-d)*$A26)*EurCall!AF25</f>
        <v>-3851.2687857477267</v>
      </c>
      <c r="AF26">
        <f>-0.25*(sigma^2*$A26^2-(rate-d)*$A26)*EurCall!AG27-(-0.5*sigma^2*$A26^2-0.5*rate+1/dt)*EurCall!AG26-0.25*(sigma^2*$A26^2+(rate-d)*$A26)*EurCall!AG25</f>
        <v>-3848.8988360315329</v>
      </c>
      <c r="AG26">
        <f>-0.25*(sigma^2*$A26^2-(rate-d)*$A26)*EurCall!AH27-(-0.5*sigma^2*$A26^2-0.5*rate+1/dt)*EurCall!AH26-0.25*(sigma^2*$A26^2+(rate-d)*$A26)*EurCall!AH25</f>
        <v>-3846.5274639202098</v>
      </c>
      <c r="AH26">
        <f>-0.25*(sigma^2*$A26^2-(rate-d)*$A26)*EurCall!AI27-(-0.5*sigma^2*$A26^2-0.5*rate+1/dt)*EurCall!AI26-0.25*(sigma^2*$A26^2+(rate-d)*$A26)*EurCall!AI25</f>
        <v>-3844.1546685594221</v>
      </c>
      <c r="AI26">
        <f>-0.25*(sigma^2*$A26^2-(rate-d)*$A26)*EurCall!AJ27-(-0.5*sigma^2*$A26^2-0.5*rate+1/dt)*EurCall!AJ26-0.25*(sigma^2*$A26^2+(rate-d)*$A26)*EurCall!AJ25</f>
        <v>-3841.7804490945819</v>
      </c>
      <c r="AJ26">
        <f>-0.25*(sigma^2*$A26^2-(rate-d)*$A26)*EurCall!AK27-(-0.5*sigma^2*$A26^2-0.5*rate+1/dt)*EurCall!AK26-0.25*(sigma^2*$A26^2+(rate-d)*$A26)*EurCall!AK25</f>
        <v>-3839.4048046707539</v>
      </c>
      <c r="AK26">
        <f>-0.25*(sigma^2*$A26^2-(rate-d)*$A26)*EurCall!AL27-(-0.5*sigma^2*$A26^2-0.5*rate+1/dt)*EurCall!AL26-0.25*(sigma^2*$A26^2+(rate-d)*$A26)*EurCall!AL25</f>
        <v>-3837.0277344325918</v>
      </c>
      <c r="AL26">
        <f>-0.25*(sigma^2*$A26^2-(rate-d)*$A26)*EurCall!AM27-(-0.5*sigma^2*$A26^2-0.5*rate+1/dt)*EurCall!AM26-0.25*(sigma^2*$A26^2+(rate-d)*$A26)*EurCall!AM25</f>
        <v>-3834.6492375242919</v>
      </c>
      <c r="AM26">
        <f>-0.25*(sigma^2*$A26^2-(rate-d)*$A26)*EurCall!AN27-(-0.5*sigma^2*$A26^2-0.5*rate+1/dt)*EurCall!AN26-0.25*(sigma^2*$A26^2+(rate-d)*$A26)*EurCall!AN25</f>
        <v>-3832.2693130895732</v>
      </c>
      <c r="AN26">
        <f>-0.25*(sigma^2*$A26^2-(rate-d)*$A26)*EurCall!AO27-(-0.5*sigma^2*$A26^2-0.5*rate+1/dt)*EurCall!AO26-0.25*(sigma^2*$A26^2+(rate-d)*$A26)*EurCall!AO25</f>
        <v>-3829.8879602716547</v>
      </c>
      <c r="AO26">
        <f>-0.25*(sigma^2*$A26^2-(rate-d)*$A26)*EurCall!AP27-(-0.5*sigma^2*$A26^2-0.5*rate+1/dt)*EurCall!AP26-0.25*(sigma^2*$A26^2+(rate-d)*$A26)*EurCall!AP25</f>
        <v>-3827.5051782132505</v>
      </c>
      <c r="AP26">
        <f>-0.25*(sigma^2*$A26^2-(rate-d)*$A26)*EurCall!AQ27-(-0.5*sigma^2*$A26^2-0.5*rate+1/dt)*EurCall!AQ26-0.25*(sigma^2*$A26^2+(rate-d)*$A26)*EurCall!AQ25</f>
        <v>-3825.1209660565637</v>
      </c>
      <c r="AQ26">
        <f>-0.25*(sigma^2*$A26^2-(rate-d)*$A26)*EurCall!AR27-(-0.5*sigma^2*$A26^2-0.5*rate+1/dt)*EurCall!AR26-0.25*(sigma^2*$A26^2+(rate-d)*$A26)*EurCall!AR25</f>
        <v>-3822.7353229432824</v>
      </c>
      <c r="AR26">
        <f>-0.25*(sigma^2*$A26^2-(rate-d)*$A26)*EurCall!AS27-(-0.5*sigma^2*$A26^2-0.5*rate+1/dt)*EurCall!AS26-0.25*(sigma^2*$A26^2+(rate-d)*$A26)*EurCall!AS25</f>
        <v>-3820.3482480145799</v>
      </c>
      <c r="AS26">
        <f>-0.25*(sigma^2*$A26^2-(rate-d)*$A26)*EurCall!AT27-(-0.5*sigma^2*$A26^2-0.5*rate+1/dt)*EurCall!AT26-0.25*(sigma^2*$A26^2+(rate-d)*$A26)*EurCall!AT25</f>
        <v>-3817.9597404111123</v>
      </c>
      <c r="AT26">
        <f>-0.25*(sigma^2*$A26^2-(rate-d)*$A26)*EurCall!AU27-(-0.5*sigma^2*$A26^2-0.5*rate+1/dt)*EurCall!AU26-0.25*(sigma^2*$A26^2+(rate-d)*$A26)*EurCall!AU25</f>
        <v>-3815.5697992730206</v>
      </c>
      <c r="AU26">
        <f>-0.25*(sigma^2*$A26^2-(rate-d)*$A26)*EurCall!AV27-(-0.5*sigma^2*$A26^2-0.5*rate+1/dt)*EurCall!AV26-0.25*(sigma^2*$A26^2+(rate-d)*$A26)*EurCall!AV25</f>
        <v>-3813.1784237399247</v>
      </c>
      <c r="AV26">
        <f>-0.25*(sigma^2*$A26^2-(rate-d)*$A26)*EurCall!AW27-(-0.5*sigma^2*$A26^2-0.5*rate+1/dt)*EurCall!AW26-0.25*(sigma^2*$A26^2+(rate-d)*$A26)*EurCall!AW25</f>
        <v>-3810.7856129509323</v>
      </c>
      <c r="AW26">
        <f>-0.25*(sigma^2*$A26^2-(rate-d)*$A26)*EurCall!AX27-(-0.5*sigma^2*$A26^2-0.5*rate+1/dt)*EurCall!AX26-0.25*(sigma^2*$A26^2+(rate-d)*$A26)*EurCall!AX25</f>
        <v>-3808.391366044631</v>
      </c>
      <c r="AX26">
        <f>-0.25*(sigma^2*$A26^2-(rate-d)*$A26)*EurCall!AY27-(-0.5*sigma^2*$A26^2-0.5*rate+1/dt)*EurCall!AY26-0.25*(sigma^2*$A26^2+(rate-d)*$A26)*EurCall!AY25</f>
        <v>-3805.9956821590931</v>
      </c>
      <c r="AY26">
        <f>-0.25*(sigma^2*$A26^2-(rate-d)*$A26)*EurCall!AZ27-(-0.5*sigma^2*$A26^2-0.5*rate+1/dt)*EurCall!AZ26-0.25*(sigma^2*$A26^2+(rate-d)*$A26)*EurCall!AZ25</f>
        <v>-3803.5985604318707</v>
      </c>
      <c r="AZ26">
        <f>-0.25*(sigma^2*$A26^2-(rate-d)*$A26)*EurCall!BA27-(-0.5*sigma^2*$A26^2-0.5*rate+1/dt)*EurCall!BA26-0.25*(sigma^2*$A26^2+(rate-d)*$A26)*EurCall!BA25</f>
        <v>-3801.2000000000003</v>
      </c>
      <c r="BA26" s="6"/>
    </row>
    <row r="27" spans="1:53" x14ac:dyDescent="0.2">
      <c r="A27">
        <f t="shared" si="3"/>
        <v>38</v>
      </c>
      <c r="B27" s="3">
        <f t="shared" si="0"/>
        <v>76</v>
      </c>
      <c r="C27">
        <f>-0.25*(sigma^2*$A27^2-(rate-d)*$A27)*EurCall!D28-(-0.5*sigma^2*$A27^2-0.5*rate+1/dt)*EurCall!D27-0.25*(sigma^2*$A27^2+(rate-d)*$A27)*EurCall!D26</f>
        <v>-3717.0536564806139</v>
      </c>
      <c r="D27">
        <f>-0.25*(sigma^2*$A27^2-(rate-d)*$A27)*EurCall!E28-(-0.5*sigma^2*$A27^2-0.5*rate+1/dt)*EurCall!E27-0.25*(sigma^2*$A27^2+(rate-d)*$A27)*EurCall!E26</f>
        <v>-3714.7231332528254</v>
      </c>
      <c r="E27">
        <f>-0.25*(sigma^2*$A27^2-(rate-d)*$A27)*EurCall!F28-(-0.5*sigma^2*$A27^2-0.5*rate+1/dt)*EurCall!F27-0.25*(sigma^2*$A27^2+(rate-d)*$A27)*EurCall!F26</f>
        <v>-3712.3912197523305</v>
      </c>
      <c r="F27">
        <f>-0.25*(sigma^2*$A27^2-(rate-d)*$A27)*EurCall!G28-(-0.5*sigma^2*$A27^2-0.5*rate+1/dt)*EurCall!G27-0.25*(sigma^2*$A27^2+(rate-d)*$A27)*EurCall!G26</f>
        <v>-3710.0579141076896</v>
      </c>
      <c r="G27">
        <f>-0.25*(sigma^2*$A27^2-(rate-d)*$A27)*EurCall!H28-(-0.5*sigma^2*$A27^2-0.5*rate+1/dt)*EurCall!H27-0.25*(sigma^2*$A27^2+(rate-d)*$A27)*EurCall!H26</f>
        <v>-3707.7232145381363</v>
      </c>
      <c r="H27">
        <f>-0.25*(sigma^2*$A27^2-(rate-d)*$A27)*EurCall!I28-(-0.5*sigma^2*$A27^2-0.5*rate+1/dt)*EurCall!I27-0.25*(sigma^2*$A27^2+(rate-d)*$A27)*EurCall!I26</f>
        <v>-3705.3871193499272</v>
      </c>
      <c r="I27">
        <f>-0.25*(sigma^2*$A27^2-(rate-d)*$A27)*EurCall!J28-(-0.5*sigma^2*$A27^2-0.5*rate+1/dt)*EurCall!J27-0.25*(sigma^2*$A27^2+(rate-d)*$A27)*EurCall!J26</f>
        <v>-3703.0496269323849</v>
      </c>
      <c r="J27">
        <f>-0.25*(sigma^2*$A27^2-(rate-d)*$A27)*EurCall!K28-(-0.5*sigma^2*$A27^2-0.5*rate+1/dt)*EurCall!K27-0.25*(sigma^2*$A27^2+(rate-d)*$A27)*EurCall!K26</f>
        <v>-3700.7107357536784</v>
      </c>
      <c r="K27">
        <f>-0.25*(sigma^2*$A27^2-(rate-d)*$A27)*EurCall!L28-(-0.5*sigma^2*$A27^2-0.5*rate+1/dt)*EurCall!L27-0.25*(sigma^2*$A27^2+(rate-d)*$A27)*EurCall!L26</f>
        <v>-3698.370444356372</v>
      </c>
      <c r="L27">
        <f>-0.25*(sigma^2*$A27^2-(rate-d)*$A27)*EurCall!M28-(-0.5*sigma^2*$A27^2-0.5*rate+1/dt)*EurCall!M27-0.25*(sigma^2*$A27^2+(rate-d)*$A27)*EurCall!M26</f>
        <v>-3696.0287513527928</v>
      </c>
      <c r="M27">
        <f>-0.25*(sigma^2*$A27^2-(rate-d)*$A27)*EurCall!N28-(-0.5*sigma^2*$A27^2-0.5*rate+1/dt)*EurCall!N27-0.25*(sigma^2*$A27^2+(rate-d)*$A27)*EurCall!N26</f>
        <v>-3693.6856554202568</v>
      </c>
      <c r="N27">
        <f>-0.25*(sigma^2*$A27^2-(rate-d)*$A27)*EurCall!O28-(-0.5*sigma^2*$A27^2-0.5*rate+1/dt)*EurCall!O27-0.25*(sigma^2*$A27^2+(rate-d)*$A27)*EurCall!O26</f>
        <v>-3691.3411552962052</v>
      </c>
      <c r="O27">
        <f>-0.25*(sigma^2*$A27^2-(rate-d)*$A27)*EurCall!P28-(-0.5*sigma^2*$A27^2-0.5*rate+1/dt)*EurCall!P27-0.25*(sigma^2*$A27^2+(rate-d)*$A27)*EurCall!P26</f>
        <v>-3688.9952497733052</v>
      </c>
      <c r="P27">
        <f>-0.25*(sigma^2*$A27^2-(rate-d)*$A27)*EurCall!Q28-(-0.5*sigma^2*$A27^2-0.5*rate+1/dt)*EurCall!Q27-0.25*(sigma^2*$A27^2+(rate-d)*$A27)*EurCall!Q26</f>
        <v>-3686.6479376945563</v>
      </c>
      <c r="Q27">
        <f>-0.25*(sigma^2*$A27^2-(rate-d)*$A27)*EurCall!R28-(-0.5*sigma^2*$A27^2-0.5*rate+1/dt)*EurCall!R27-0.25*(sigma^2*$A27^2+(rate-d)*$A27)*EurCall!R26</f>
        <v>-3684.299217948459</v>
      </c>
      <c r="R27">
        <f>-0.25*(sigma^2*$A27^2-(rate-d)*$A27)*EurCall!S28-(-0.5*sigma^2*$A27^2-0.5*rate+1/dt)*EurCall!S27-0.25*(sigma^2*$A27^2+(rate-d)*$A27)*EurCall!S26</f>
        <v>-3681.9490894642913</v>
      </c>
      <c r="S27">
        <f>-0.25*(sigma^2*$A27^2-(rate-d)*$A27)*EurCall!T28-(-0.5*sigma^2*$A27^2-0.5*rate+1/dt)*EurCall!T27-0.25*(sigma^2*$A27^2+(rate-d)*$A27)*EurCall!T26</f>
        <v>-3679.5975512075343</v>
      </c>
      <c r="T27">
        <f>-0.25*(sigma^2*$A27^2-(rate-d)*$A27)*EurCall!U28-(-0.5*sigma^2*$A27^2-0.5*rate+1/dt)*EurCall!U27-0.25*(sigma^2*$A27^2+(rate-d)*$A27)*EurCall!U26</f>
        <v>-3677.2446021755031</v>
      </c>
      <c r="U27">
        <f>-0.25*(sigma^2*$A27^2-(rate-d)*$A27)*EurCall!V28-(-0.5*sigma^2*$A27^2-0.5*rate+1/dt)*EurCall!V27-0.25*(sigma^2*$A27^2+(rate-d)*$A27)*EurCall!V26</f>
        <v>-3674.8902413932055</v>
      </c>
      <c r="V27">
        <f>-0.25*(sigma^2*$A27^2-(rate-d)*$A27)*EurCall!W28-(-0.5*sigma^2*$A27^2-0.5*rate+1/dt)*EurCall!W27-0.25*(sigma^2*$A27^2+(rate-d)*$A27)*EurCall!W26</f>
        <v>-3672.5344679094646</v>
      </c>
      <c r="W27">
        <f>-0.25*(sigma^2*$A27^2-(rate-d)*$A27)*EurCall!X28-(-0.5*sigma^2*$A27^2-0.5*rate+1/dt)*EurCall!X27-0.25*(sigma^2*$A27^2+(rate-d)*$A27)*EurCall!X26</f>
        <v>-3670.1772807933362</v>
      </c>
      <c r="X27">
        <f>-0.25*(sigma^2*$A27^2-(rate-d)*$A27)*EurCall!Y28-(-0.5*sigma^2*$A27^2-0.5*rate+1/dt)*EurCall!Y27-0.25*(sigma^2*$A27^2+(rate-d)*$A27)*EurCall!Y26</f>
        <v>-3667.8186791308408</v>
      </c>
      <c r="Y27">
        <f>-0.25*(sigma^2*$A27^2-(rate-d)*$A27)*EurCall!Z28-(-0.5*sigma^2*$A27^2-0.5*rate+1/dt)*EurCall!Z27-0.25*(sigma^2*$A27^2+(rate-d)*$A27)*EurCall!Z26</f>
        <v>-3665.4586620220107</v>
      </c>
      <c r="Z27">
        <f>-0.25*(sigma^2*$A27^2-(rate-d)*$A27)*EurCall!AA28-(-0.5*sigma^2*$A27^2-0.5*rate+1/dt)*EurCall!AA27-0.25*(sigma^2*$A27^2+(rate-d)*$A27)*EurCall!AA26</f>
        <v>-3663.0972285782727</v>
      </c>
      <c r="AA27">
        <f>-0.25*(sigma^2*$A27^2-(rate-d)*$A27)*EurCall!AB28-(-0.5*sigma^2*$A27^2-0.5*rate+1/dt)*EurCall!AB27-0.25*(sigma^2*$A27^2+(rate-d)*$A27)*EurCall!AB26</f>
        <v>-3660.7343779201519</v>
      </c>
      <c r="AB27">
        <f>-0.25*(sigma^2*$A27^2-(rate-d)*$A27)*EurCall!AC28-(-0.5*sigma^2*$A27^2-0.5*rate+1/dt)*EurCall!AC27-0.25*(sigma^2*$A27^2+(rate-d)*$A27)*EurCall!AC26</f>
        <v>-3658.3701091752937</v>
      </c>
      <c r="AC27">
        <f>-0.25*(sigma^2*$A27^2-(rate-d)*$A27)*EurCall!AD28-(-0.5*sigma^2*$A27^2-0.5*rate+1/dt)*EurCall!AD27-0.25*(sigma^2*$A27^2+(rate-d)*$A27)*EurCall!AD26</f>
        <v>-3656.0044214767868</v>
      </c>
      <c r="AD27">
        <f>-0.25*(sigma^2*$A27^2-(rate-d)*$A27)*EurCall!AE28-(-0.5*sigma^2*$A27^2-0.5*rate+1/dt)*EurCall!AE27-0.25*(sigma^2*$A27^2+(rate-d)*$A27)*EurCall!AE26</f>
        <v>-3653.6373139617708</v>
      </c>
      <c r="AE27">
        <f>-0.25*(sigma^2*$A27^2-(rate-d)*$A27)*EurCall!AF28-(-0.5*sigma^2*$A27^2-0.5*rate+1/dt)*EurCall!AF27-0.25*(sigma^2*$A27^2+(rate-d)*$A27)*EurCall!AF26</f>
        <v>-3651.2687857702917</v>
      </c>
      <c r="AF27">
        <f>-0.25*(sigma^2*$A27^2-(rate-d)*$A27)*EurCall!AG28-(-0.5*sigma^2*$A27^2-0.5*rate+1/dt)*EurCall!AG27-0.25*(sigma^2*$A27^2+(rate-d)*$A27)*EurCall!AG26</f>
        <v>-3648.8988360443923</v>
      </c>
      <c r="AG27">
        <f>-0.25*(sigma^2*$A27^2-(rate-d)*$A27)*EurCall!AH28-(-0.5*sigma^2*$A27^2-0.5*rate+1/dt)*EurCall!AH27-0.25*(sigma^2*$A27^2+(rate-d)*$A27)*EurCall!AH26</f>
        <v>-3646.5274639273994</v>
      </c>
      <c r="AH27">
        <f>-0.25*(sigma^2*$A27^2-(rate-d)*$A27)*EurCall!AI28-(-0.5*sigma^2*$A27^2-0.5*rate+1/dt)*EurCall!AI27-0.25*(sigma^2*$A27^2+(rate-d)*$A27)*EurCall!AI26</f>
        <v>-3644.1546685633816</v>
      </c>
      <c r="AI27">
        <f>-0.25*(sigma^2*$A27^2-(rate-d)*$A27)*EurCall!AJ28-(-0.5*sigma^2*$A27^2-0.5*rate+1/dt)*EurCall!AJ27-0.25*(sigma^2*$A27^2+(rate-d)*$A27)*EurCall!AJ26</f>
        <v>-3641.7804490967428</v>
      </c>
      <c r="AJ27">
        <f>-0.25*(sigma^2*$A27^2-(rate-d)*$A27)*EurCall!AK28-(-0.5*sigma^2*$A27^2-0.5*rate+1/dt)*EurCall!AK27-0.25*(sigma^2*$A27^2+(rate-d)*$A27)*EurCall!AK26</f>
        <v>-3639.4048046719317</v>
      </c>
      <c r="AK27">
        <f>-0.25*(sigma^2*$A27^2-(rate-d)*$A27)*EurCall!AL28-(-0.5*sigma^2*$A27^2-0.5*rate+1/dt)*EurCall!AL27-0.25*(sigma^2*$A27^2+(rate-d)*$A27)*EurCall!AL26</f>
        <v>-3637.0277344332367</v>
      </c>
      <c r="AL27">
        <f>-0.25*(sigma^2*$A27^2-(rate-d)*$A27)*EurCall!AM28-(-0.5*sigma^2*$A27^2-0.5*rate+1/dt)*EurCall!AM27-0.25*(sigma^2*$A27^2+(rate-d)*$A27)*EurCall!AM26</f>
        <v>-3634.6492375246485</v>
      </c>
      <c r="AM27">
        <f>-0.25*(sigma^2*$A27^2-(rate-d)*$A27)*EurCall!AN28-(-0.5*sigma^2*$A27^2-0.5*rate+1/dt)*EurCall!AN27-0.25*(sigma^2*$A27^2+(rate-d)*$A27)*EurCall!AN26</f>
        <v>-3632.2693130897715</v>
      </c>
      <c r="AN27">
        <f>-0.25*(sigma^2*$A27^2-(rate-d)*$A27)*EurCall!AO28-(-0.5*sigma^2*$A27^2-0.5*rate+1/dt)*EurCall!AO27-0.25*(sigma^2*$A27^2+(rate-d)*$A27)*EurCall!AO26</f>
        <v>-3629.8879602717643</v>
      </c>
      <c r="AO27">
        <f>-0.25*(sigma^2*$A27^2-(rate-d)*$A27)*EurCall!AP28-(-0.5*sigma^2*$A27^2-0.5*rate+1/dt)*EurCall!AP27-0.25*(sigma^2*$A27^2+(rate-d)*$A27)*EurCall!AP26</f>
        <v>-3627.5051782133096</v>
      </c>
      <c r="AP27">
        <f>-0.25*(sigma^2*$A27^2-(rate-d)*$A27)*EurCall!AQ28-(-0.5*sigma^2*$A27^2-0.5*rate+1/dt)*EurCall!AQ27-0.25*(sigma^2*$A27^2+(rate-d)*$A27)*EurCall!AQ26</f>
        <v>-3625.1209660565946</v>
      </c>
      <c r="AQ27">
        <f>-0.25*(sigma^2*$A27^2-(rate-d)*$A27)*EurCall!AR28-(-0.5*sigma^2*$A27^2-0.5*rate+1/dt)*EurCall!AR27-0.25*(sigma^2*$A27^2+(rate-d)*$A27)*EurCall!AR26</f>
        <v>-3622.7353229432979</v>
      </c>
      <c r="AR27">
        <f>-0.25*(sigma^2*$A27^2-(rate-d)*$A27)*EurCall!AS28-(-0.5*sigma^2*$A27^2-0.5*rate+1/dt)*EurCall!AS27-0.25*(sigma^2*$A27^2+(rate-d)*$A27)*EurCall!AS26</f>
        <v>-3620.3482480145876</v>
      </c>
      <c r="AS27">
        <f>-0.25*(sigma^2*$A27^2-(rate-d)*$A27)*EurCall!AT28-(-0.5*sigma^2*$A27^2-0.5*rate+1/dt)*EurCall!AT27-0.25*(sigma^2*$A27^2+(rate-d)*$A27)*EurCall!AT26</f>
        <v>-3617.9597404111159</v>
      </c>
      <c r="AT27">
        <f>-0.25*(sigma^2*$A27^2-(rate-d)*$A27)*EurCall!AU28-(-0.5*sigma^2*$A27^2-0.5*rate+1/dt)*EurCall!AU27-0.25*(sigma^2*$A27^2+(rate-d)*$A27)*EurCall!AU26</f>
        <v>-3615.5697992730211</v>
      </c>
      <c r="AU27">
        <f>-0.25*(sigma^2*$A27^2-(rate-d)*$A27)*EurCall!AV28-(-0.5*sigma^2*$A27^2-0.5*rate+1/dt)*EurCall!AV27-0.25*(sigma^2*$A27^2+(rate-d)*$A27)*EurCall!AV26</f>
        <v>-3613.1784237399252</v>
      </c>
      <c r="AV27">
        <f>-0.25*(sigma^2*$A27^2-(rate-d)*$A27)*EurCall!AW28-(-0.5*sigma^2*$A27^2-0.5*rate+1/dt)*EurCall!AW27-0.25*(sigma^2*$A27^2+(rate-d)*$A27)*EurCall!AW26</f>
        <v>-3610.7856129509332</v>
      </c>
      <c r="AW27">
        <f>-0.25*(sigma^2*$A27^2-(rate-d)*$A27)*EurCall!AX28-(-0.5*sigma^2*$A27^2-0.5*rate+1/dt)*EurCall!AX27-0.25*(sigma^2*$A27^2+(rate-d)*$A27)*EurCall!AX26</f>
        <v>-3608.3913660446315</v>
      </c>
      <c r="AX27">
        <f>-0.25*(sigma^2*$A27^2-(rate-d)*$A27)*EurCall!AY28-(-0.5*sigma^2*$A27^2-0.5*rate+1/dt)*EurCall!AY27-0.25*(sigma^2*$A27^2+(rate-d)*$A27)*EurCall!AY26</f>
        <v>-3605.9956821590927</v>
      </c>
      <c r="AY27">
        <f>-0.25*(sigma^2*$A27^2-(rate-d)*$A27)*EurCall!AZ28-(-0.5*sigma^2*$A27^2-0.5*rate+1/dt)*EurCall!AZ27-0.25*(sigma^2*$A27^2+(rate-d)*$A27)*EurCall!AZ26</f>
        <v>-3603.5985604318703</v>
      </c>
      <c r="AZ27">
        <f>-0.25*(sigma^2*$A27^2-(rate-d)*$A27)*EurCall!BA28-(-0.5*sigma^2*$A27^2-0.5*rate+1/dt)*EurCall!BA27-0.25*(sigma^2*$A27^2+(rate-d)*$A27)*EurCall!BA26</f>
        <v>-3601.2</v>
      </c>
      <c r="BA27" s="6"/>
    </row>
    <row r="28" spans="1:53" x14ac:dyDescent="0.2">
      <c r="A28">
        <f t="shared" si="3"/>
        <v>37</v>
      </c>
      <c r="B28" s="3">
        <f t="shared" si="0"/>
        <v>74</v>
      </c>
      <c r="C28">
        <f>-0.25*(sigma^2*$A28^2-(rate-d)*$A28)*EurCall!D29-(-0.5*sigma^2*$A28^2-0.5*rate+1/dt)*EurCall!D28-0.25*(sigma^2*$A28^2+(rate-d)*$A28)*EurCall!D27</f>
        <v>-3517.0540720769504</v>
      </c>
      <c r="D28">
        <f>-0.25*(sigma^2*$A28^2-(rate-d)*$A28)*EurCall!E29-(-0.5*sigma^2*$A28^2-0.5*rate+1/dt)*EurCall!E28-0.25*(sigma^2*$A28^2+(rate-d)*$A28)*EurCall!E27</f>
        <v>-3514.7234836181215</v>
      </c>
      <c r="E28">
        <f>-0.25*(sigma^2*$A28^2-(rate-d)*$A28)*EurCall!F29-(-0.5*sigma^2*$A28^2-0.5*rate+1/dt)*EurCall!F28-0.25*(sigma^2*$A28^2+(rate-d)*$A28)*EurCall!F27</f>
        <v>-3512.3915134340805</v>
      </c>
      <c r="F28">
        <f>-0.25*(sigma^2*$A28^2-(rate-d)*$A28)*EurCall!G29-(-0.5*sigma^2*$A28^2-0.5*rate+1/dt)*EurCall!G28-0.25*(sigma^2*$A28^2+(rate-d)*$A28)*EurCall!G27</f>
        <v>-3510.0581587970796</v>
      </c>
      <c r="G28">
        <f>-0.25*(sigma^2*$A28^2-(rate-d)*$A28)*EurCall!H29-(-0.5*sigma^2*$A28^2-0.5*rate+1/dt)*EurCall!H28-0.25*(sigma^2*$A28^2+(rate-d)*$A28)*EurCall!H27</f>
        <v>-3507.7234171211921</v>
      </c>
      <c r="H28">
        <f>-0.25*(sigma^2*$A28^2-(rate-d)*$A28)*EurCall!I29-(-0.5*sigma^2*$A28^2-0.5*rate+1/dt)*EurCall!I28-0.25*(sigma^2*$A28^2+(rate-d)*$A28)*EurCall!I27</f>
        <v>-3505.3872859592889</v>
      </c>
      <c r="I28">
        <f>-0.25*(sigma^2*$A28^2-(rate-d)*$A28)*EurCall!J29-(-0.5*sigma^2*$A28^2-0.5*rate+1/dt)*EurCall!J28-0.25*(sigma^2*$A28^2+(rate-d)*$A28)*EurCall!J27</f>
        <v>-3503.0497629993547</v>
      </c>
      <c r="J28">
        <f>-0.25*(sigma^2*$A28^2-(rate-d)*$A28)*EurCall!K29-(-0.5*sigma^2*$A28^2-0.5*rate+1/dt)*EurCall!K28-0.25*(sigma^2*$A28^2+(rate-d)*$A28)*EurCall!K27</f>
        <v>-3500.7108460601917</v>
      </c>
      <c r="K28">
        <f>-0.25*(sigma^2*$A28^2-(rate-d)*$A28)*EurCall!L29-(-0.5*sigma^2*$A28^2-0.5*rate+1/dt)*EurCall!L28-0.25*(sigma^2*$A28^2+(rate-d)*$A28)*EurCall!L27</f>
        <v>-3498.37053308653</v>
      </c>
      <c r="L28">
        <f>-0.25*(sigma^2*$A28^2-(rate-d)*$A28)*EurCall!M29-(-0.5*sigma^2*$A28^2-0.5*rate+1/dt)*EurCall!M28-0.25*(sigma^2*$A28^2+(rate-d)*$A28)*EurCall!M27</f>
        <v>-3496.0288221436049</v>
      </c>
      <c r="M28">
        <f>-0.25*(sigma^2*$A28^2-(rate-d)*$A28)*EurCall!N29-(-0.5*sigma^2*$A28^2-0.5*rate+1/dt)*EurCall!N28-0.25*(sigma^2*$A28^2+(rate-d)*$A28)*EurCall!N27</f>
        <v>-3493.6857114112495</v>
      </c>
      <c r="N28">
        <f>-0.25*(sigma^2*$A28^2-(rate-d)*$A28)*EurCall!O29-(-0.5*sigma^2*$A28^2-0.5*rate+1/dt)*EurCall!O28-0.25*(sigma^2*$A28^2+(rate-d)*$A28)*EurCall!O27</f>
        <v>-3491.3411991775652</v>
      </c>
      <c r="O28">
        <f>-0.25*(sigma^2*$A28^2-(rate-d)*$A28)*EurCall!P29-(-0.5*sigma^2*$A28^2-0.5*rate+1/dt)*EurCall!P28-0.25*(sigma^2*$A28^2+(rate-d)*$A28)*EurCall!P27</f>
        <v>-3488.9952838322433</v>
      </c>
      <c r="P28">
        <f>-0.25*(sigma^2*$A28^2-(rate-d)*$A28)*EurCall!Q29-(-0.5*sigma^2*$A28^2-0.5*rate+1/dt)*EurCall!Q28-0.25*(sigma^2*$A28^2+(rate-d)*$A28)*EurCall!Q27</f>
        <v>-3486.6479638596056</v>
      </c>
      <c r="Q28">
        <f>-0.25*(sigma^2*$A28^2-(rate-d)*$A28)*EurCall!R29-(-0.5*sigma^2*$A28^2-0.5*rate+1/dt)*EurCall!R28-0.25*(sigma^2*$A28^2+(rate-d)*$A28)*EurCall!R27</f>
        <v>-3484.299237831457</v>
      </c>
      <c r="R28">
        <f>-0.25*(sigma^2*$A28^2-(rate-d)*$A28)*EurCall!S29-(-0.5*sigma^2*$A28^2-0.5*rate+1/dt)*EurCall!S28-0.25*(sigma^2*$A28^2+(rate-d)*$A28)*EurCall!S27</f>
        <v>-3481.9491043998137</v>
      </c>
      <c r="S28">
        <f>-0.25*(sigma^2*$A28^2-(rate-d)*$A28)*EurCall!T29-(-0.5*sigma^2*$A28^2-0.5*rate+1/dt)*EurCall!T28-0.25*(sigma^2*$A28^2+(rate-d)*$A28)*EurCall!T27</f>
        <v>-3479.5975622896203</v>
      </c>
      <c r="T28">
        <f>-0.25*(sigma^2*$A28^2-(rate-d)*$A28)*EurCall!U29-(-0.5*sigma^2*$A28^2-0.5*rate+1/dt)*EurCall!U28-0.25*(sigma^2*$A28^2+(rate-d)*$A28)*EurCall!U27</f>
        <v>-3477.2446102915173</v>
      </c>
      <c r="U28">
        <f>-0.25*(sigma^2*$A28^2-(rate-d)*$A28)*EurCall!V29-(-0.5*sigma^2*$A28^2-0.5*rate+1/dt)*EurCall!V28-0.25*(sigma^2*$A28^2+(rate-d)*$A28)*EurCall!V27</f>
        <v>-3474.8902472547529</v>
      </c>
      <c r="V28">
        <f>-0.25*(sigma^2*$A28^2-(rate-d)*$A28)*EurCall!W29-(-0.5*sigma^2*$A28^2-0.5*rate+1/dt)*EurCall!W28-0.25*(sigma^2*$A28^2+(rate-d)*$A28)*EurCall!W27</f>
        <v>-3472.5344720803237</v>
      </c>
      <c r="W28">
        <f>-0.25*(sigma^2*$A28^2-(rate-d)*$A28)*EurCall!X29-(-0.5*sigma^2*$A28^2-0.5*rate+1/dt)*EurCall!X28-0.25*(sigma^2*$A28^2+(rate-d)*$A28)*EurCall!X27</f>
        <v>-3470.1772837144072</v>
      </c>
      <c r="X28">
        <f>-0.25*(sigma^2*$A28^2-(rate-d)*$A28)*EurCall!Y29-(-0.5*sigma^2*$A28^2-0.5*rate+1/dt)*EurCall!Y28-0.25*(sigma^2*$A28^2+(rate-d)*$A28)*EurCall!Y27</f>
        <v>-3467.8186811421624</v>
      </c>
      <c r="Y28">
        <f>-0.25*(sigma^2*$A28^2-(rate-d)*$A28)*EurCall!Z29-(-0.5*sigma^2*$A28^2-0.5*rate+1/dt)*EurCall!Z28-0.25*(sigma^2*$A28^2+(rate-d)*$A28)*EurCall!Z27</f>
        <v>-3465.4586633819495</v>
      </c>
      <c r="Z28">
        <f>-0.25*(sigma^2*$A28^2-(rate-d)*$A28)*EurCall!AA29-(-0.5*sigma^2*$A28^2-0.5*rate+1/dt)*EurCall!AA28-0.25*(sigma^2*$A28^2+(rate-d)*$A28)*EurCall!AA27</f>
        <v>-3463.0972294800144</v>
      </c>
      <c r="AA28">
        <f>-0.25*(sigma^2*$A28^2-(rate-d)*$A28)*EurCall!AB29-(-0.5*sigma^2*$A28^2-0.5*rate+1/dt)*EurCall!AB28-0.25*(sigma^2*$A28^2+(rate-d)*$A28)*EurCall!AB27</f>
        <v>-3460.7343785056742</v>
      </c>
      <c r="AB28">
        <f>-0.25*(sigma^2*$A28^2-(rate-d)*$A28)*EurCall!AC29-(-0.5*sigma^2*$A28^2-0.5*rate+1/dt)*EurCall!AC28-0.25*(sigma^2*$A28^2+(rate-d)*$A28)*EurCall!AC27</f>
        <v>-3458.3701095470151</v>
      </c>
      <c r="AC28">
        <f>-0.25*(sigma^2*$A28^2-(rate-d)*$A28)*EurCall!AD29-(-0.5*sigma^2*$A28^2-0.5*rate+1/dt)*EurCall!AD28-0.25*(sigma^2*$A28^2+(rate-d)*$A28)*EurCall!AD27</f>
        <v>-3456.0044217071209</v>
      </c>
      <c r="AD28">
        <f>-0.25*(sigma^2*$A28^2-(rate-d)*$A28)*EurCall!AE29-(-0.5*sigma^2*$A28^2-0.5*rate+1/dt)*EurCall!AE28-0.25*(sigma^2*$A28^2+(rate-d)*$A28)*EurCall!AE27</f>
        <v>-3453.6373141008121</v>
      </c>
      <c r="AE28">
        <f>-0.25*(sigma^2*$A28^2-(rate-d)*$A28)*EurCall!AF29-(-0.5*sigma^2*$A28^2-0.5*rate+1/dt)*EurCall!AF28-0.25*(sigma^2*$A28^2+(rate-d)*$A28)*EurCall!AF27</f>
        <v>-3451.2687858518921</v>
      </c>
      <c r="AF28">
        <f>-0.25*(sigma^2*$A28^2-(rate-d)*$A28)*EurCall!AG29-(-0.5*sigma^2*$A28^2-0.5*rate+1/dt)*EurCall!AG28-0.25*(sigma^2*$A28^2+(rate-d)*$A28)*EurCall!AG27</f>
        <v>-3448.8988360908488</v>
      </c>
      <c r="AG28">
        <f>-0.25*(sigma^2*$A28^2-(rate-d)*$A28)*EurCall!AH29-(-0.5*sigma^2*$A28^2-0.5*rate+1/dt)*EurCall!AH28-0.25*(sigma^2*$A28^2+(rate-d)*$A28)*EurCall!AH27</f>
        <v>-3446.5274639529962</v>
      </c>
      <c r="AH28">
        <f>-0.25*(sigma^2*$A28^2-(rate-d)*$A28)*EurCall!AI29-(-0.5*sigma^2*$A28^2-0.5*rate+1/dt)*EurCall!AI28-0.25*(sigma^2*$A28^2+(rate-d)*$A28)*EurCall!AI27</f>
        <v>-3444.1546685769972</v>
      </c>
      <c r="AI28">
        <f>-0.25*(sigma^2*$A28^2-(rate-d)*$A28)*EurCall!AJ29-(-0.5*sigma^2*$A28^2-0.5*rate+1/dt)*EurCall!AJ28-0.25*(sigma^2*$A28^2+(rate-d)*$A28)*EurCall!AJ27</f>
        <v>-3441.7804491037168</v>
      </c>
      <c r="AJ28">
        <f>-0.25*(sigma^2*$A28^2-(rate-d)*$A28)*EurCall!AK29-(-0.5*sigma^2*$A28^2-0.5*rate+1/dt)*EurCall!AK28-0.25*(sigma^2*$A28^2+(rate-d)*$A28)*EurCall!AK27</f>
        <v>-3439.4048046753628</v>
      </c>
      <c r="AK28">
        <f>-0.25*(sigma^2*$A28^2-(rate-d)*$A28)*EurCall!AL29-(-0.5*sigma^2*$A28^2-0.5*rate+1/dt)*EurCall!AL28-0.25*(sigma^2*$A28^2+(rate-d)*$A28)*EurCall!AL27</f>
        <v>-3437.0277344348542</v>
      </c>
      <c r="AL28">
        <f>-0.25*(sigma^2*$A28^2-(rate-d)*$A28)*EurCall!AM29-(-0.5*sigma^2*$A28^2-0.5*rate+1/dt)*EurCall!AM28-0.25*(sigma^2*$A28^2+(rate-d)*$A28)*EurCall!AM27</f>
        <v>-3434.6492375253783</v>
      </c>
      <c r="AM28">
        <f>-0.25*(sigma^2*$A28^2-(rate-d)*$A28)*EurCall!AN29-(-0.5*sigma^2*$A28^2-0.5*rate+1/dt)*EurCall!AN28-0.25*(sigma^2*$A28^2+(rate-d)*$A28)*EurCall!AN27</f>
        <v>-3432.2693130900861</v>
      </c>
      <c r="AN28">
        <f>-0.25*(sigma^2*$A28^2-(rate-d)*$A28)*EurCall!AO29-(-0.5*sigma^2*$A28^2-0.5*rate+1/dt)*EurCall!AO28-0.25*(sigma^2*$A28^2+(rate-d)*$A28)*EurCall!AO27</f>
        <v>-3429.8879602718944</v>
      </c>
      <c r="AO28">
        <f>-0.25*(sigma^2*$A28^2-(rate-d)*$A28)*EurCall!AP29-(-0.5*sigma^2*$A28^2-0.5*rate+1/dt)*EurCall!AP28-0.25*(sigma^2*$A28^2+(rate-d)*$A28)*EurCall!AP27</f>
        <v>-3427.5051782133614</v>
      </c>
      <c r="AP28">
        <f>-0.25*(sigma^2*$A28^2-(rate-d)*$A28)*EurCall!AQ29-(-0.5*sigma^2*$A28^2-0.5*rate+1/dt)*EurCall!AQ28-0.25*(sigma^2*$A28^2+(rate-d)*$A28)*EurCall!AQ27</f>
        <v>-3425.1209660566142</v>
      </c>
      <c r="AQ28">
        <f>-0.25*(sigma^2*$A28^2-(rate-d)*$A28)*EurCall!AR29-(-0.5*sigma^2*$A28^2-0.5*rate+1/dt)*EurCall!AR28-0.25*(sigma^2*$A28^2+(rate-d)*$A28)*EurCall!AR27</f>
        <v>-3422.7353229433047</v>
      </c>
      <c r="AR28">
        <f>-0.25*(sigma^2*$A28^2-(rate-d)*$A28)*EurCall!AS29-(-0.5*sigma^2*$A28^2-0.5*rate+1/dt)*EurCall!AS28-0.25*(sigma^2*$A28^2+(rate-d)*$A28)*EurCall!AS27</f>
        <v>-3420.3482480145899</v>
      </c>
      <c r="AS28">
        <f>-0.25*(sigma^2*$A28^2-(rate-d)*$A28)*EurCall!AT29-(-0.5*sigma^2*$A28^2-0.5*rate+1/dt)*EurCall!AT28-0.25*(sigma^2*$A28^2+(rate-d)*$A28)*EurCall!AT27</f>
        <v>-3417.9597404111169</v>
      </c>
      <c r="AT28">
        <f>-0.25*(sigma^2*$A28^2-(rate-d)*$A28)*EurCall!AU29-(-0.5*sigma^2*$A28^2-0.5*rate+1/dt)*EurCall!AU28-0.25*(sigma^2*$A28^2+(rate-d)*$A28)*EurCall!AU27</f>
        <v>-3415.569799273022</v>
      </c>
      <c r="AU28">
        <f>-0.25*(sigma^2*$A28^2-(rate-d)*$A28)*EurCall!AV29-(-0.5*sigma^2*$A28^2-0.5*rate+1/dt)*EurCall!AV28-0.25*(sigma^2*$A28^2+(rate-d)*$A28)*EurCall!AV27</f>
        <v>-3413.1784237399261</v>
      </c>
      <c r="AV28">
        <f>-0.25*(sigma^2*$A28^2-(rate-d)*$A28)*EurCall!AW29-(-0.5*sigma^2*$A28^2-0.5*rate+1/dt)*EurCall!AW28-0.25*(sigma^2*$A28^2+(rate-d)*$A28)*EurCall!AW27</f>
        <v>-3410.7856129509328</v>
      </c>
      <c r="AW28">
        <f>-0.25*(sigma^2*$A28^2-(rate-d)*$A28)*EurCall!AX29-(-0.5*sigma^2*$A28^2-0.5*rate+1/dt)*EurCall!AX28-0.25*(sigma^2*$A28^2+(rate-d)*$A28)*EurCall!AX27</f>
        <v>-3408.3913660446315</v>
      </c>
      <c r="AX28">
        <f>-0.25*(sigma^2*$A28^2-(rate-d)*$A28)*EurCall!AY29-(-0.5*sigma^2*$A28^2-0.5*rate+1/dt)*EurCall!AY28-0.25*(sigma^2*$A28^2+(rate-d)*$A28)*EurCall!AY27</f>
        <v>-3405.9956821590927</v>
      </c>
      <c r="AY28">
        <f>-0.25*(sigma^2*$A28^2-(rate-d)*$A28)*EurCall!AZ29-(-0.5*sigma^2*$A28^2-0.5*rate+1/dt)*EurCall!AZ28-0.25*(sigma^2*$A28^2+(rate-d)*$A28)*EurCall!AZ27</f>
        <v>-3403.5985604318703</v>
      </c>
      <c r="AZ28">
        <f>-0.25*(sigma^2*$A28^2-(rate-d)*$A28)*EurCall!BA29-(-0.5*sigma^2*$A28^2-0.5*rate+1/dt)*EurCall!BA28-0.25*(sigma^2*$A28^2+(rate-d)*$A28)*EurCall!BA27</f>
        <v>-3401.2</v>
      </c>
      <c r="BA28" s="6"/>
    </row>
    <row r="29" spans="1:53" x14ac:dyDescent="0.2">
      <c r="A29">
        <f t="shared" si="3"/>
        <v>36</v>
      </c>
      <c r="B29" s="3">
        <f t="shared" si="0"/>
        <v>72</v>
      </c>
      <c r="C29">
        <f>-0.25*(sigma^2*$A29^2-(rate-d)*$A29)*EurCall!D30-(-0.5*sigma^2*$A29^2-0.5*rate+1/dt)*EurCall!D29-0.25*(sigma^2*$A29^2+(rate-d)*$A29)*EurCall!D28</f>
        <v>-3317.0550204694114</v>
      </c>
      <c r="D29">
        <f>-0.25*(sigma^2*$A29^2-(rate-d)*$A29)*EurCall!E30-(-0.5*sigma^2*$A29^2-0.5*rate+1/dt)*EurCall!E29-0.25*(sigma^2*$A29^2+(rate-d)*$A29)*EurCall!E28</f>
        <v>-3314.7242926430358</v>
      </c>
      <c r="E29">
        <f>-0.25*(sigma^2*$A29^2-(rate-d)*$A29)*EurCall!F30-(-0.5*sigma^2*$A29^2-0.5*rate+1/dt)*EurCall!F29-0.25*(sigma^2*$A29^2+(rate-d)*$A29)*EurCall!F28</f>
        <v>-3312.3921998614551</v>
      </c>
      <c r="F29">
        <f>-0.25*(sigma^2*$A29^2-(rate-d)*$A29)*EurCall!G30-(-0.5*sigma^2*$A29^2-0.5*rate+1/dt)*EurCall!G29-0.25*(sigma^2*$A29^2+(rate-d)*$A29)*EurCall!G28</f>
        <v>-3310.0587379170188</v>
      </c>
      <c r="G29">
        <f>-0.25*(sigma^2*$A29^2-(rate-d)*$A29)*EurCall!H30-(-0.5*sigma^2*$A29^2-0.5*rate+1/dt)*EurCall!H29-0.25*(sigma^2*$A29^2+(rate-d)*$A29)*EurCall!H28</f>
        <v>-3307.7239028099552</v>
      </c>
      <c r="H29">
        <f>-0.25*(sigma^2*$A29^2-(rate-d)*$A29)*EurCall!I30-(-0.5*sigma^2*$A29^2-0.5*rate+1/dt)*EurCall!I29-0.25*(sigma^2*$A29^2+(rate-d)*$A29)*EurCall!I28</f>
        <v>-3305.3876907485464</v>
      </c>
      <c r="I29">
        <f>-0.25*(sigma^2*$A29^2-(rate-d)*$A29)*EurCall!J30-(-0.5*sigma^2*$A29^2-0.5*rate+1/dt)*EurCall!J29-0.25*(sigma^2*$A29^2+(rate-d)*$A29)*EurCall!J28</f>
        <v>-3303.0500981481655</v>
      </c>
      <c r="J29">
        <f>-0.25*(sigma^2*$A29^2-(rate-d)*$A29)*EurCall!K30-(-0.5*sigma^2*$A29^2-0.5*rate+1/dt)*EurCall!K29-0.25*(sigma^2*$A29^2+(rate-d)*$A29)*EurCall!K28</f>
        <v>-3300.7111216291878</v>
      </c>
      <c r="K29">
        <f>-0.25*(sigma^2*$A29^2-(rate-d)*$A29)*EurCall!L30-(-0.5*sigma^2*$A29^2-0.5*rate+1/dt)*EurCall!L29-0.25*(sigma^2*$A29^2+(rate-d)*$A29)*EurCall!L28</f>
        <v>-3298.3707580137652</v>
      </c>
      <c r="L29">
        <f>-0.25*(sigma^2*$A29^2-(rate-d)*$A29)*EurCall!M30-(-0.5*sigma^2*$A29^2-0.5*rate+1/dt)*EurCall!M29-0.25*(sigma^2*$A29^2+(rate-d)*$A29)*EurCall!M28</f>
        <v>-3296.0290043214836</v>
      </c>
      <c r="M29">
        <f>-0.25*(sigma^2*$A29^2-(rate-d)*$A29)*EurCall!N30-(-0.5*sigma^2*$A29^2-0.5*rate+1/dt)*EurCall!N29-0.25*(sigma^2*$A29^2+(rate-d)*$A29)*EurCall!N28</f>
        <v>-3293.6858577639414</v>
      </c>
      <c r="N29">
        <f>-0.25*(sigma^2*$A29^2-(rate-d)*$A29)*EurCall!O30-(-0.5*sigma^2*$A29^2-0.5*rate+1/dt)*EurCall!O29-0.25*(sigma^2*$A29^2+(rate-d)*$A29)*EurCall!O28</f>
        <v>-3291.3413157382934</v>
      </c>
      <c r="O29">
        <f>-0.25*(sigma^2*$A29^2-(rate-d)*$A29)*EurCall!P30-(-0.5*sigma^2*$A29^2-0.5*rate+1/dt)*EurCall!P29-0.25*(sigma^2*$A29^2+(rate-d)*$A29)*EurCall!P28</f>
        <v>-3288.9953758198267</v>
      </c>
      <c r="P29">
        <f>-0.25*(sigma^2*$A29^2-(rate-d)*$A29)*EurCall!Q30-(-0.5*sigma^2*$A29^2-0.5*rate+1/dt)*EurCall!Q29-0.25*(sigma^2*$A29^2+(rate-d)*$A29)*EurCall!Q28</f>
        <v>-3286.648035753652</v>
      </c>
      <c r="Q29">
        <f>-0.25*(sigma^2*$A29^2-(rate-d)*$A29)*EurCall!R30-(-0.5*sigma^2*$A29^2-0.5*rate+1/dt)*EurCall!R29-0.25*(sigma^2*$A29^2+(rate-d)*$A29)*EurCall!R28</f>
        <v>-3284.2992934456061</v>
      </c>
      <c r="R29">
        <f>-0.25*(sigma^2*$A29^2-(rate-d)*$A29)*EurCall!S30-(-0.5*sigma^2*$A29^2-0.5*rate+1/dt)*EurCall!S29-0.25*(sigma^2*$A29^2+(rate-d)*$A29)*EurCall!S28</f>
        <v>-3281.9491469524796</v>
      </c>
      <c r="S29">
        <f>-0.25*(sigma^2*$A29^2-(rate-d)*$A29)*EurCall!T30-(-0.5*sigma^2*$A29^2-0.5*rate+1/dt)*EurCall!T29-0.25*(sigma^2*$A29^2+(rate-d)*$A29)*EurCall!T28</f>
        <v>-3279.5975944716979</v>
      </c>
      <c r="T29">
        <f>-0.25*(sigma^2*$A29^2-(rate-d)*$A29)*EurCall!U30-(-0.5*sigma^2*$A29^2-0.5*rate+1/dt)*EurCall!U29-0.25*(sigma^2*$A29^2+(rate-d)*$A29)*EurCall!U28</f>
        <v>-3277.2446343305819</v>
      </c>
      <c r="U29">
        <f>-0.25*(sigma^2*$A29^2-(rate-d)*$A29)*EurCall!V30-(-0.5*sigma^2*$A29^2-0.5*rate+1/dt)*EurCall!V29-0.25*(sigma^2*$A29^2+(rate-d)*$A29)*EurCall!V28</f>
        <v>-3274.8902649753518</v>
      </c>
      <c r="V29">
        <f>-0.25*(sigma^2*$A29^2-(rate-d)*$A29)*EurCall!W30-(-0.5*sigma^2*$A29^2-0.5*rate+1/dt)*EurCall!W29-0.25*(sigma^2*$A29^2+(rate-d)*$A29)*EurCall!W28</f>
        <v>-3272.5344849600028</v>
      </c>
      <c r="W29">
        <f>-0.25*(sigma^2*$A29^2-(rate-d)*$A29)*EurCall!X30-(-0.5*sigma^2*$A29^2-0.5*rate+1/dt)*EurCall!X29-0.25*(sigma^2*$A29^2+(rate-d)*$A29)*EurCall!X28</f>
        <v>-3270.1772929352296</v>
      </c>
      <c r="X29">
        <f>-0.25*(sigma^2*$A29^2-(rate-d)*$A29)*EurCall!Y30-(-0.5*sigma^2*$A29^2-0.5*rate+1/dt)*EurCall!Y29-0.25*(sigma^2*$A29^2+(rate-d)*$A29)*EurCall!Y28</f>
        <v>-3267.8186876375289</v>
      </c>
      <c r="Y29">
        <f>-0.25*(sigma^2*$A29^2-(rate-d)*$A29)*EurCall!Z30-(-0.5*sigma^2*$A29^2-0.5*rate+1/dt)*EurCall!Z29-0.25*(sigma^2*$A29^2+(rate-d)*$A29)*EurCall!Z28</f>
        <v>-3265.4586678786377</v>
      </c>
      <c r="Z29">
        <f>-0.25*(sigma^2*$A29^2-(rate-d)*$A29)*EurCall!AA30-(-0.5*sigma^2*$A29^2-0.5*rate+1/dt)*EurCall!AA29-0.25*(sigma^2*$A29^2+(rate-d)*$A29)*EurCall!AA28</f>
        <v>-3263.0972325354373</v>
      </c>
      <c r="AA29">
        <f>-0.25*(sigma^2*$A29^2-(rate-d)*$A29)*EurCall!AB30-(-0.5*sigma^2*$A29^2-0.5*rate+1/dt)*EurCall!AB29-0.25*(sigma^2*$A29^2+(rate-d)*$A29)*EurCall!AB28</f>
        <v>-3260.7343805404453</v>
      </c>
      <c r="AB29">
        <f>-0.25*(sigma^2*$A29^2-(rate-d)*$A29)*EurCall!AC30-(-0.5*sigma^2*$A29^2-0.5*rate+1/dt)*EurCall!AC29-0.25*(sigma^2*$A29^2+(rate-d)*$A29)*EurCall!AC28</f>
        <v>-3258.3701108729947</v>
      </c>
      <c r="AC29">
        <f>-0.25*(sigma^2*$A29^2-(rate-d)*$A29)*EurCall!AD30-(-0.5*sigma^2*$A29^2-0.5*rate+1/dt)*EurCall!AD29-0.25*(sigma^2*$A29^2+(rate-d)*$A29)*EurCall!AD28</f>
        <v>-3256.0044225511756</v>
      </c>
      <c r="AD29">
        <f>-0.25*(sigma^2*$A29^2-(rate-d)*$A29)*EurCall!AE30-(-0.5*sigma^2*$A29^2-0.5*rate+1/dt)*EurCall!AE29-0.25*(sigma^2*$A29^2+(rate-d)*$A29)*EurCall!AE28</f>
        <v>-3253.6373146246169</v>
      </c>
      <c r="AE29">
        <f>-0.25*(sigma^2*$A29^2-(rate-d)*$A29)*EurCall!AF30-(-0.5*sigma^2*$A29^2-0.5*rate+1/dt)*EurCall!AF29-0.25*(sigma^2*$A29^2+(rate-d)*$A29)*EurCall!AF28</f>
        <v>-3251.2687861681115</v>
      </c>
      <c r="AF29">
        <f>-0.25*(sigma^2*$A29^2-(rate-d)*$A29)*EurCall!AG30-(-0.5*sigma^2*$A29^2-0.5*rate+1/dt)*EurCall!AG29-0.25*(sigma^2*$A29^2+(rate-d)*$A29)*EurCall!AG28</f>
        <v>-3248.8988362761042</v>
      </c>
      <c r="AG29">
        <f>-0.25*(sigma^2*$A29^2-(rate-d)*$A29)*EurCall!AH30-(-0.5*sigma^2*$A29^2-0.5*rate+1/dt)*EurCall!AH29-0.25*(sigma^2*$A29^2+(rate-d)*$A29)*EurCall!AH28</f>
        <v>-3246.5274640580319</v>
      </c>
      <c r="AH29">
        <f>-0.25*(sigma^2*$A29^2-(rate-d)*$A29)*EurCall!AI30-(-0.5*sigma^2*$A29^2-0.5*rate+1/dt)*EurCall!AI29-0.25*(sigma^2*$A29^2+(rate-d)*$A29)*EurCall!AI28</f>
        <v>-3244.1546686344568</v>
      </c>
      <c r="AI29">
        <f>-0.25*(sigma^2*$A29^2-(rate-d)*$A29)*EurCall!AJ30-(-0.5*sigma^2*$A29^2-0.5*rate+1/dt)*EurCall!AJ29-0.25*(sigma^2*$A29^2+(rate-d)*$A29)*EurCall!AJ28</f>
        <v>-3241.7804491339407</v>
      </c>
      <c r="AJ29">
        <f>-0.25*(sigma^2*$A29^2-(rate-d)*$A29)*EurCall!AK30-(-0.5*sigma^2*$A29^2-0.5*rate+1/dt)*EurCall!AK29-0.25*(sigma^2*$A29^2+(rate-d)*$A29)*EurCall!AK28</f>
        <v>-3239.40480469059</v>
      </c>
      <c r="AK29">
        <f>-0.25*(sigma^2*$A29^2-(rate-d)*$A29)*EurCall!AL30-(-0.5*sigma^2*$A29^2-0.5*rate+1/dt)*EurCall!AL29-0.25*(sigma^2*$A29^2+(rate-d)*$A29)*EurCall!AL28</f>
        <v>-3237.0277344421697</v>
      </c>
      <c r="AL29">
        <f>-0.25*(sigma^2*$A29^2-(rate-d)*$A29)*EurCall!AM30-(-0.5*sigma^2*$A29^2-0.5*rate+1/dt)*EurCall!AM29-0.25*(sigma^2*$A29^2+(rate-d)*$A29)*EurCall!AM28</f>
        <v>-3234.649237528713</v>
      </c>
      <c r="AM29">
        <f>-0.25*(sigma^2*$A29^2-(rate-d)*$A29)*EurCall!AN30-(-0.5*sigma^2*$A29^2-0.5*rate+1/dt)*EurCall!AN29-0.25*(sigma^2*$A29^2+(rate-d)*$A29)*EurCall!AN28</f>
        <v>-3232.2693130915204</v>
      </c>
      <c r="AN29">
        <f>-0.25*(sigma^2*$A29^2-(rate-d)*$A29)*EurCall!AO30-(-0.5*sigma^2*$A29^2-0.5*rate+1/dt)*EurCall!AO29-0.25*(sigma^2*$A29^2+(rate-d)*$A29)*EurCall!AO28</f>
        <v>-3229.8879602724719</v>
      </c>
      <c r="AO29">
        <f>-0.25*(sigma^2*$A29^2-(rate-d)*$A29)*EurCall!AP30-(-0.5*sigma^2*$A29^2-0.5*rate+1/dt)*EurCall!AP29-0.25*(sigma^2*$A29^2+(rate-d)*$A29)*EurCall!AP28</f>
        <v>-3227.5051782135783</v>
      </c>
      <c r="AP29">
        <f>-0.25*(sigma^2*$A29^2-(rate-d)*$A29)*EurCall!AQ30-(-0.5*sigma^2*$A29^2-0.5*rate+1/dt)*EurCall!AQ29-0.25*(sigma^2*$A29^2+(rate-d)*$A29)*EurCall!AQ28</f>
        <v>-3225.1209660566892</v>
      </c>
      <c r="AQ29">
        <f>-0.25*(sigma^2*$A29^2-(rate-d)*$A29)*EurCall!AR30-(-0.5*sigma^2*$A29^2-0.5*rate+1/dt)*EurCall!AR29-0.25*(sigma^2*$A29^2+(rate-d)*$A29)*EurCall!AR28</f>
        <v>-3222.7353229433293</v>
      </c>
      <c r="AR29">
        <f>-0.25*(sigma^2*$A29^2-(rate-d)*$A29)*EurCall!AS30-(-0.5*sigma^2*$A29^2-0.5*rate+1/dt)*EurCall!AS29-0.25*(sigma^2*$A29^2+(rate-d)*$A29)*EurCall!AS28</f>
        <v>-3220.3482480145976</v>
      </c>
      <c r="AS29">
        <f>-0.25*(sigma^2*$A29^2-(rate-d)*$A29)*EurCall!AT30-(-0.5*sigma^2*$A29^2-0.5*rate+1/dt)*EurCall!AT29-0.25*(sigma^2*$A29^2+(rate-d)*$A29)*EurCall!AT28</f>
        <v>-3217.9597404111196</v>
      </c>
      <c r="AT29">
        <f>-0.25*(sigma^2*$A29^2-(rate-d)*$A29)*EurCall!AU30-(-0.5*sigma^2*$A29^2-0.5*rate+1/dt)*EurCall!AU29-0.25*(sigma^2*$A29^2+(rate-d)*$A29)*EurCall!AU28</f>
        <v>-3215.5697992730234</v>
      </c>
      <c r="AU29">
        <f>-0.25*(sigma^2*$A29^2-(rate-d)*$A29)*EurCall!AV30-(-0.5*sigma^2*$A29^2-0.5*rate+1/dt)*EurCall!AV29-0.25*(sigma^2*$A29^2+(rate-d)*$A29)*EurCall!AV28</f>
        <v>-3213.1784237399265</v>
      </c>
      <c r="AV29">
        <f>-0.25*(sigma^2*$A29^2-(rate-d)*$A29)*EurCall!AW30-(-0.5*sigma^2*$A29^2-0.5*rate+1/dt)*EurCall!AW29-0.25*(sigma^2*$A29^2+(rate-d)*$A29)*EurCall!AW28</f>
        <v>-3210.7856129509337</v>
      </c>
      <c r="AW29">
        <f>-0.25*(sigma^2*$A29^2-(rate-d)*$A29)*EurCall!AX30-(-0.5*sigma^2*$A29^2-0.5*rate+1/dt)*EurCall!AX29-0.25*(sigma^2*$A29^2+(rate-d)*$A29)*EurCall!AX28</f>
        <v>-3208.3913660446319</v>
      </c>
      <c r="AX29">
        <f>-0.25*(sigma^2*$A29^2-(rate-d)*$A29)*EurCall!AY30-(-0.5*sigma^2*$A29^2-0.5*rate+1/dt)*EurCall!AY29-0.25*(sigma^2*$A29^2+(rate-d)*$A29)*EurCall!AY28</f>
        <v>-3205.9956821590927</v>
      </c>
      <c r="AY29">
        <f>-0.25*(sigma^2*$A29^2-(rate-d)*$A29)*EurCall!AZ30-(-0.5*sigma^2*$A29^2-0.5*rate+1/dt)*EurCall!AZ29-0.25*(sigma^2*$A29^2+(rate-d)*$A29)*EurCall!AZ28</f>
        <v>-3203.5985604318703</v>
      </c>
      <c r="AZ29">
        <f>-0.25*(sigma^2*$A29^2-(rate-d)*$A29)*EurCall!BA30-(-0.5*sigma^2*$A29^2-0.5*rate+1/dt)*EurCall!BA29-0.25*(sigma^2*$A29^2+(rate-d)*$A29)*EurCall!BA28</f>
        <v>-3201.2</v>
      </c>
      <c r="BA29" s="6"/>
    </row>
    <row r="30" spans="1:53" x14ac:dyDescent="0.2">
      <c r="A30">
        <f t="shared" si="3"/>
        <v>35</v>
      </c>
      <c r="B30" s="3">
        <f t="shared" si="0"/>
        <v>70</v>
      </c>
      <c r="C30">
        <f>-0.25*(sigma^2*$A30^2-(rate-d)*$A30)*EurCall!D31-(-0.5*sigma^2*$A30^2-0.5*rate+1/dt)*EurCall!D30-0.25*(sigma^2*$A30^2+(rate-d)*$A30)*EurCall!D29</f>
        <v>-3117.0571762861209</v>
      </c>
      <c r="D30">
        <f>-0.25*(sigma^2*$A30^2-(rate-d)*$A30)*EurCall!E31-(-0.5*sigma^2*$A30^2-0.5*rate+1/dt)*EurCall!E30-0.25*(sigma^2*$A30^2+(rate-d)*$A30)*EurCall!E29</f>
        <v>-3114.7261535063126</v>
      </c>
      <c r="E30">
        <f>-0.25*(sigma^2*$A30^2-(rate-d)*$A30)*EurCall!F31-(-0.5*sigma^2*$A30^2-0.5*rate+1/dt)*EurCall!F30-0.25*(sigma^2*$A30^2+(rate-d)*$A30)*EurCall!F29</f>
        <v>-3112.3937980592964</v>
      </c>
      <c r="F30">
        <f>-0.25*(sigma^2*$A30^2-(rate-d)*$A30)*EurCall!G31-(-0.5*sigma^2*$A30^2-0.5*rate+1/dt)*EurCall!G30-0.25*(sigma^2*$A30^2+(rate-d)*$A30)*EurCall!G29</f>
        <v>-3110.060103283251</v>
      </c>
      <c r="G30">
        <f>-0.25*(sigma^2*$A30^2-(rate-d)*$A30)*EurCall!H31-(-0.5*sigma^2*$A30^2-0.5*rate+1/dt)*EurCall!H30-0.25*(sigma^2*$A30^2+(rate-d)*$A30)*EurCall!H29</f>
        <v>-3107.7250627936123</v>
      </c>
      <c r="H30">
        <f>-0.25*(sigma^2*$A30^2-(rate-d)*$A30)*EurCall!I31-(-0.5*sigma^2*$A30^2-0.5*rate+1/dt)*EurCall!I30-0.25*(sigma^2*$A30^2+(rate-d)*$A30)*EurCall!I29</f>
        <v>-3105.3886704912147</v>
      </c>
      <c r="I30">
        <f>-0.25*(sigma^2*$A30^2-(rate-d)*$A30)*EurCall!J31-(-0.5*sigma^2*$A30^2-0.5*rate+1/dt)*EurCall!J30-0.25*(sigma^2*$A30^2+(rate-d)*$A30)*EurCall!J29</f>
        <v>-3103.0509205688568</v>
      </c>
      <c r="J30">
        <f>-0.25*(sigma^2*$A30^2-(rate-d)*$A30)*EurCall!K31-(-0.5*sigma^2*$A30^2-0.5*rate+1/dt)*EurCall!K30-0.25*(sigma^2*$A30^2+(rate-d)*$A30)*EurCall!K29</f>
        <v>-3100.7118075161829</v>
      </c>
      <c r="K30">
        <f>-0.25*(sigma^2*$A30^2-(rate-d)*$A30)*EurCall!L31-(-0.5*sigma^2*$A30^2-0.5*rate+1/dt)*EurCall!L30-0.25*(sigma^2*$A30^2+(rate-d)*$A30)*EurCall!L29</f>
        <v>-3098.371326122799</v>
      </c>
      <c r="L30">
        <f>-0.25*(sigma^2*$A30^2-(rate-d)*$A30)*EurCall!M31-(-0.5*sigma^2*$A30^2-0.5*rate+1/dt)*EurCall!M30-0.25*(sigma^2*$A30^2+(rate-d)*$A30)*EurCall!M29</f>
        <v>-3096.0294714795382</v>
      </c>
      <c r="M30">
        <f>-0.25*(sigma^2*$A30^2-(rate-d)*$A30)*EurCall!N31-(-0.5*sigma^2*$A30^2-0.5*rate+1/dt)*EurCall!N30-0.25*(sigma^2*$A30^2+(rate-d)*$A30)*EurCall!N29</f>
        <v>-3093.6862389778225</v>
      </c>
      <c r="N30">
        <f>-0.25*(sigma^2*$A30^2-(rate-d)*$A30)*EurCall!O31-(-0.5*sigma^2*$A30^2-0.5*rate+1/dt)*EurCall!O30-0.25*(sigma^2*$A30^2+(rate-d)*$A30)*EurCall!O29</f>
        <v>-3091.3416243071006</v>
      </c>
      <c r="O30">
        <f>-0.25*(sigma^2*$A30^2-(rate-d)*$A30)*EurCall!P31-(-0.5*sigma^2*$A30^2-0.5*rate+1/dt)*EurCall!P30-0.25*(sigma^2*$A30^2+(rate-d)*$A30)*EurCall!P29</f>
        <v>-3088.9956234503416</v>
      </c>
      <c r="P30">
        <f>-0.25*(sigma^2*$A30^2-(rate-d)*$A30)*EurCall!Q31-(-0.5*sigma^2*$A30^2-0.5*rate+1/dt)*EurCall!Q30-0.25*(sigma^2*$A30^2+(rate-d)*$A30)*EurCall!Q29</f>
        <v>-3086.6482326776181</v>
      </c>
      <c r="Q30">
        <f>-0.25*(sigma^2*$A30^2-(rate-d)*$A30)*EurCall!R31-(-0.5*sigma^2*$A30^2-0.5*rate+1/dt)*EurCall!R30-0.25*(sigma^2*$A30^2+(rate-d)*$A30)*EurCall!R29</f>
        <v>-3084.2994485378376</v>
      </c>
      <c r="R30">
        <f>-0.25*(sigma^2*$A30^2-(rate-d)*$A30)*EurCall!S31-(-0.5*sigma^2*$A30^2-0.5*rate+1/dt)*EurCall!S30-0.25*(sigma^2*$A30^2+(rate-d)*$A30)*EurCall!S29</f>
        <v>-3081.9492678486954</v>
      </c>
      <c r="S30">
        <f>-0.25*(sigma^2*$A30^2-(rate-d)*$A30)*EurCall!T31-(-0.5*sigma^2*$A30^2-0.5*rate+1/dt)*EurCall!T30-0.25*(sigma^2*$A30^2+(rate-d)*$A30)*EurCall!T29</f>
        <v>-3079.5976876849782</v>
      </c>
      <c r="T30">
        <f>-0.25*(sigma^2*$A30^2-(rate-d)*$A30)*EurCall!U31-(-0.5*sigma^2*$A30^2-0.5*rate+1/dt)*EurCall!U30-0.25*(sigma^2*$A30^2+(rate-d)*$A30)*EurCall!U29</f>
        <v>-3077.2447053653736</v>
      </c>
      <c r="U30">
        <f>-0.25*(sigma^2*$A30^2-(rate-d)*$A30)*EurCall!V31-(-0.5*sigma^2*$A30^2-0.5*rate+1/dt)*EurCall!V30-0.25*(sigma^2*$A30^2+(rate-d)*$A30)*EurCall!V29</f>
        <v>-3074.8903184379606</v>
      </c>
      <c r="V30">
        <f>-0.25*(sigma^2*$A30^2-(rate-d)*$A30)*EurCall!W31-(-0.5*sigma^2*$A30^2-0.5*rate+1/dt)*EurCall!W30-0.25*(sigma^2*$A30^2+(rate-d)*$A30)*EurCall!W29</f>
        <v>-3072.5345246645993</v>
      </c>
      <c r="W30">
        <f>-0.25*(sigma^2*$A30^2-(rate-d)*$A30)*EurCall!X31-(-0.5*sigma^2*$A30^2-0.5*rate+1/dt)*EurCall!X30-0.25*(sigma^2*$A30^2+(rate-d)*$A30)*EurCall!X29</f>
        <v>-3070.1773220044602</v>
      </c>
      <c r="X30">
        <f>-0.25*(sigma^2*$A30^2-(rate-d)*$A30)*EurCall!Y31-(-0.5*sigma^2*$A30^2-0.5*rate+1/dt)*EurCall!Y30-0.25*(sigma^2*$A30^2+(rate-d)*$A30)*EurCall!Y29</f>
        <v>-3067.8187085969457</v>
      </c>
      <c r="Y30">
        <f>-0.25*(sigma^2*$A30^2-(rate-d)*$A30)*EurCall!Z31-(-0.5*sigma^2*$A30^2-0.5*rate+1/dt)*EurCall!Z30-0.25*(sigma^2*$A30^2+(rate-d)*$A30)*EurCall!Z29</f>
        <v>-3065.4586827442877</v>
      </c>
      <c r="Z30">
        <f>-0.25*(sigma^2*$A30^2-(rate-d)*$A30)*EurCall!AA31-(-0.5*sigma^2*$A30^2-0.5*rate+1/dt)*EurCall!AA30-0.25*(sigma^2*$A30^2+(rate-d)*$A30)*EurCall!AA29</f>
        <v>-3063.097242894095</v>
      </c>
      <c r="AA30">
        <f>-0.25*(sigma^2*$A30^2-(rate-d)*$A30)*EurCall!AB31-(-0.5*sigma^2*$A30^2-0.5*rate+1/dt)*EurCall!AB30-0.25*(sigma^2*$A30^2+(rate-d)*$A30)*EurCall!AB29</f>
        <v>-3060.7343876221307</v>
      </c>
      <c r="AB30">
        <f>-0.25*(sigma^2*$A30^2-(rate-d)*$A30)*EurCall!AC31-(-0.5*sigma^2*$A30^2-0.5*rate+1/dt)*EurCall!AC30-0.25*(sigma^2*$A30^2+(rate-d)*$A30)*EurCall!AC29</f>
        <v>-3058.3701156156012</v>
      </c>
      <c r="AC30">
        <f>-0.25*(sigma^2*$A30^2-(rate-d)*$A30)*EurCall!AD31-(-0.5*sigma^2*$A30^2-0.5*rate+1/dt)*EurCall!AD30-0.25*(sigma^2*$A30^2+(rate-d)*$A30)*EurCall!AD29</f>
        <v>-3056.0044256572023</v>
      </c>
      <c r="AD30">
        <f>-0.25*(sigma^2*$A30^2-(rate-d)*$A30)*EurCall!AE31-(-0.5*sigma^2*$A30^2-0.5*rate+1/dt)*EurCall!AE30-0.25*(sigma^2*$A30^2+(rate-d)*$A30)*EurCall!AE29</f>
        <v>-3053.6373166101484</v>
      </c>
      <c r="AE30">
        <f>-0.25*(sigma^2*$A30^2-(rate-d)*$A30)*EurCall!AF31-(-0.5*sigma^2*$A30^2-0.5*rate+1/dt)*EurCall!AF30-0.25*(sigma^2*$A30^2+(rate-d)*$A30)*EurCall!AF29</f>
        <v>-3051.2687874043722</v>
      </c>
      <c r="AF30">
        <f>-0.25*(sigma^2*$A30^2-(rate-d)*$A30)*EurCall!AG31-(-0.5*sigma^2*$A30^2-0.5*rate+1/dt)*EurCall!AG30-0.25*(sigma^2*$A30^2+(rate-d)*$A30)*EurCall!AG29</f>
        <v>-3048.8988370240559</v>
      </c>
      <c r="AG30">
        <f>-0.25*(sigma^2*$A30^2-(rate-d)*$A30)*EurCall!AH31-(-0.5*sigma^2*$A30^2-0.5*rate+1/dt)*EurCall!AH30-0.25*(sigma^2*$A30^2+(rate-d)*$A30)*EurCall!AH29</f>
        <v>-3046.5274644965675</v>
      </c>
      <c r="AH30">
        <f>-0.25*(sigma^2*$A30^2-(rate-d)*$A30)*EurCall!AI31-(-0.5*sigma^2*$A30^2-0.5*rate+1/dt)*EurCall!AI30-0.25*(sigma^2*$A30^2+(rate-d)*$A30)*EurCall!AI29</f>
        <v>-3044.1546688828798</v>
      </c>
      <c r="AI30">
        <f>-0.25*(sigma^2*$A30^2-(rate-d)*$A30)*EurCall!AJ31-(-0.5*sigma^2*$A30^2-0.5*rate+1/dt)*EurCall!AJ30-0.25*(sigma^2*$A30^2+(rate-d)*$A30)*EurCall!AJ29</f>
        <v>-3041.780449269444</v>
      </c>
      <c r="AJ30">
        <f>-0.25*(sigma^2*$A30^2-(rate-d)*$A30)*EurCall!AK31-(-0.5*sigma^2*$A30^2-0.5*rate+1/dt)*EurCall!AK30-0.25*(sigma^2*$A30^2+(rate-d)*$A30)*EurCall!AK29</f>
        <v>-3039.4048047614792</v>
      </c>
      <c r="AK30">
        <f>-0.25*(sigma^2*$A30^2-(rate-d)*$A30)*EurCall!AL31-(-0.5*sigma^2*$A30^2-0.5*rate+1/dt)*EurCall!AL30-0.25*(sigma^2*$A30^2+(rate-d)*$A30)*EurCall!AL29</f>
        <v>-3037.0277344775823</v>
      </c>
      <c r="AL30">
        <f>-0.25*(sigma^2*$A30^2-(rate-d)*$A30)*EurCall!AM31-(-0.5*sigma^2*$A30^2-0.5*rate+1/dt)*EurCall!AM30-0.25*(sigma^2*$A30^2+(rate-d)*$A30)*EurCall!AM29</f>
        <v>-3034.6492375455186</v>
      </c>
      <c r="AM30">
        <f>-0.25*(sigma^2*$A30^2-(rate-d)*$A30)*EurCall!AN31-(-0.5*sigma^2*$A30^2-0.5*rate+1/dt)*EurCall!AN30-0.25*(sigma^2*$A30^2+(rate-d)*$A30)*EurCall!AN29</f>
        <v>-3032.2693130990519</v>
      </c>
      <c r="AN30">
        <f>-0.25*(sigma^2*$A30^2-(rate-d)*$A30)*EurCall!AO31-(-0.5*sigma^2*$A30^2-0.5*rate+1/dt)*EurCall!AO30-0.25*(sigma^2*$A30^2+(rate-d)*$A30)*EurCall!AO29</f>
        <v>-3029.8879602756379</v>
      </c>
      <c r="AO30">
        <f>-0.25*(sigma^2*$A30^2-(rate-d)*$A30)*EurCall!AP31-(-0.5*sigma^2*$A30^2-0.5*rate+1/dt)*EurCall!AP30-0.25*(sigma^2*$A30^2+(rate-d)*$A30)*EurCall!AP29</f>
        <v>-3027.5051782148162</v>
      </c>
      <c r="AP30">
        <f>-0.25*(sigma^2*$A30^2-(rate-d)*$A30)*EurCall!AQ31-(-0.5*sigma^2*$A30^2-0.5*rate+1/dt)*EurCall!AQ30-0.25*(sigma^2*$A30^2+(rate-d)*$A30)*EurCall!AQ29</f>
        <v>-3025.1209660571358</v>
      </c>
      <c r="AQ30">
        <f>-0.25*(sigma^2*$A30^2-(rate-d)*$A30)*EurCall!AR31-(-0.5*sigma^2*$A30^2-0.5*rate+1/dt)*EurCall!AR30-0.25*(sigma^2*$A30^2+(rate-d)*$A30)*EurCall!AR29</f>
        <v>-3022.7353229434757</v>
      </c>
      <c r="AR30">
        <f>-0.25*(sigma^2*$A30^2-(rate-d)*$A30)*EurCall!AS31-(-0.5*sigma^2*$A30^2-0.5*rate+1/dt)*EurCall!AS30-0.25*(sigma^2*$A30^2+(rate-d)*$A30)*EurCall!AS29</f>
        <v>-3020.3482480146404</v>
      </c>
      <c r="AS30">
        <f>-0.25*(sigma^2*$A30^2-(rate-d)*$A30)*EurCall!AT31-(-0.5*sigma^2*$A30^2-0.5*rate+1/dt)*EurCall!AT30-0.25*(sigma^2*$A30^2+(rate-d)*$A30)*EurCall!AT29</f>
        <v>-3017.959740411131</v>
      </c>
      <c r="AT30">
        <f>-0.25*(sigma^2*$A30^2-(rate-d)*$A30)*EurCall!AU31-(-0.5*sigma^2*$A30^2-0.5*rate+1/dt)*EurCall!AU30-0.25*(sigma^2*$A30^2+(rate-d)*$A30)*EurCall!AU29</f>
        <v>-3015.5697992730261</v>
      </c>
      <c r="AU30">
        <f>-0.25*(sigma^2*$A30^2-(rate-d)*$A30)*EurCall!AV31-(-0.5*sigma^2*$A30^2-0.5*rate+1/dt)*EurCall!AV30-0.25*(sigma^2*$A30^2+(rate-d)*$A30)*EurCall!AV29</f>
        <v>-3013.1784237399274</v>
      </c>
      <c r="AV30">
        <f>-0.25*(sigma^2*$A30^2-(rate-d)*$A30)*EurCall!AW31-(-0.5*sigma^2*$A30^2-0.5*rate+1/dt)*EurCall!AW30-0.25*(sigma^2*$A30^2+(rate-d)*$A30)*EurCall!AW29</f>
        <v>-3010.7856129509337</v>
      </c>
      <c r="AW30">
        <f>-0.25*(sigma^2*$A30^2-(rate-d)*$A30)*EurCall!AX31-(-0.5*sigma^2*$A30^2-0.5*rate+1/dt)*EurCall!AX30-0.25*(sigma^2*$A30^2+(rate-d)*$A30)*EurCall!AX29</f>
        <v>-3008.3913660446319</v>
      </c>
      <c r="AX30">
        <f>-0.25*(sigma^2*$A30^2-(rate-d)*$A30)*EurCall!AY31-(-0.5*sigma^2*$A30^2-0.5*rate+1/dt)*EurCall!AY30-0.25*(sigma^2*$A30^2+(rate-d)*$A30)*EurCall!AY29</f>
        <v>-3005.9956821590927</v>
      </c>
      <c r="AY30">
        <f>-0.25*(sigma^2*$A30^2-(rate-d)*$A30)*EurCall!AZ31-(-0.5*sigma^2*$A30^2-0.5*rate+1/dt)*EurCall!AZ30-0.25*(sigma^2*$A30^2+(rate-d)*$A30)*EurCall!AZ29</f>
        <v>-3003.5985604318703</v>
      </c>
      <c r="AZ30">
        <f>-0.25*(sigma^2*$A30^2-(rate-d)*$A30)*EurCall!BA31-(-0.5*sigma^2*$A30^2-0.5*rate+1/dt)*EurCall!BA30-0.25*(sigma^2*$A30^2+(rate-d)*$A30)*EurCall!BA29</f>
        <v>-3001.2000000000003</v>
      </c>
      <c r="BA30" s="6"/>
    </row>
    <row r="31" spans="1:53" x14ac:dyDescent="0.2">
      <c r="A31">
        <f t="shared" si="3"/>
        <v>34</v>
      </c>
      <c r="B31" s="3">
        <f t="shared" si="0"/>
        <v>68</v>
      </c>
      <c r="C31">
        <f>-0.25*(sigma^2*$A31^2-(rate-d)*$A31)*EurCall!D32-(-0.5*sigma^2*$A31^2-0.5*rate+1/dt)*EurCall!D31-0.25*(sigma^2*$A31^2+(rate-d)*$A31)*EurCall!D30</f>
        <v>-2917.0620516068107</v>
      </c>
      <c r="D31">
        <f>-0.25*(sigma^2*$A31^2-(rate-d)*$A31)*EurCall!E32-(-0.5*sigma^2*$A31^2-0.5*rate+1/dt)*EurCall!E31-0.25*(sigma^2*$A31^2+(rate-d)*$A31)*EurCall!E30</f>
        <v>-2914.7304117430972</v>
      </c>
      <c r="E31">
        <f>-0.25*(sigma^2*$A31^2-(rate-d)*$A31)*EurCall!F32-(-0.5*sigma^2*$A31^2-0.5*rate+1/dt)*EurCall!F31-0.25*(sigma^2*$A31^2+(rate-d)*$A31)*EurCall!F30</f>
        <v>-2912.397499972134</v>
      </c>
      <c r="F31">
        <f>-0.25*(sigma^2*$A31^2-(rate-d)*$A31)*EurCall!G32-(-0.5*sigma^2*$A31^2-0.5*rate+1/dt)*EurCall!G31-0.25*(sigma^2*$A31^2+(rate-d)*$A31)*EurCall!G30</f>
        <v>-2910.0633057777377</v>
      </c>
      <c r="G31">
        <f>-0.25*(sigma^2*$A31^2-(rate-d)*$A31)*EurCall!H32-(-0.5*sigma^2*$A31^2-0.5*rate+1/dt)*EurCall!H31-0.25*(sigma^2*$A31^2+(rate-d)*$A31)*EurCall!H30</f>
        <v>-2907.7278189593403</v>
      </c>
      <c r="H31">
        <f>-0.25*(sigma^2*$A31^2-(rate-d)*$A31)*EurCall!I32-(-0.5*sigma^2*$A31^2-0.5*rate+1/dt)*EurCall!I31-0.25*(sigma^2*$A31^2+(rate-d)*$A31)*EurCall!I30</f>
        <v>-2905.3910296553022</v>
      </c>
      <c r="I31">
        <f>-0.25*(sigma^2*$A31^2-(rate-d)*$A31)*EurCall!J32-(-0.5*sigma^2*$A31^2-0.5*rate+1/dt)*EurCall!J31-0.25*(sigma^2*$A31^2+(rate-d)*$A31)*EurCall!J30</f>
        <v>-2903.0529283646447</v>
      </c>
      <c r="J31">
        <f>-0.25*(sigma^2*$A31^2-(rate-d)*$A31)*EurCall!K32-(-0.5*sigma^2*$A31^2-0.5*rate+1/dt)*EurCall!K31-0.25*(sigma^2*$A31^2+(rate-d)*$A31)*EurCall!K30</f>
        <v>-2900.7135059669281</v>
      </c>
      <c r="K31">
        <f>-0.25*(sigma^2*$A31^2-(rate-d)*$A31)*EurCall!L32-(-0.5*sigma^2*$A31^2-0.5*rate+1/dt)*EurCall!L31-0.25*(sigma^2*$A31^2+(rate-d)*$A31)*EurCall!L30</f>
        <v>-2898.3727537400091</v>
      </c>
      <c r="L31">
        <f>-0.25*(sigma^2*$A31^2-(rate-d)*$A31)*EurCall!M32-(-0.5*sigma^2*$A31^2-0.5*rate+1/dt)*EurCall!M31-0.25*(sigma^2*$A31^2+(rate-d)*$A31)*EurCall!M30</f>
        <v>-2896.030663375439</v>
      </c>
      <c r="M31">
        <f>-0.25*(sigma^2*$A31^2-(rate-d)*$A31)*EurCall!N32-(-0.5*sigma^2*$A31^2-0.5*rate+1/dt)*EurCall!N31-0.25*(sigma^2*$A31^2+(rate-d)*$A31)*EurCall!N30</f>
        <v>-2893.6872269912369</v>
      </c>
      <c r="N31">
        <f>-0.25*(sigma^2*$A31^2-(rate-d)*$A31)*EurCall!O32-(-0.5*sigma^2*$A31^2-0.5*rate+1/dt)*EurCall!O31-0.25*(sigma^2*$A31^2+(rate-d)*$A31)*EurCall!O30</f>
        <v>-2891.3424371418369</v>
      </c>
      <c r="O31">
        <f>-0.25*(sigma^2*$A31^2-(rate-d)*$A31)*EurCall!P32-(-0.5*sigma^2*$A31^2-0.5*rate+1/dt)*EurCall!P31-0.25*(sigma^2*$A31^2+(rate-d)*$A31)*EurCall!P30</f>
        <v>-2888.9962868249872</v>
      </c>
      <c r="P31">
        <f>-0.25*(sigma^2*$A31^2-(rate-d)*$A31)*EurCall!Q32-(-0.5*sigma^2*$A31^2-0.5*rate+1/dt)*EurCall!Q31-0.25*(sigma^2*$A31^2+(rate-d)*$A31)*EurCall!Q30</f>
        <v>-2886.6487694854568</v>
      </c>
      <c r="Q31">
        <f>-0.25*(sigma^2*$A31^2-(rate-d)*$A31)*EurCall!R32-(-0.5*sigma^2*$A31^2-0.5*rate+1/dt)*EurCall!R31-0.25*(sigma^2*$A31^2+(rate-d)*$A31)*EurCall!R30</f>
        <v>-2884.2998790154079</v>
      </c>
      <c r="R31">
        <f>-0.25*(sigma^2*$A31^2-(rate-d)*$A31)*EurCall!S32-(-0.5*sigma^2*$A31^2-0.5*rate+1/dt)*EurCall!S31-0.25*(sigma^2*$A31^2+(rate-d)*$A31)*EurCall!S30</f>
        <v>-2881.949609751362</v>
      </c>
      <c r="S31">
        <f>-0.25*(sigma^2*$A31^2-(rate-d)*$A31)*EurCall!T32-(-0.5*sigma^2*$A31^2-0.5*rate+1/dt)*EurCall!T31-0.25*(sigma^2*$A31^2+(rate-d)*$A31)*EurCall!T30</f>
        <v>-2879.5979564677305</v>
      </c>
      <c r="T31">
        <f>-0.25*(sigma^2*$A31^2-(rate-d)*$A31)*EurCall!U32-(-0.5*sigma^2*$A31^2-0.5*rate+1/dt)*EurCall!U31-0.25*(sigma^2*$A31^2+(rate-d)*$A31)*EurCall!U30</f>
        <v>-2877.2449143669346</v>
      </c>
      <c r="U31">
        <f>-0.25*(sigma^2*$A31^2-(rate-d)*$A31)*EurCall!V32-(-0.5*sigma^2*$A31^2-0.5*rate+1/dt)*EurCall!V31-0.25*(sigma^2*$A31^2+(rate-d)*$A31)*EurCall!V30</f>
        <v>-2874.8904790662236</v>
      </c>
      <c r="V31">
        <f>-0.25*(sigma^2*$A31^2-(rate-d)*$A31)*EurCall!W32-(-0.5*sigma^2*$A31^2-0.5*rate+1/dt)*EurCall!W31-0.25*(sigma^2*$A31^2+(rate-d)*$A31)*EurCall!W30</f>
        <v>-2872.5346465813441</v>
      </c>
      <c r="W31">
        <f>-0.25*(sigma^2*$A31^2-(rate-d)*$A31)*EurCall!X32-(-0.5*sigma^2*$A31^2-0.5*rate+1/dt)*EurCall!X31-0.25*(sigma^2*$A31^2+(rate-d)*$A31)*EurCall!X30</f>
        <v>-2870.1774133072977</v>
      </c>
      <c r="X31">
        <f>-0.25*(sigma^2*$A31^2-(rate-d)*$A31)*EurCall!Y32-(-0.5*sigma^2*$A31^2-0.5*rate+1/dt)*EurCall!Y31-0.25*(sigma^2*$A31^2+(rate-d)*$A31)*EurCall!Y30</f>
        <v>-2867.8187759964867</v>
      </c>
      <c r="Y31">
        <f>-0.25*(sigma^2*$A31^2-(rate-d)*$A31)*EurCall!Z32-(-0.5*sigma^2*$A31^2-0.5*rate+1/dt)*EurCall!Z31-0.25*(sigma^2*$A31^2+(rate-d)*$A31)*EurCall!Z30</f>
        <v>-2865.4587317346145</v>
      </c>
      <c r="Z31">
        <f>-0.25*(sigma^2*$A31^2-(rate-d)*$A31)*EurCall!AA32-(-0.5*sigma^2*$A31^2-0.5*rate+1/dt)*EurCall!AA31-0.25*(sigma^2*$A31^2+(rate-d)*$A31)*EurCall!AA30</f>
        <v>-2863.0972779147719</v>
      </c>
      <c r="AA31">
        <f>-0.25*(sigma^2*$A31^2-(rate-d)*$A31)*EurCall!AB32-(-0.5*sigma^2*$A31^2-0.5*rate+1/dt)*EurCall!AB31-0.25*(sigma^2*$A31^2+(rate-d)*$A31)*EurCall!AB30</f>
        <v>-2860.7344122101836</v>
      </c>
      <c r="AB31">
        <f>-0.25*(sigma^2*$A31^2-(rate-d)*$A31)*EurCall!AC32-(-0.5*sigma^2*$A31^2-0.5*rate+1/dt)*EurCall!AC31-0.25*(sigma^2*$A31^2+(rate-d)*$A31)*EurCall!AC30</f>
        <v>-2858.3701325461316</v>
      </c>
      <c r="AC31">
        <f>-0.25*(sigma^2*$A31^2-(rate-d)*$A31)*EurCall!AD32-(-0.5*sigma^2*$A31^2-0.5*rate+1/dt)*EurCall!AD31-0.25*(sigma^2*$A31^2+(rate-d)*$A31)*EurCall!AD30</f>
        <v>-2856.0044370716018</v>
      </c>
      <c r="AD31">
        <f>-0.25*(sigma^2*$A31^2-(rate-d)*$A31)*EurCall!AE32-(-0.5*sigma^2*$A31^2-0.5*rate+1/dt)*EurCall!AE31-0.25*(sigma^2*$A31^2+(rate-d)*$A31)*EurCall!AE30</f>
        <v>-2853.6373241311903</v>
      </c>
      <c r="AE31">
        <f>-0.25*(sigma^2*$A31^2-(rate-d)*$A31)*EurCall!AF32-(-0.5*sigma^2*$A31^2-0.5*rate+1/dt)*EurCall!AF31-0.25*(sigma^2*$A31^2+(rate-d)*$A31)*EurCall!AF30</f>
        <v>-2851.2687922378154</v>
      </c>
      <c r="AF31">
        <f>-0.25*(sigma^2*$A31^2-(rate-d)*$A31)*EurCall!AG32-(-0.5*sigma^2*$A31^2-0.5*rate+1/dt)*EurCall!AG31-0.25*(sigma^2*$A31^2+(rate-d)*$A31)*EurCall!AG30</f>
        <v>-2848.8988400467188</v>
      </c>
      <c r="AG31">
        <f>-0.25*(sigma^2*$A31^2-(rate-d)*$A31)*EurCall!AH32-(-0.5*sigma^2*$A31^2-0.5*rate+1/dt)*EurCall!AH31-0.25*(sigma^2*$A31^2+(rate-d)*$A31)*EurCall!AH30</f>
        <v>-2846.5274663312043</v>
      </c>
      <c r="AH31">
        <f>-0.25*(sigma^2*$A31^2-(rate-d)*$A31)*EurCall!AI32-(-0.5*sigma^2*$A31^2-0.5*rate+1/dt)*EurCall!AI31-0.25*(sigma^2*$A31^2+(rate-d)*$A31)*EurCall!AI30</f>
        <v>-2844.1546699604896</v>
      </c>
      <c r="AI31">
        <f>-0.25*(sigma^2*$A31^2-(rate-d)*$A31)*EurCall!AJ32-(-0.5*sigma^2*$A31^2-0.5*rate+1/dt)*EurCall!AJ31-0.25*(sigma^2*$A31^2+(rate-d)*$A31)*EurCall!AJ30</f>
        <v>-2841.7804498799246</v>
      </c>
      <c r="AJ31">
        <f>-0.25*(sigma^2*$A31^2-(rate-d)*$A31)*EurCall!AK32-(-0.5*sigma^2*$A31^2-0.5*rate+1/dt)*EurCall!AK31-0.25*(sigma^2*$A31^2+(rate-d)*$A31)*EurCall!AK30</f>
        <v>-2839.4048050937736</v>
      </c>
      <c r="AK31">
        <f>-0.25*(sigma^2*$A31^2-(rate-d)*$A31)*EurCall!AL32-(-0.5*sigma^2*$A31^2-0.5*rate+1/dt)*EurCall!AL31-0.25*(sigma^2*$A31^2+(rate-d)*$A31)*EurCall!AL30</f>
        <v>-2837.0277346506082</v>
      </c>
      <c r="AL31">
        <f>-0.25*(sigma^2*$A31^2-(rate-d)*$A31)*EurCall!AM32-(-0.5*sigma^2*$A31^2-0.5*rate+1/dt)*EurCall!AM31-0.25*(sigma^2*$A31^2+(rate-d)*$A31)*EurCall!AM30</f>
        <v>-2834.6492376312694</v>
      </c>
      <c r="AM31">
        <f>-0.25*(sigma^2*$A31^2-(rate-d)*$A31)*EurCall!AN32-(-0.5*sigma^2*$A31^2-0.5*rate+1/dt)*EurCall!AN31-0.25*(sigma^2*$A31^2+(rate-d)*$A31)*EurCall!AN30</f>
        <v>-2832.2693131392634</v>
      </c>
      <c r="AN31">
        <f>-0.25*(sigma^2*$A31^2-(rate-d)*$A31)*EurCall!AO32-(-0.5*sigma^2*$A31^2-0.5*rate+1/dt)*EurCall!AO31-0.25*(sigma^2*$A31^2+(rate-d)*$A31)*EurCall!AO30</f>
        <v>-2829.8879602933584</v>
      </c>
      <c r="AO31">
        <f>-0.25*(sigma^2*$A31^2-(rate-d)*$A31)*EurCall!AP32-(-0.5*sigma^2*$A31^2-0.5*rate+1/dt)*EurCall!AP31-0.25*(sigma^2*$A31^2+(rate-d)*$A31)*EurCall!AP30</f>
        <v>-2827.5051782220958</v>
      </c>
      <c r="AP31">
        <f>-0.25*(sigma^2*$A31^2-(rate-d)*$A31)*EurCall!AQ32-(-0.5*sigma^2*$A31^2-0.5*rate+1/dt)*EurCall!AQ31-0.25*(sigma^2*$A31^2+(rate-d)*$A31)*EurCall!AQ30</f>
        <v>-2825.1209660598965</v>
      </c>
      <c r="AQ31">
        <f>-0.25*(sigma^2*$A31^2-(rate-d)*$A31)*EurCall!AR32-(-0.5*sigma^2*$A31^2-0.5*rate+1/dt)*EurCall!AR31-0.25*(sigma^2*$A31^2+(rate-d)*$A31)*EurCall!AR30</f>
        <v>-2822.7353229444311</v>
      </c>
      <c r="AR31">
        <f>-0.25*(sigma^2*$A31^2-(rate-d)*$A31)*EurCall!AS32-(-0.5*sigma^2*$A31^2-0.5*rate+1/dt)*EurCall!AS31-0.25*(sigma^2*$A31^2+(rate-d)*$A31)*EurCall!AS30</f>
        <v>-2820.3482480149378</v>
      </c>
      <c r="AS31">
        <f>-0.25*(sigma^2*$A31^2-(rate-d)*$A31)*EurCall!AT32-(-0.5*sigma^2*$A31^2-0.5*rate+1/dt)*EurCall!AT31-0.25*(sigma^2*$A31^2+(rate-d)*$A31)*EurCall!AT30</f>
        <v>-2817.9597404112124</v>
      </c>
      <c r="AT31">
        <f>-0.25*(sigma^2*$A31^2-(rate-d)*$A31)*EurCall!AU32-(-0.5*sigma^2*$A31^2-0.5*rate+1/dt)*EurCall!AU31-0.25*(sigma^2*$A31^2+(rate-d)*$A31)*EurCall!AU30</f>
        <v>-2815.5697992730452</v>
      </c>
      <c r="AU31">
        <f>-0.25*(sigma^2*$A31^2-(rate-d)*$A31)*EurCall!AV32-(-0.5*sigma^2*$A31^2-0.5*rate+1/dt)*EurCall!AV31-0.25*(sigma^2*$A31^2+(rate-d)*$A31)*EurCall!AV30</f>
        <v>-2813.1784237399306</v>
      </c>
      <c r="AV31">
        <f>-0.25*(sigma^2*$A31^2-(rate-d)*$A31)*EurCall!AW32-(-0.5*sigma^2*$A31^2-0.5*rate+1/dt)*EurCall!AW31-0.25*(sigma^2*$A31^2+(rate-d)*$A31)*EurCall!AW30</f>
        <v>-2810.7856129509341</v>
      </c>
      <c r="AW31">
        <f>-0.25*(sigma^2*$A31^2-(rate-d)*$A31)*EurCall!AX32-(-0.5*sigma^2*$A31^2-0.5*rate+1/dt)*EurCall!AX31-0.25*(sigma^2*$A31^2+(rate-d)*$A31)*EurCall!AX30</f>
        <v>-2808.3913660446319</v>
      </c>
      <c r="AX31">
        <f>-0.25*(sigma^2*$A31^2-(rate-d)*$A31)*EurCall!AY32-(-0.5*sigma^2*$A31^2-0.5*rate+1/dt)*EurCall!AY31-0.25*(sigma^2*$A31^2+(rate-d)*$A31)*EurCall!AY30</f>
        <v>-2805.9956821590931</v>
      </c>
      <c r="AY31">
        <f>-0.25*(sigma^2*$A31^2-(rate-d)*$A31)*EurCall!AZ32-(-0.5*sigma^2*$A31^2-0.5*rate+1/dt)*EurCall!AZ31-0.25*(sigma^2*$A31^2+(rate-d)*$A31)*EurCall!AZ30</f>
        <v>-2803.5985604318707</v>
      </c>
      <c r="AZ31">
        <f>-0.25*(sigma^2*$A31^2-(rate-d)*$A31)*EurCall!BA32-(-0.5*sigma^2*$A31^2-0.5*rate+1/dt)*EurCall!BA31-0.25*(sigma^2*$A31^2+(rate-d)*$A31)*EurCall!BA30</f>
        <v>-2801.2</v>
      </c>
      <c r="BA31" s="6"/>
    </row>
    <row r="32" spans="1:53" x14ac:dyDescent="0.2">
      <c r="A32">
        <f t="shared" si="3"/>
        <v>33</v>
      </c>
      <c r="B32" s="3">
        <f t="shared" si="0"/>
        <v>66</v>
      </c>
      <c r="C32">
        <f>-0.25*(sigma^2*$A32^2-(rate-d)*$A32)*EurCall!D33-(-0.5*sigma^2*$A32^2-0.5*rate+1/dt)*EurCall!D32-0.25*(sigma^2*$A32^2+(rate-d)*$A32)*EurCall!D31</f>
        <v>-2717.0730050478196</v>
      </c>
      <c r="D32">
        <f>-0.25*(sigma^2*$A32^2-(rate-d)*$A32)*EurCall!E33-(-0.5*sigma^2*$A32^2-0.5*rate+1/dt)*EurCall!E32-0.25*(sigma^2*$A32^2+(rate-d)*$A32)*EurCall!E31</f>
        <v>-2714.7400919953525</v>
      </c>
      <c r="E32">
        <f>-0.25*(sigma^2*$A32^2-(rate-d)*$A32)*EurCall!F33-(-0.5*sigma^2*$A32^2-0.5*rate+1/dt)*EurCall!F32-0.25*(sigma^2*$A32^2+(rate-d)*$A32)*EurCall!F31</f>
        <v>-2712.4060182224721</v>
      </c>
      <c r="F32">
        <f>-0.25*(sigma^2*$A32^2-(rate-d)*$A32)*EurCall!G33-(-0.5*sigma^2*$A32^2-0.5*rate+1/dt)*EurCall!G32-0.25*(sigma^2*$A32^2+(rate-d)*$A32)*EurCall!G31</f>
        <v>-2710.0707676005654</v>
      </c>
      <c r="G32">
        <f>-0.25*(sigma^2*$A32^2-(rate-d)*$A32)*EurCall!H33-(-0.5*sigma^2*$A32^2-0.5*rate+1/dt)*EurCall!H32-0.25*(sigma^2*$A32^2+(rate-d)*$A32)*EurCall!H31</f>
        <v>-2707.7343242506017</v>
      </c>
      <c r="H32">
        <f>-0.25*(sigma^2*$A32^2-(rate-d)*$A32)*EurCall!I33-(-0.5*sigma^2*$A32^2-0.5*rate+1/dt)*EurCall!I32-0.25*(sigma^2*$A32^2+(rate-d)*$A32)*EurCall!I31</f>
        <v>-2705.3966725896616</v>
      </c>
      <c r="I32">
        <f>-0.25*(sigma^2*$A32^2-(rate-d)*$A32)*EurCall!J33-(-0.5*sigma^2*$A32^2-0.5*rate+1/dt)*EurCall!J32-0.25*(sigma^2*$A32^2+(rate-d)*$A32)*EurCall!J31</f>
        <v>-2703.057797377071</v>
      </c>
      <c r="J32">
        <f>-0.25*(sigma^2*$A32^2-(rate-d)*$A32)*EurCall!K33-(-0.5*sigma^2*$A32^2-0.5*rate+1/dt)*EurCall!K32-0.25*(sigma^2*$A32^2+(rate-d)*$A32)*EurCall!K31</f>
        <v>-2700.7176837596885</v>
      </c>
      <c r="K32">
        <f>-0.25*(sigma^2*$A32^2-(rate-d)*$A32)*EurCall!L33-(-0.5*sigma^2*$A32^2-0.5*rate+1/dt)*EurCall!L32-0.25*(sigma^2*$A32^2+(rate-d)*$A32)*EurCall!L31</f>
        <v>-2698.3763173158745</v>
      </c>
      <c r="L32">
        <f>-0.25*(sigma^2*$A32^2-(rate-d)*$A32)*EurCall!M33-(-0.5*sigma^2*$A32^2-0.5*rate+1/dt)*EurCall!M32-0.25*(sigma^2*$A32^2+(rate-d)*$A32)*EurCall!M31</f>
        <v>-2696.0336840976515</v>
      </c>
      <c r="M32">
        <f>-0.25*(sigma^2*$A32^2-(rate-d)*$A32)*EurCall!N33-(-0.5*sigma^2*$A32^2-0.5*rate+1/dt)*EurCall!N32-0.25*(sigma^2*$A32^2+(rate-d)*$A32)*EurCall!N31</f>
        <v>-2693.6897706705258</v>
      </c>
      <c r="N32">
        <f>-0.25*(sigma^2*$A32^2-(rate-d)*$A32)*EurCall!O33-(-0.5*sigma^2*$A32^2-0.5*rate+1/dt)*EurCall!O32-0.25*(sigma^2*$A32^2+(rate-d)*$A32)*EurCall!O31</f>
        <v>-2691.34456415044</v>
      </c>
      <c r="O32">
        <f>-0.25*(sigma^2*$A32^2-(rate-d)*$A32)*EurCall!P33-(-0.5*sigma^2*$A32^2-0.5*rate+1/dt)*EurCall!P32-0.25*(sigma^2*$A32^2+(rate-d)*$A32)*EurCall!P31</f>
        <v>-2688.9980522373121</v>
      </c>
      <c r="P32">
        <f>-0.25*(sigma^2*$A32^2-(rate-d)*$A32)*EurCall!Q33-(-0.5*sigma^2*$A32^2-0.5*rate+1/dt)*EurCall!Q32-0.25*(sigma^2*$A32^2+(rate-d)*$A32)*EurCall!Q31</f>
        <v>-2686.6502232446242</v>
      </c>
      <c r="Q32">
        <f>-0.25*(sigma^2*$A32^2-(rate-d)*$A32)*EurCall!R33-(-0.5*sigma^2*$A32^2-0.5*rate+1/dt)*EurCall!R32-0.25*(sigma^2*$A32^2+(rate-d)*$A32)*EurCall!R31</f>
        <v>-2684.3010661245476</v>
      </c>
      <c r="R32">
        <f>-0.25*(sigma^2*$A32^2-(rate-d)*$A32)*EurCall!S33-(-0.5*sigma^2*$A32^2-0.5*rate+1/dt)*EurCall!S32-0.25*(sigma^2*$A32^2+(rate-d)*$A32)*EurCall!S31</f>
        <v>-2681.9505704881035</v>
      </c>
      <c r="S32">
        <f>-0.25*(sigma^2*$A32^2-(rate-d)*$A32)*EurCall!T33-(-0.5*sigma^2*$A32^2-0.5*rate+1/dt)*EurCall!T32-0.25*(sigma^2*$A32^2+(rate-d)*$A32)*EurCall!T31</f>
        <v>-2679.5987266199277</v>
      </c>
      <c r="T32">
        <f>-0.25*(sigma^2*$A32^2-(rate-d)*$A32)*EurCall!U33-(-0.5*sigma^2*$A32^2-0.5*rate+1/dt)*EurCall!U32-0.25*(sigma^2*$A32^2+(rate-d)*$A32)*EurCall!U31</f>
        <v>-2677.245525487258</v>
      </c>
      <c r="U32">
        <f>-0.25*(sigma^2*$A32^2-(rate-d)*$A32)*EurCall!V33-(-0.5*sigma^2*$A32^2-0.5*rate+1/dt)*EurCall!V32-0.25*(sigma^2*$A32^2+(rate-d)*$A32)*EurCall!V31</f>
        <v>-2674.8909587428357</v>
      </c>
      <c r="V32">
        <f>-0.25*(sigma^2*$A32^2-(rate-d)*$A32)*EurCall!W33-(-0.5*sigma^2*$A32^2-0.5*rate+1/dt)*EurCall!W32-0.25*(sigma^2*$A32^2+(rate-d)*$A32)*EurCall!W31</f>
        <v>-2672.5350187215327</v>
      </c>
      <c r="W32">
        <f>-0.25*(sigma^2*$A32^2-(rate-d)*$A32)*EurCall!X33-(-0.5*sigma^2*$A32^2-0.5*rate+1/dt)*EurCall!X32-0.25*(sigma^2*$A32^2+(rate-d)*$A32)*EurCall!X31</f>
        <v>-2670.1776984306071</v>
      </c>
      <c r="X32">
        <f>-0.25*(sigma^2*$A32^2-(rate-d)*$A32)*EurCall!Y33-(-0.5*sigma^2*$A32^2-0.5*rate+1/dt)*EurCall!Y32-0.25*(sigma^2*$A32^2+(rate-d)*$A32)*EurCall!Y31</f>
        <v>-2667.8189915336243</v>
      </c>
      <c r="Y32">
        <f>-0.25*(sigma^2*$A32^2-(rate-d)*$A32)*EurCall!Z33-(-0.5*sigma^2*$A32^2-0.5*rate+1/dt)*EurCall!Z32-0.25*(sigma^2*$A32^2+(rate-d)*$A32)*EurCall!Z31</f>
        <v>-2665.4588923282317</v>
      </c>
      <c r="Z32">
        <f>-0.25*(sigma^2*$A32^2-(rate-d)*$A32)*EurCall!AA33-(-0.5*sigma^2*$A32^2-0.5*rate+1/dt)*EurCall!AA32-0.25*(sigma^2*$A32^2+(rate-d)*$A32)*EurCall!AA31</f>
        <v>-2663.0973957181254</v>
      </c>
      <c r="AA32">
        <f>-0.25*(sigma^2*$A32^2-(rate-d)*$A32)*EurCall!AB33-(-0.5*sigma^2*$A32^2-0.5*rate+1/dt)*EurCall!AB32-0.25*(sigma^2*$A32^2+(rate-d)*$A32)*EurCall!AB31</f>
        <v>-2660.7344971796783</v>
      </c>
      <c r="AB32">
        <f>-0.25*(sigma^2*$A32^2-(rate-d)*$A32)*EurCall!AC33-(-0.5*sigma^2*$A32^2-0.5*rate+1/dt)*EurCall!AC32-0.25*(sigma^2*$A32^2+(rate-d)*$A32)*EurCall!AC31</f>
        <v>-2658.3701927238944</v>
      </c>
      <c r="AC32">
        <f>-0.25*(sigma^2*$A32^2-(rate-d)*$A32)*EurCall!AD33-(-0.5*sigma^2*$A32^2-0.5*rate+1/dt)*EurCall!AD32-0.25*(sigma^2*$A32^2+(rate-d)*$A32)*EurCall!AD31</f>
        <v>-2656.0044788544601</v>
      </c>
      <c r="AD32">
        <f>-0.25*(sigma^2*$A32^2-(rate-d)*$A32)*EurCall!AE33-(-0.5*sigma^2*$A32^2-0.5*rate+1/dt)*EurCall!AE32-0.25*(sigma^2*$A32^2+(rate-d)*$A32)*EurCall!AE31</f>
        <v>-2653.6373525228105</v>
      </c>
      <c r="AE32">
        <f>-0.25*(sigma^2*$A32^2-(rate-d)*$A32)*EurCall!AF33-(-0.5*sigma^2*$A32^2-0.5*rate+1/dt)*EurCall!AF32-0.25*(sigma^2*$A32^2+(rate-d)*$A32)*EurCall!AF31</f>
        <v>-2651.2688110812346</v>
      </c>
      <c r="AF32">
        <f>-0.25*(sigma^2*$A32^2-(rate-d)*$A32)*EurCall!AG33-(-0.5*sigma^2*$A32^2-0.5*rate+1/dt)*EurCall!AG32-0.25*(sigma^2*$A32^2+(rate-d)*$A32)*EurCall!AG31</f>
        <v>-2648.8988522351046</v>
      </c>
      <c r="AG32">
        <f>-0.25*(sigma^2*$A32^2-(rate-d)*$A32)*EurCall!AH33-(-0.5*sigma^2*$A32^2-0.5*rate+1/dt)*EurCall!AH32-0.25*(sigma^2*$A32^2+(rate-d)*$A32)*EurCall!AH31</f>
        <v>-2646.5274739953375</v>
      </c>
      <c r="AH32">
        <f>-0.25*(sigma^2*$A32^2-(rate-d)*$A32)*EurCall!AI33-(-0.5*sigma^2*$A32^2-0.5*rate+1/dt)*EurCall!AI32-0.25*(sigma^2*$A32^2+(rate-d)*$A32)*EurCall!AI31</f>
        <v>-2644.1546746322001</v>
      </c>
      <c r="AI32">
        <f>-0.25*(sigma^2*$A32^2-(rate-d)*$A32)*EurCall!AJ33-(-0.5*sigma^2*$A32^2-0.5*rate+1/dt)*EurCall!AJ32-0.25*(sigma^2*$A32^2+(rate-d)*$A32)*EurCall!AJ31</f>
        <v>-2641.7804526314681</v>
      </c>
      <c r="AJ32">
        <f>-0.25*(sigma^2*$A32^2-(rate-d)*$A32)*EurCall!AK33-(-0.5*sigma^2*$A32^2-0.5*rate+1/dt)*EurCall!AK32-0.25*(sigma^2*$A32^2+(rate-d)*$A32)*EurCall!AK31</f>
        <v>-2639.4048066538658</v>
      </c>
      <c r="AK32">
        <f>-0.25*(sigma^2*$A32^2-(rate-d)*$A32)*EurCall!AL33-(-0.5*sigma^2*$A32^2-0.5*rate+1/dt)*EurCall!AL32-0.25*(sigma^2*$A32^2+(rate-d)*$A32)*EurCall!AL31</f>
        <v>-2637.0277354984919</v>
      </c>
      <c r="AL32">
        <f>-0.25*(sigma^2*$A32^2-(rate-d)*$A32)*EurCall!AM33-(-0.5*sigma^2*$A32^2-0.5*rate+1/dt)*EurCall!AM32-0.25*(sigma^2*$A32^2+(rate-d)*$A32)*EurCall!AM31</f>
        <v>-2634.64923807079</v>
      </c>
      <c r="AM32">
        <f>-0.25*(sigma^2*$A32^2-(rate-d)*$A32)*EurCall!AN33-(-0.5*sigma^2*$A32^2-0.5*rate+1/dt)*EurCall!AN32-0.25*(sigma^2*$A32^2+(rate-d)*$A32)*EurCall!AN31</f>
        <v>-2632.2693133553194</v>
      </c>
      <c r="AN32">
        <f>-0.25*(sigma^2*$A32^2-(rate-d)*$A32)*EurCall!AO33-(-0.5*sigma^2*$A32^2-0.5*rate+1/dt)*EurCall!AO32-0.25*(sigma^2*$A32^2+(rate-d)*$A32)*EurCall!AO31</f>
        <v>-2629.8879603933919</v>
      </c>
      <c r="AO32">
        <f>-0.25*(sigma^2*$A32^2-(rate-d)*$A32)*EurCall!AP33-(-0.5*sigma^2*$A32^2-0.5*rate+1/dt)*EurCall!AP32-0.25*(sigma^2*$A32^2+(rate-d)*$A32)*EurCall!AP31</f>
        <v>-2627.5051782653691</v>
      </c>
      <c r="AP32">
        <f>-0.25*(sigma^2*$A32^2-(rate-d)*$A32)*EurCall!AQ33-(-0.5*sigma^2*$A32^2-0.5*rate+1/dt)*EurCall!AQ32-0.25*(sigma^2*$A32^2+(rate-d)*$A32)*EurCall!AQ31</f>
        <v>-2625.1209660772192</v>
      </c>
      <c r="AQ32">
        <f>-0.25*(sigma^2*$A32^2-(rate-d)*$A32)*EurCall!AR33-(-0.5*sigma^2*$A32^2-0.5*rate+1/dt)*EurCall!AR32-0.25*(sigma^2*$A32^2+(rate-d)*$A32)*EurCall!AR31</f>
        <v>-2622.7353229507739</v>
      </c>
      <c r="AR32">
        <f>-0.25*(sigma^2*$A32^2-(rate-d)*$A32)*EurCall!AS33-(-0.5*sigma^2*$A32^2-0.5*rate+1/dt)*EurCall!AS32-0.25*(sigma^2*$A32^2+(rate-d)*$A32)*EurCall!AS31</f>
        <v>-2620.3482480170323</v>
      </c>
      <c r="AS32">
        <f>-0.25*(sigma^2*$A32^2-(rate-d)*$A32)*EurCall!AT33-(-0.5*sigma^2*$A32^2-0.5*rate+1/dt)*EurCall!AT32-0.25*(sigma^2*$A32^2+(rate-d)*$A32)*EurCall!AT31</f>
        <v>-2617.9597404118244</v>
      </c>
      <c r="AT32">
        <f>-0.25*(sigma^2*$A32^2-(rate-d)*$A32)*EurCall!AU33-(-0.5*sigma^2*$A32^2-0.5*rate+1/dt)*EurCall!AU32-0.25*(sigma^2*$A32^2+(rate-d)*$A32)*EurCall!AU31</f>
        <v>-2615.5697992731994</v>
      </c>
      <c r="AU32">
        <f>-0.25*(sigma^2*$A32^2-(rate-d)*$A32)*EurCall!AV33-(-0.5*sigma^2*$A32^2-0.5*rate+1/dt)*EurCall!AV32-0.25*(sigma^2*$A32^2+(rate-d)*$A32)*EurCall!AV31</f>
        <v>-2613.1784237399634</v>
      </c>
      <c r="AV32">
        <f>-0.25*(sigma^2*$A32^2-(rate-d)*$A32)*EurCall!AW33-(-0.5*sigma^2*$A32^2-0.5*rate+1/dt)*EurCall!AW32-0.25*(sigma^2*$A32^2+(rate-d)*$A32)*EurCall!AW31</f>
        <v>-2610.78561295094</v>
      </c>
      <c r="AW32">
        <f>-0.25*(sigma^2*$A32^2-(rate-d)*$A32)*EurCall!AX33-(-0.5*sigma^2*$A32^2-0.5*rate+1/dt)*EurCall!AX32-0.25*(sigma^2*$A32^2+(rate-d)*$A32)*EurCall!AX31</f>
        <v>-2608.3913660446333</v>
      </c>
      <c r="AX32">
        <f>-0.25*(sigma^2*$A32^2-(rate-d)*$A32)*EurCall!AY33-(-0.5*sigma^2*$A32^2-0.5*rate+1/dt)*EurCall!AY32-0.25*(sigma^2*$A32^2+(rate-d)*$A32)*EurCall!AY31</f>
        <v>-2605.995682159094</v>
      </c>
      <c r="AY32">
        <f>-0.25*(sigma^2*$A32^2-(rate-d)*$A32)*EurCall!AZ33-(-0.5*sigma^2*$A32^2-0.5*rate+1/dt)*EurCall!AZ32-0.25*(sigma^2*$A32^2+(rate-d)*$A32)*EurCall!AZ31</f>
        <v>-2603.5985604318712</v>
      </c>
      <c r="AZ32">
        <f>-0.25*(sigma^2*$A32^2-(rate-d)*$A32)*EurCall!BA33-(-0.5*sigma^2*$A32^2-0.5*rate+1/dt)*EurCall!BA32-0.25*(sigma^2*$A32^2+(rate-d)*$A32)*EurCall!BA31</f>
        <v>-2601.2000000000003</v>
      </c>
      <c r="BA32" s="6"/>
    </row>
    <row r="33" spans="1:53" x14ac:dyDescent="0.2">
      <c r="A33">
        <f t="shared" si="3"/>
        <v>32</v>
      </c>
      <c r="B33" s="3">
        <f t="shared" si="0"/>
        <v>64</v>
      </c>
      <c r="C33">
        <f>-0.25*(sigma^2*$A33^2-(rate-d)*$A33)*EurCall!D34-(-0.5*sigma^2*$A33^2-0.5*rate+1/dt)*EurCall!D33-0.25*(sigma^2*$A33^2+(rate-d)*$A33)*EurCall!D32</f>
        <v>-2517.0974141591337</v>
      </c>
      <c r="D33">
        <f>-0.25*(sigma^2*$A33^2-(rate-d)*$A33)*EurCall!E34-(-0.5*sigma^2*$A33^2-0.5*rate+1/dt)*EurCall!E33-0.25*(sigma^2*$A33^2+(rate-d)*$A33)*EurCall!E32</f>
        <v>-2514.7619178773793</v>
      </c>
      <c r="E33">
        <f>-0.25*(sigma^2*$A33^2-(rate-d)*$A33)*EurCall!F34-(-0.5*sigma^2*$A33^2-0.5*rate+1/dt)*EurCall!F33-0.25*(sigma^2*$A33^2+(rate-d)*$A33)*EurCall!F32</f>
        <v>-2512.4254574242918</v>
      </c>
      <c r="F33">
        <f>-0.25*(sigma^2*$A33^2-(rate-d)*$A33)*EurCall!G34-(-0.5*sigma^2*$A33^2-0.5*rate+1/dt)*EurCall!G33-0.25*(sigma^2*$A33^2+(rate-d)*$A33)*EurCall!G32</f>
        <v>-2510.0880093894384</v>
      </c>
      <c r="G33">
        <f>-0.25*(sigma^2*$A33^2-(rate-d)*$A33)*EurCall!H34-(-0.5*sigma^2*$A33^2-0.5*rate+1/dt)*EurCall!H33-0.25*(sigma^2*$A33^2+(rate-d)*$A33)*EurCall!H32</f>
        <v>-2507.749550316064</v>
      </c>
      <c r="H33">
        <f>-0.25*(sigma^2*$A33^2-(rate-d)*$A33)*EurCall!I34-(-0.5*sigma^2*$A33^2-0.5*rate+1/dt)*EurCall!I33-0.25*(sigma^2*$A33^2+(rate-d)*$A33)*EurCall!I32</f>
        <v>-2505.4100567741193</v>
      </c>
      <c r="I33">
        <f>-0.25*(sigma^2*$A33^2-(rate-d)*$A33)*EurCall!J34-(-0.5*sigma^2*$A33^2-0.5*rate+1/dt)*EurCall!J33-0.25*(sigma^2*$A33^2+(rate-d)*$A33)*EurCall!J32</f>
        <v>-2503.06950543621</v>
      </c>
      <c r="J33">
        <f>-0.25*(sigma^2*$A33^2-(rate-d)*$A33)*EurCall!K34-(-0.5*sigma^2*$A33^2-0.5*rate+1/dt)*EurCall!K33-0.25*(sigma^2*$A33^2+(rate-d)*$A33)*EurCall!K32</f>
        <v>-2500.7278731560004</v>
      </c>
      <c r="K33">
        <f>-0.25*(sigma^2*$A33^2-(rate-d)*$A33)*EurCall!L34-(-0.5*sigma^2*$A33^2-0.5*rate+1/dt)*EurCall!L33-0.25*(sigma^2*$A33^2+(rate-d)*$A33)*EurCall!L32</f>
        <v>-2498.3851370485136</v>
      </c>
      <c r="L33">
        <f>-0.25*(sigma^2*$A33^2-(rate-d)*$A33)*EurCall!M34-(-0.5*sigma^2*$A33^2-0.5*rate+1/dt)*EurCall!M33-0.25*(sigma^2*$A33^2+(rate-d)*$A33)*EurCall!M32</f>
        <v>-2496.0412745716767</v>
      </c>
      <c r="M33">
        <f>-0.25*(sigma^2*$A33^2-(rate-d)*$A33)*EurCall!N34-(-0.5*sigma^2*$A33^2-0.5*rate+1/dt)*EurCall!N33-0.25*(sigma^2*$A33^2+(rate-d)*$A33)*EurCall!N32</f>
        <v>-2493.6962636083931</v>
      </c>
      <c r="N33">
        <f>-0.25*(sigma^2*$A33^2-(rate-d)*$A33)*EurCall!O34-(-0.5*sigma^2*$A33^2-0.5*rate+1/dt)*EurCall!O33-0.25*(sigma^2*$A33^2+(rate-d)*$A33)*EurCall!O32</f>
        <v>-2491.3500825482902</v>
      </c>
      <c r="O33">
        <f>-0.25*(sigma^2*$A33^2-(rate-d)*$A33)*EurCall!P34-(-0.5*sigma^2*$A33^2-0.5*rate+1/dt)*EurCall!P33-0.25*(sigma^2*$A33^2+(rate-d)*$A33)*EurCall!P32</f>
        <v>-2489.0027103682419</v>
      </c>
      <c r="P33">
        <f>-0.25*(sigma^2*$A33^2-(rate-d)*$A33)*EurCall!Q34-(-0.5*sigma^2*$A33^2-0.5*rate+1/dt)*EurCall!Q33-0.25*(sigma^2*$A33^2+(rate-d)*$A33)*EurCall!Q32</f>
        <v>-2486.6541267106754</v>
      </c>
      <c r="Q33">
        <f>-0.25*(sigma^2*$A33^2-(rate-d)*$A33)*EurCall!R34-(-0.5*sigma^2*$A33^2-0.5*rate+1/dt)*EurCall!R33-0.25*(sigma^2*$A33^2+(rate-d)*$A33)*EurCall!R32</f>
        <v>-2484.3043119585836</v>
      </c>
      <c r="R33">
        <f>-0.25*(sigma^2*$A33^2-(rate-d)*$A33)*EurCall!S34-(-0.5*sigma^2*$A33^2-0.5*rate+1/dt)*EurCall!S33-0.25*(sigma^2*$A33^2+(rate-d)*$A33)*EurCall!S32</f>
        <v>-2481.9532473061286</v>
      </c>
      <c r="S33">
        <f>-0.25*(sigma^2*$A33^2-(rate-d)*$A33)*EurCall!T34-(-0.5*sigma^2*$A33^2-0.5*rate+1/dt)*EurCall!T33-0.25*(sigma^2*$A33^2+(rate-d)*$A33)*EurCall!T32</f>
        <v>-2479.6009148236799</v>
      </c>
      <c r="T33">
        <f>-0.25*(sigma^2*$A33^2-(rate-d)*$A33)*EurCall!U34-(-0.5*sigma^2*$A33^2-0.5*rate+1/dt)*EurCall!U33-0.25*(sigma^2*$A33^2+(rate-d)*$A33)*EurCall!U32</f>
        <v>-2477.2472975161072</v>
      </c>
      <c r="U33">
        <f>-0.25*(sigma^2*$A33^2-(rate-d)*$A33)*EurCall!V34-(-0.5*sigma^2*$A33^2-0.5*rate+1/dt)*EurCall!V33-0.25*(sigma^2*$A33^2+(rate-d)*$A33)*EurCall!V32</f>
        <v>-2474.8923793731733</v>
      </c>
      <c r="V33">
        <f>-0.25*(sigma^2*$A33^2-(rate-d)*$A33)*EurCall!W34-(-0.5*sigma^2*$A33^2-0.5*rate+1/dt)*EurCall!W33-0.25*(sigma^2*$A33^2+(rate-d)*$A33)*EurCall!W32</f>
        <v>-2472.5361454109075</v>
      </c>
      <c r="W33">
        <f>-0.25*(sigma^2*$A33^2-(rate-d)*$A33)*EurCall!X34-(-0.5*sigma^2*$A33^2-0.5*rate+1/dt)*EurCall!X33-0.25*(sigma^2*$A33^2+(rate-d)*$A33)*EurCall!X32</f>
        <v>-2470.178581702944</v>
      </c>
      <c r="X33">
        <f>-0.25*(sigma^2*$A33^2-(rate-d)*$A33)*EurCall!Y34-(-0.5*sigma^2*$A33^2-0.5*rate+1/dt)*EurCall!Y33-0.25*(sigma^2*$A33^2+(rate-d)*$A33)*EurCall!Y32</f>
        <v>-2467.8196754009132</v>
      </c>
      <c r="Y33">
        <f>-0.25*(sigma^2*$A33^2-(rate-d)*$A33)*EurCall!Z34-(-0.5*sigma^2*$A33^2-0.5*rate+1/dt)*EurCall!Z33-0.25*(sigma^2*$A33^2+(rate-d)*$A33)*EurCall!Z32</f>
        <v>-2465.4594147431644</v>
      </c>
      <c r="Z33">
        <f>-0.25*(sigma^2*$A33^2-(rate-d)*$A33)*EurCall!AA34-(-0.5*sigma^2*$A33^2-0.5*rate+1/dt)*EurCall!AA33-0.25*(sigma^2*$A33^2+(rate-d)*$A33)*EurCall!AA32</f>
        <v>-2463.0977890512986</v>
      </c>
      <c r="AA33">
        <f>-0.25*(sigma^2*$A33^2-(rate-d)*$A33)*EurCall!AB34-(-0.5*sigma^2*$A33^2-0.5*rate+1/dt)*EurCall!AB33-0.25*(sigma^2*$A33^2+(rate-d)*$A33)*EurCall!AB32</f>
        <v>-2460.7347887142782</v>
      </c>
      <c r="AB33">
        <f>-0.25*(sigma^2*$A33^2-(rate-d)*$A33)*EurCall!AC34-(-0.5*sigma^2*$A33^2-0.5*rate+1/dt)*EurCall!AC33-0.25*(sigma^2*$A33^2+(rate-d)*$A33)*EurCall!AC32</f>
        <v>-2458.3704051601444</v>
      </c>
      <c r="AC33">
        <f>-0.25*(sigma^2*$A33^2-(rate-d)*$A33)*EurCall!AD34-(-0.5*sigma^2*$A33^2-0.5*rate+1/dt)*EurCall!AD33-0.25*(sigma^2*$A33^2+(rate-d)*$A33)*EurCall!AD32</f>
        <v>-2456.0046308157553</v>
      </c>
      <c r="AD33">
        <f>-0.25*(sigma^2*$A33^2-(rate-d)*$A33)*EurCall!AE34-(-0.5*sigma^2*$A33^2-0.5*rate+1/dt)*EurCall!AE33-0.25*(sigma^2*$A33^2+(rate-d)*$A33)*EurCall!AE32</f>
        <v>-2453.6374590552841</v>
      </c>
      <c r="AE33">
        <f>-0.25*(sigma^2*$A33^2-(rate-d)*$A33)*EurCall!AF34-(-0.5*sigma^2*$A33^2-0.5*rate+1/dt)*EurCall!AF33-0.25*(sigma^2*$A33^2+(rate-d)*$A33)*EurCall!AF32</f>
        <v>-2451.2688841386157</v>
      </c>
      <c r="AF33">
        <f>-0.25*(sigma^2*$A33^2-(rate-d)*$A33)*EurCall!AG34-(-0.5*sigma^2*$A33^2-0.5*rate+1/dt)*EurCall!AG33-0.25*(sigma^2*$A33^2+(rate-d)*$A33)*EurCall!AG32</f>
        <v>-2448.898901141124</v>
      </c>
      <c r="AG33">
        <f>-0.25*(sigma^2*$A33^2-(rate-d)*$A33)*EurCall!AH34-(-0.5*sigma^2*$A33^2-0.5*rate+1/dt)*EurCall!AH33-0.25*(sigma^2*$A33^2+(rate-d)*$A33)*EurCall!AH32</f>
        <v>-2446.5275058766688</v>
      </c>
      <c r="AH33">
        <f>-0.25*(sigma^2*$A33^2-(rate-d)*$A33)*EurCall!AI34-(-0.5*sigma^2*$A33^2-0.5*rate+1/dt)*EurCall!AI33-0.25*(sigma^2*$A33^2+(rate-d)*$A33)*EurCall!AI32</f>
        <v>-2444.1546948159198</v>
      </c>
      <c r="AI33">
        <f>-0.25*(sigma^2*$A33^2-(rate-d)*$A33)*EurCall!AJ34-(-0.5*sigma^2*$A33^2-0.5*rate+1/dt)*EurCall!AJ33-0.25*(sigma^2*$A33^2+(rate-d)*$A33)*EurCall!AJ32</f>
        <v>-2441.7804650023222</v>
      </c>
      <c r="AJ33">
        <f>-0.25*(sigma^2*$A33^2-(rate-d)*$A33)*EurCall!AK34-(-0.5*sigma^2*$A33^2-0.5*rate+1/dt)*EurCall!AK33-0.25*(sigma^2*$A33^2+(rate-d)*$A33)*EurCall!AK32</f>
        <v>-2439.4048139681281</v>
      </c>
      <c r="AK33">
        <f>-0.25*(sigma^2*$A33^2-(rate-d)*$A33)*EurCall!AL34-(-0.5*sigma^2*$A33^2-0.5*rate+1/dt)*EurCall!AL33-0.25*(sigma^2*$A33^2+(rate-d)*$A33)*EurCall!AL32</f>
        <v>-2437.0277396528836</v>
      </c>
      <c r="AL33">
        <f>-0.25*(sigma^2*$A33^2-(rate-d)*$A33)*EurCall!AM34-(-0.5*sigma^2*$A33^2-0.5*rate+1/dt)*EurCall!AM33-0.25*(sigma^2*$A33^2+(rate-d)*$A33)*EurCall!AM32</f>
        <v>-2434.6492403266293</v>
      </c>
      <c r="AM33">
        <f>-0.25*(sigma^2*$A33^2-(rate-d)*$A33)*EurCall!AN34-(-0.5*sigma^2*$A33^2-0.5*rate+1/dt)*EurCall!AN33-0.25*(sigma^2*$A33^2+(rate-d)*$A33)*EurCall!AN32</f>
        <v>-2432.26931451974</v>
      </c>
      <c r="AN33">
        <f>-0.25*(sigma^2*$A33^2-(rate-d)*$A33)*EurCall!AO34-(-0.5*sigma^2*$A33^2-0.5*rate+1/dt)*EurCall!AO33-0.25*(sigma^2*$A33^2+(rate-d)*$A33)*EurCall!AO32</f>
        <v>-2429.8879609609462</v>
      </c>
      <c r="AO33">
        <f>-0.25*(sigma^2*$A33^2-(rate-d)*$A33)*EurCall!AP34-(-0.5*sigma^2*$A33^2-0.5*rate+1/dt)*EurCall!AP33-0.25*(sigma^2*$A33^2+(rate-d)*$A33)*EurCall!AP32</f>
        <v>-2427.5051785245155</v>
      </c>
      <c r="AP33">
        <f>-0.25*(sigma^2*$A33^2-(rate-d)*$A33)*EurCall!AQ34-(-0.5*sigma^2*$A33^2-0.5*rate+1/dt)*EurCall!AQ33-0.25*(sigma^2*$A33^2+(rate-d)*$A33)*EurCall!AQ32</f>
        <v>-2425.1209661870116</v>
      </c>
      <c r="AQ33">
        <f>-0.25*(sigma^2*$A33^2-(rate-d)*$A33)*EurCall!AR34-(-0.5*sigma^2*$A33^2-0.5*rate+1/dt)*EurCall!AR33-0.25*(sigma^2*$A33^2+(rate-d)*$A33)*EurCall!AR32</f>
        <v>-2422.7353229934365</v>
      </c>
      <c r="AR33">
        <f>-0.25*(sigma^2*$A33^2-(rate-d)*$A33)*EurCall!AS34-(-0.5*sigma^2*$A33^2-0.5*rate+1/dt)*EurCall!AS33-0.25*(sigma^2*$A33^2+(rate-d)*$A33)*EurCall!AS32</f>
        <v>-2420.3482480320199</v>
      </c>
      <c r="AS33">
        <f>-0.25*(sigma^2*$A33^2-(rate-d)*$A33)*EurCall!AT34-(-0.5*sigma^2*$A33^2-0.5*rate+1/dt)*EurCall!AT33-0.25*(sigma^2*$A33^2+(rate-d)*$A33)*EurCall!AT32</f>
        <v>-2417.9597404165006</v>
      </c>
      <c r="AT33">
        <f>-0.25*(sigma^2*$A33^2-(rate-d)*$A33)*EurCall!AU34-(-0.5*sigma^2*$A33^2-0.5*rate+1/dt)*EurCall!AU33-0.25*(sigma^2*$A33^2+(rate-d)*$A33)*EurCall!AU32</f>
        <v>-2415.5697992744658</v>
      </c>
      <c r="AU33">
        <f>-0.25*(sigma^2*$A33^2-(rate-d)*$A33)*EurCall!AV34-(-0.5*sigma^2*$A33^2-0.5*rate+1/dt)*EurCall!AV33-0.25*(sigma^2*$A33^2+(rate-d)*$A33)*EurCall!AV32</f>
        <v>-2413.1784237402521</v>
      </c>
      <c r="AV33">
        <f>-0.25*(sigma^2*$A33^2-(rate-d)*$A33)*EurCall!AW34-(-0.5*sigma^2*$A33^2-0.5*rate+1/dt)*EurCall!AW33-0.25*(sigma^2*$A33^2+(rate-d)*$A33)*EurCall!AW32</f>
        <v>-2410.7856129509928</v>
      </c>
      <c r="AW33">
        <f>-0.25*(sigma^2*$A33^2-(rate-d)*$A33)*EurCall!AX34-(-0.5*sigma^2*$A33^2-0.5*rate+1/dt)*EurCall!AX33-0.25*(sigma^2*$A33^2+(rate-d)*$A33)*EurCall!AX32</f>
        <v>-2408.391366044641</v>
      </c>
      <c r="AX33">
        <f>-0.25*(sigma^2*$A33^2-(rate-d)*$A33)*EurCall!AY34-(-0.5*sigma^2*$A33^2-0.5*rate+1/dt)*EurCall!AY33-0.25*(sigma^2*$A33^2+(rate-d)*$A33)*EurCall!AY32</f>
        <v>-2405.9956821590949</v>
      </c>
      <c r="AY33">
        <f>-0.25*(sigma^2*$A33^2-(rate-d)*$A33)*EurCall!AZ34-(-0.5*sigma^2*$A33^2-0.5*rate+1/dt)*EurCall!AZ33-0.25*(sigma^2*$A33^2+(rate-d)*$A33)*EurCall!AZ32</f>
        <v>-2403.5985604318707</v>
      </c>
      <c r="AZ33">
        <f>-0.25*(sigma^2*$A33^2-(rate-d)*$A33)*EurCall!BA34-(-0.5*sigma^2*$A33^2-0.5*rate+1/dt)*EurCall!BA33-0.25*(sigma^2*$A33^2+(rate-d)*$A33)*EurCall!BA32</f>
        <v>-2401.1999999999998</v>
      </c>
      <c r="BA33" s="6"/>
    </row>
    <row r="34" spans="1:53" x14ac:dyDescent="0.2">
      <c r="A34">
        <f t="shared" si="3"/>
        <v>31</v>
      </c>
      <c r="B34" s="3">
        <f t="shared" si="0"/>
        <v>62</v>
      </c>
      <c r="C34">
        <f>-0.25*(sigma^2*$A34^2-(rate-d)*$A34)*EurCall!D35-(-0.5*sigma^2*$A34^2-0.5*rate+1/dt)*EurCall!D34-0.25*(sigma^2*$A34^2+(rate-d)*$A34)*EurCall!D33</f>
        <v>-2317.1512655956126</v>
      </c>
      <c r="D34">
        <f>-0.25*(sigma^2*$A34^2-(rate-d)*$A34)*EurCall!E35-(-0.5*sigma^2*$A34^2-0.5*rate+1/dt)*EurCall!E34-0.25*(sigma^2*$A34^2+(rate-d)*$A34)*EurCall!E33</f>
        <v>-2314.8106327590522</v>
      </c>
      <c r="E34">
        <f>-0.25*(sigma^2*$A34^2-(rate-d)*$A34)*EurCall!F35-(-0.5*sigma^2*$A34^2-0.5*rate+1/dt)*EurCall!F34-0.25*(sigma^2*$A34^2+(rate-d)*$A34)*EurCall!F33</f>
        <v>-2312.4693683896094</v>
      </c>
      <c r="F34">
        <f>-0.25*(sigma^2*$A34^2-(rate-d)*$A34)*EurCall!G35-(-0.5*sigma^2*$A34^2-0.5*rate+1/dt)*EurCall!G34-0.25*(sigma^2*$A34^2+(rate-d)*$A34)*EurCall!G33</f>
        <v>-2310.1274414271879</v>
      </c>
      <c r="G34">
        <f>-0.25*(sigma^2*$A34^2-(rate-d)*$A34)*EurCall!H35-(-0.5*sigma^2*$A34^2-0.5*rate+1/dt)*EurCall!H34-0.25*(sigma^2*$A34^2+(rate-d)*$A34)*EurCall!H33</f>
        <v>-2307.7848200741205</v>
      </c>
      <c r="H34">
        <f>-0.25*(sigma^2*$A34^2-(rate-d)*$A34)*EurCall!I35-(-0.5*sigma^2*$A34^2-0.5*rate+1/dt)*EurCall!I34-0.25*(sigma^2*$A34^2+(rate-d)*$A34)*EurCall!I33</f>
        <v>-2305.4414718814678</v>
      </c>
      <c r="I34">
        <f>-0.25*(sigma^2*$A34^2-(rate-d)*$A34)*EurCall!J35-(-0.5*sigma^2*$A34^2-0.5*rate+1/dt)*EurCall!J34-0.25*(sigma^2*$A34^2+(rate-d)*$A34)*EurCall!J33</f>
        <v>-2303.0973638440869</v>
      </c>
      <c r="J34">
        <f>-0.25*(sigma^2*$A34^2-(rate-d)*$A34)*EurCall!K35-(-0.5*sigma^2*$A34^2-0.5*rate+1/dt)*EurCall!K34-0.25*(sigma^2*$A34^2+(rate-d)*$A34)*EurCall!K33</f>
        <v>-2300.752462504387</v>
      </c>
      <c r="K34">
        <f>-0.25*(sigma^2*$A34^2-(rate-d)*$A34)*EurCall!L35-(-0.5*sigma^2*$A34^2-0.5*rate+1/dt)*EurCall!L34-0.25*(sigma^2*$A34^2+(rate-d)*$A34)*EurCall!L33</f>
        <v>-2298.4067340645979</v>
      </c>
      <c r="L34">
        <f>-0.25*(sigma^2*$A34^2-(rate-d)*$A34)*EurCall!M35-(-0.5*sigma^2*$A34^2-0.5*rate+1/dt)*EurCall!M34-0.25*(sigma^2*$A34^2+(rate-d)*$A34)*EurCall!M33</f>
        <v>-2296.0601445071979</v>
      </c>
      <c r="M34">
        <f>-0.25*(sigma^2*$A34^2-(rate-d)*$A34)*EurCall!N35-(-0.5*sigma^2*$A34^2-0.5*rate+1/dt)*EurCall!N34-0.25*(sigma^2*$A34^2+(rate-d)*$A34)*EurCall!N33</f>
        <v>-2293.7126597229958</v>
      </c>
      <c r="N34">
        <f>-0.25*(sigma^2*$A34^2-(rate-d)*$A34)*EurCall!O35-(-0.5*sigma^2*$A34^2-0.5*rate+1/dt)*EurCall!O34-0.25*(sigma^2*$A34^2+(rate-d)*$A34)*EurCall!O33</f>
        <v>-2291.3642456461807</v>
      </c>
      <c r="O34">
        <f>-0.25*(sigma^2*$A34^2-(rate-d)*$A34)*EurCall!P35-(-0.5*sigma^2*$A34^2-0.5*rate+1/dt)*EurCall!P34-0.25*(sigma^2*$A34^2+(rate-d)*$A34)*EurCall!P33</f>
        <v>-2289.0148683954367</v>
      </c>
      <c r="P34">
        <f>-0.25*(sigma^2*$A34^2-(rate-d)*$A34)*EurCall!Q35-(-0.5*sigma^2*$A34^2-0.5*rate+1/dt)*EurCall!Q34-0.25*(sigma^2*$A34^2+(rate-d)*$A34)*EurCall!Q33</f>
        <v>-2286.6644944200202</v>
      </c>
      <c r="Q34">
        <f>-0.25*(sigma^2*$A34^2-(rate-d)*$A34)*EurCall!R35-(-0.5*sigma^2*$A34^2-0.5*rate+1/dt)*EurCall!R34-0.25*(sigma^2*$A34^2+(rate-d)*$A34)*EurCall!R33</f>
        <v>-2284.3130906494639</v>
      </c>
      <c r="R34">
        <f>-0.25*(sigma^2*$A34^2-(rate-d)*$A34)*EurCall!S35-(-0.5*sigma^2*$A34^2-0.5*rate+1/dt)*EurCall!S34-0.25*(sigma^2*$A34^2+(rate-d)*$A34)*EurCall!S33</f>
        <v>-2281.9606246453209</v>
      </c>
      <c r="S34">
        <f>-0.25*(sigma^2*$A34^2-(rate-d)*$A34)*EurCall!T35-(-0.5*sigma^2*$A34^2-0.5*rate+1/dt)*EurCall!T34-0.25*(sigma^2*$A34^2+(rate-d)*$A34)*EurCall!T33</f>
        <v>-2279.6070647531524</v>
      </c>
      <c r="T34">
        <f>-0.25*(sigma^2*$A34^2-(rate-d)*$A34)*EurCall!U35-(-0.5*sigma^2*$A34^2-0.5*rate+1/dt)*EurCall!U34-0.25*(sigma^2*$A34^2+(rate-d)*$A34)*EurCall!U33</f>
        <v>-2277.2523802527094</v>
      </c>
      <c r="U34">
        <f>-0.25*(sigma^2*$A34^2-(rate-d)*$A34)*EurCall!V35-(-0.5*sigma^2*$A34^2-0.5*rate+1/dt)*EurCall!V34-0.25*(sigma^2*$A34^2+(rate-d)*$A34)*EurCall!V33</f>
        <v>-2274.8965415040502</v>
      </c>
      <c r="V34">
        <f>-0.25*(sigma^2*$A34^2-(rate-d)*$A34)*EurCall!W35-(-0.5*sigma^2*$A34^2-0.5*rate+1/dt)*EurCall!W34-0.25*(sigma^2*$A34^2+(rate-d)*$A34)*EurCall!W33</f>
        <v>-2272.5395200871449</v>
      </c>
      <c r="W34">
        <f>-0.25*(sigma^2*$A34^2-(rate-d)*$A34)*EurCall!X35-(-0.5*sigma^2*$A34^2-0.5*rate+1/dt)*EurCall!X34-0.25*(sigma^2*$A34^2+(rate-d)*$A34)*EurCall!X33</f>
        <v>-2270.1812889323724</v>
      </c>
      <c r="X34">
        <f>-0.25*(sigma^2*$A34^2-(rate-d)*$A34)*EurCall!Y35-(-0.5*sigma^2*$A34^2-0.5*rate+1/dt)*EurCall!Y34-0.25*(sigma^2*$A34^2+(rate-d)*$A34)*EurCall!Y33</f>
        <v>-2267.8218224392035</v>
      </c>
      <c r="Y34">
        <f>-0.25*(sigma^2*$A34^2-(rate-d)*$A34)*EurCall!Z35-(-0.5*sigma^2*$A34^2-0.5*rate+1/dt)*EurCall!Z34-0.25*(sigma^2*$A34^2+(rate-d)*$A34)*EurCall!Z33</f>
        <v>-2265.4610965803499</v>
      </c>
      <c r="Z34">
        <f>-0.25*(sigma^2*$A34^2-(rate-d)*$A34)*EurCall!AA35-(-0.5*sigma^2*$A34^2-0.5*rate+1/dt)*EurCall!AA34-0.25*(sigma^2*$A34^2+(rate-d)*$A34)*EurCall!AA33</f>
        <v>-2263.0990889887066</v>
      </c>
      <c r="AA34">
        <f>-0.25*(sigma^2*$A34^2-(rate-d)*$A34)*EurCall!AB35-(-0.5*sigma^2*$A34^2-0.5*rate+1/dt)*EurCall!AB34-0.25*(sigma^2*$A34^2+(rate-d)*$A34)*EurCall!AB33</f>
        <v>-2260.7357790245674</v>
      </c>
      <c r="AB34">
        <f>-0.25*(sigma^2*$A34^2-(rate-d)*$A34)*EurCall!AC35-(-0.5*sigma^2*$A34^2-0.5*rate+1/dt)*EurCall!AC34-0.25*(sigma^2*$A34^2+(rate-d)*$A34)*EurCall!AC33</f>
        <v>-2258.3711478208684</v>
      </c>
      <c r="AC34">
        <f>-0.25*(sigma^2*$A34^2-(rate-d)*$A34)*EurCall!AD35-(-0.5*sigma^2*$A34^2-0.5*rate+1/dt)*EurCall!AD34-0.25*(sigma^2*$A34^2+(rate-d)*$A34)*EurCall!AD33</f>
        <v>-2256.0051783046074</v>
      </c>
      <c r="AD34">
        <f>-0.25*(sigma^2*$A34^2-(rate-d)*$A34)*EurCall!AE35-(-0.5*sigma^2*$A34^2-0.5*rate+1/dt)*EurCall!AE34-0.25*(sigma^2*$A34^2+(rate-d)*$A34)*EurCall!AE33</f>
        <v>-2253.6378551931143</v>
      </c>
      <c r="AE34">
        <f>-0.25*(sigma^2*$A34^2-(rate-d)*$A34)*EurCall!AF35-(-0.5*sigma^2*$A34^2-0.5*rate+1/dt)*EurCall!AF34-0.25*(sigma^2*$A34^2+(rate-d)*$A34)*EurCall!AF33</f>
        <v>-2251.2691649645071</v>
      </c>
      <c r="AF34">
        <f>-0.25*(sigma^2*$A34^2-(rate-d)*$A34)*EurCall!AG35-(-0.5*sigma^2*$A34^2-0.5*rate+1/dt)*EurCall!AG34-0.25*(sigma^2*$A34^2+(rate-d)*$A34)*EurCall!AG33</f>
        <v>-2248.8990958024488</v>
      </c>
      <c r="AG34">
        <f>-0.25*(sigma^2*$A34^2-(rate-d)*$A34)*EurCall!AH35-(-0.5*sigma^2*$A34^2-0.5*rate+1/dt)*EurCall!AH34-0.25*(sigma^2*$A34^2+(rate-d)*$A34)*EurCall!AH33</f>
        <v>-2246.5276375162057</v>
      </c>
      <c r="AH34">
        <f>-0.25*(sigma^2*$A34^2-(rate-d)*$A34)*EurCall!AI35-(-0.5*sigma^2*$A34^2-0.5*rate+1/dt)*EurCall!AI34-0.25*(sigma^2*$A34^2+(rate-d)*$A34)*EurCall!AI33</f>
        <v>-2244.1547814379592</v>
      </c>
      <c r="AI34">
        <f>-0.25*(sigma^2*$A34^2-(rate-d)*$A34)*EurCall!AJ35-(-0.5*sigma^2*$A34^2-0.5*rate+1/dt)*EurCall!AJ34-0.25*(sigma^2*$A34^2+(rate-d)*$A34)*EurCall!AJ33</f>
        <v>-2241.7805203002931</v>
      </c>
      <c r="AJ34">
        <f>-0.25*(sigma^2*$A34^2-(rate-d)*$A34)*EurCall!AK35-(-0.5*sigma^2*$A34^2-0.5*rate+1/dt)*EurCall!AK34-0.25*(sigma^2*$A34^2+(rate-d)*$A34)*EurCall!AK33</f>
        <v>-2239.4048480977212</v>
      </c>
      <c r="AK34">
        <f>-0.25*(sigma^2*$A34^2-(rate-d)*$A34)*EurCall!AL35-(-0.5*sigma^2*$A34^2-0.5*rate+1/dt)*EurCall!AL34-0.25*(sigma^2*$A34^2+(rate-d)*$A34)*EurCall!AL33</f>
        <v>-2237.0277599369197</v>
      </c>
      <c r="AL34">
        <f>-0.25*(sigma^2*$A34^2-(rate-d)*$A34)*EurCall!AM35-(-0.5*sigma^2*$A34^2-0.5*rate+1/dt)*EurCall!AM34-0.25*(sigma^2*$A34^2+(rate-d)*$A34)*EurCall!AM33</f>
        <v>-2234.6492518809641</v>
      </c>
      <c r="AM34">
        <f>-0.25*(sigma^2*$A34^2-(rate-d)*$A34)*EurCall!AN35-(-0.5*sigma^2*$A34^2-0.5*rate+1/dt)*EurCall!AN34-0.25*(sigma^2*$A34^2+(rate-d)*$A34)*EurCall!AN33</f>
        <v>-2232.2693207932189</v>
      </c>
      <c r="AN34">
        <f>-0.25*(sigma^2*$A34^2-(rate-d)*$A34)*EurCall!AO35-(-0.5*sigma^2*$A34^2-0.5*rate+1/dt)*EurCall!AO34-0.25*(sigma^2*$A34^2+(rate-d)*$A34)*EurCall!AO33</f>
        <v>-2229.8879641865024</v>
      </c>
      <c r="AO34">
        <f>-0.25*(sigma^2*$A34^2-(rate-d)*$A34)*EurCall!AP35-(-0.5*sigma^2*$A34^2-0.5*rate+1/dt)*EurCall!AP34-0.25*(sigma^2*$A34^2+(rate-d)*$A34)*EurCall!AP33</f>
        <v>-2227.50518008276</v>
      </c>
      <c r="AP34">
        <f>-0.25*(sigma^2*$A34^2-(rate-d)*$A34)*EurCall!AQ35-(-0.5*sigma^2*$A34^2-0.5*rate+1/dt)*EurCall!AQ34-0.25*(sigma^2*$A34^2+(rate-d)*$A34)*EurCall!AQ33</f>
        <v>-2225.1209668876545</v>
      </c>
      <c r="AQ34">
        <f>-0.25*(sigma^2*$A34^2-(rate-d)*$A34)*EurCall!AR35-(-0.5*sigma^2*$A34^2-0.5*rate+1/dt)*EurCall!AR34-0.25*(sigma^2*$A34^2+(rate-d)*$A34)*EurCall!AR33</f>
        <v>-2222.7353232832857</v>
      </c>
      <c r="AR34">
        <f>-0.25*(sigma^2*$A34^2-(rate-d)*$A34)*EurCall!AS35-(-0.5*sigma^2*$A34^2-0.5*rate+1/dt)*EurCall!AS34-0.25*(sigma^2*$A34^2+(rate-d)*$A34)*EurCall!AS33</f>
        <v>-2220.3482481407746</v>
      </c>
      <c r="AS34">
        <f>-0.25*(sigma^2*$A34^2-(rate-d)*$A34)*EurCall!AT35-(-0.5*sigma^2*$A34^2-0.5*rate+1/dt)*EurCall!AT34-0.25*(sigma^2*$A34^2+(rate-d)*$A34)*EurCall!AT33</f>
        <v>-2217.9597404528481</v>
      </c>
      <c r="AT34">
        <f>-0.25*(sigma^2*$A34^2-(rate-d)*$A34)*EurCall!AU35-(-0.5*sigma^2*$A34^2-0.5*rate+1/dt)*EurCall!AU34-0.25*(sigma^2*$A34^2+(rate-d)*$A34)*EurCall!AU33</f>
        <v>-2215.5697992850364</v>
      </c>
      <c r="AU34">
        <f>-0.25*(sigma^2*$A34^2-(rate-d)*$A34)*EurCall!AV35-(-0.5*sigma^2*$A34^2-0.5*rate+1/dt)*EurCall!AV34-0.25*(sigma^2*$A34^2+(rate-d)*$A34)*EurCall!AV33</f>
        <v>-2213.1784237428446</v>
      </c>
      <c r="AV34">
        <f>-0.25*(sigma^2*$A34^2-(rate-d)*$A34)*EurCall!AW35-(-0.5*sigma^2*$A34^2-0.5*rate+1/dt)*EurCall!AW34-0.25*(sigma^2*$A34^2+(rate-d)*$A34)*EurCall!AW33</f>
        <v>-2210.7856129515062</v>
      </c>
      <c r="AW34">
        <f>-0.25*(sigma^2*$A34^2-(rate-d)*$A34)*EurCall!AX35-(-0.5*sigma^2*$A34^2-0.5*rate+1/dt)*EurCall!AX34-0.25*(sigma^2*$A34^2+(rate-d)*$A34)*EurCall!AX33</f>
        <v>-2208.3913660447174</v>
      </c>
      <c r="AX34">
        <f>-0.25*(sigma^2*$A34^2-(rate-d)*$A34)*EurCall!AY35-(-0.5*sigma^2*$A34^2-0.5*rate+1/dt)*EurCall!AY34-0.25*(sigma^2*$A34^2+(rate-d)*$A34)*EurCall!AY33</f>
        <v>-2205.9956821591022</v>
      </c>
      <c r="AY34">
        <f>-0.25*(sigma^2*$A34^2-(rate-d)*$A34)*EurCall!AZ35-(-0.5*sigma^2*$A34^2-0.5*rate+1/dt)*EurCall!AZ34-0.25*(sigma^2*$A34^2+(rate-d)*$A34)*EurCall!AZ33</f>
        <v>-2203.5985604318712</v>
      </c>
      <c r="AZ34">
        <f>-0.25*(sigma^2*$A34^2-(rate-d)*$A34)*EurCall!BA35-(-0.5*sigma^2*$A34^2-0.5*rate+1/dt)*EurCall!BA34-0.25*(sigma^2*$A34^2+(rate-d)*$A34)*EurCall!BA33</f>
        <v>-2201.2000000000003</v>
      </c>
      <c r="BA34" s="6"/>
    </row>
    <row r="35" spans="1:53" x14ac:dyDescent="0.2">
      <c r="A35">
        <f t="shared" si="3"/>
        <v>30</v>
      </c>
      <c r="B35" s="3">
        <f t="shared" si="0"/>
        <v>60</v>
      </c>
      <c r="C35">
        <f>-0.25*(sigma^2*$A35^2-(rate-d)*$A35)*EurCall!D36-(-0.5*sigma^2*$A35^2-0.5*rate+1/dt)*EurCall!D35-0.25*(sigma^2*$A35^2+(rate-d)*$A35)*EurCall!D34</f>
        <v>-2117.2686333464835</v>
      </c>
      <c r="D35">
        <f>-0.25*(sigma^2*$A35^2-(rate-d)*$A35)*EurCall!E36-(-0.5*sigma^2*$A35^2-0.5*rate+1/dt)*EurCall!E35-0.25*(sigma^2*$A35^2+(rate-d)*$A35)*EurCall!E34</f>
        <v>-2114.918032232019</v>
      </c>
      <c r="E35">
        <f>-0.25*(sigma^2*$A35^2-(rate-d)*$A35)*EurCall!F36-(-0.5*sigma^2*$A35^2-0.5*rate+1/dt)*EurCall!F35-0.25*(sigma^2*$A35^2+(rate-d)*$A35)*EurCall!F34</f>
        <v>-2112.5673316708389</v>
      </c>
      <c r="F35">
        <f>-0.25*(sigma^2*$A35^2-(rate-d)*$A35)*EurCall!G36-(-0.5*sigma^2*$A35^2-0.5*rate+1/dt)*EurCall!G35-0.25*(sigma^2*$A35^2+(rate-d)*$A35)*EurCall!G34</f>
        <v>-2110.2164963299451</v>
      </c>
      <c r="G35">
        <f>-0.25*(sigma^2*$A35^2-(rate-d)*$A35)*EurCall!H36-(-0.5*sigma^2*$A35^2-0.5*rate+1/dt)*EurCall!H35-0.25*(sigma^2*$A35^2+(rate-d)*$A35)*EurCall!H34</f>
        <v>-2107.8654889269219</v>
      </c>
      <c r="H35">
        <f>-0.25*(sigma^2*$A35^2-(rate-d)*$A35)*EurCall!I36-(-0.5*sigma^2*$A35^2-0.5*rate+1/dt)*EurCall!I35-0.25*(sigma^2*$A35^2+(rate-d)*$A35)*EurCall!I34</f>
        <v>-2105.514270283215</v>
      </c>
      <c r="I35">
        <f>-0.25*(sigma^2*$A35^2-(rate-d)*$A35)*EurCall!J36-(-0.5*sigma^2*$A35^2-0.5*rate+1/dt)*EurCall!J35-0.25*(sigma^2*$A35^2+(rate-d)*$A35)*EurCall!J34</f>
        <v>-2103.16279939267</v>
      </c>
      <c r="J35">
        <f>-0.25*(sigma^2*$A35^2-(rate-d)*$A35)*EurCall!K36-(-0.5*sigma^2*$A35^2-0.5*rate+1/dt)*EurCall!K35-0.25*(sigma^2*$A35^2+(rate-d)*$A35)*EurCall!K34</f>
        <v>-2100.8110335063557</v>
      </c>
      <c r="K35">
        <f>-0.25*(sigma^2*$A35^2-(rate-d)*$A35)*EurCall!L36-(-0.5*sigma^2*$A35^2-0.5*rate+1/dt)*EurCall!L35-0.25*(sigma^2*$A35^2+(rate-d)*$A35)*EurCall!L34</f>
        <v>-2098.4589282346369</v>
      </c>
      <c r="L35">
        <f>-0.25*(sigma^2*$A35^2-(rate-d)*$A35)*EurCall!M36-(-0.5*sigma^2*$A35^2-0.5*rate+1/dt)*EurCall!M35-0.25*(sigma^2*$A35^2+(rate-d)*$A35)*EurCall!M34</f>
        <v>-2096.1064376673489</v>
      </c>
      <c r="M35">
        <f>-0.25*(sigma^2*$A35^2-(rate-d)*$A35)*EurCall!N36-(-0.5*sigma^2*$A35^2-0.5*rate+1/dt)*EurCall!N35-0.25*(sigma^2*$A35^2+(rate-d)*$A35)*EurCall!N34</f>
        <v>-2093.7535145127695</v>
      </c>
      <c r="N35">
        <f>-0.25*(sigma^2*$A35^2-(rate-d)*$A35)*EurCall!O36-(-0.5*sigma^2*$A35^2-0.5*rate+1/dt)*EurCall!O35-0.25*(sigma^2*$A35^2+(rate-d)*$A35)*EurCall!O34</f>
        <v>-2091.4001102559087</v>
      </c>
      <c r="O35">
        <f>-0.25*(sigma^2*$A35^2-(rate-d)*$A35)*EurCall!P36-(-0.5*sigma^2*$A35^2-0.5*rate+1/dt)*EurCall!P35-0.25*(sigma^2*$A35^2+(rate-d)*$A35)*EurCall!P34</f>
        <v>-2089.0461753363816</v>
      </c>
      <c r="P35">
        <f>-0.25*(sigma^2*$A35^2-(rate-d)*$A35)*EurCall!Q36-(-0.5*sigma^2*$A35^2-0.5*rate+1/dt)*EurCall!Q35-0.25*(sigma^2*$A35^2+(rate-d)*$A35)*EurCall!Q34</f>
        <v>-2086.6916593458523</v>
      </c>
      <c r="Q35">
        <f>-0.25*(sigma^2*$A35^2-(rate-d)*$A35)*EurCall!R36-(-0.5*sigma^2*$A35^2-0.5*rate+1/dt)*EurCall!R35-0.25*(sigma^2*$A35^2+(rate-d)*$A35)*EurCall!R34</f>
        <v>-2084.3365112446781</v>
      </c>
      <c r="R35">
        <f>-0.25*(sigma^2*$A35^2-(rate-d)*$A35)*EurCall!S36-(-0.5*sigma^2*$A35^2-0.5*rate+1/dt)*EurCall!S35-0.25*(sigma^2*$A35^2+(rate-d)*$A35)*EurCall!S34</f>
        <v>-2081.980679596978</v>
      </c>
      <c r="S35">
        <f>-0.25*(sigma^2*$A35^2-(rate-d)*$A35)*EurCall!T36-(-0.5*sigma^2*$A35^2-0.5*rate+1/dt)*EurCall!T35-0.25*(sigma^2*$A35^2+(rate-d)*$A35)*EurCall!T34</f>
        <v>-2079.6241128228839</v>
      </c>
      <c r="T35">
        <f>-0.25*(sigma^2*$A35^2-(rate-d)*$A35)*EurCall!U36-(-0.5*sigma^2*$A35^2-0.5*rate+1/dt)*EurCall!U35-0.25*(sigma^2*$A35^2+(rate-d)*$A35)*EurCall!U34</f>
        <v>-2077.2667594662107</v>
      </c>
      <c r="U35">
        <f>-0.25*(sigma^2*$A35^2-(rate-d)*$A35)*EurCall!V36-(-0.5*sigma^2*$A35^2-0.5*rate+1/dt)*EurCall!V35-0.25*(sigma^2*$A35^2+(rate-d)*$A35)*EurCall!V34</f>
        <v>-2074.9085684751835</v>
      </c>
      <c r="V35">
        <f>-0.25*(sigma^2*$A35^2-(rate-d)*$A35)*EurCall!W36-(-0.5*sigma^2*$A35^2-0.5*rate+1/dt)*EurCall!W35-0.25*(sigma^2*$A35^2+(rate-d)*$A35)*EurCall!W34</f>
        <v>-2072.5494894932563</v>
      </c>
      <c r="W35">
        <f>-0.25*(sigma^2*$A35^2-(rate-d)*$A35)*EurCall!X36-(-0.5*sigma^2*$A35^2-0.5*rate+1/dt)*EurCall!X35-0.25*(sigma^2*$A35^2+(rate-d)*$A35)*EurCall!X34</f>
        <v>-2070.1894731563762</v>
      </c>
      <c r="X35">
        <f>-0.25*(sigma^2*$A35^2-(rate-d)*$A35)*EurCall!Y36-(-0.5*sigma^2*$A35^2-0.5*rate+1/dt)*EurCall!Y35-0.25*(sigma^2*$A35^2+(rate-d)*$A35)*EurCall!Y34</f>
        <v>-2067.828471392379</v>
      </c>
      <c r="Y35">
        <f>-0.25*(sigma^2*$A35^2-(rate-d)*$A35)*EurCall!Z36-(-0.5*sigma^2*$A35^2-0.5*rate+1/dt)*EurCall!Z35-0.25*(sigma^2*$A35^2+(rate-d)*$A35)*EurCall!Z34</f>
        <v>-2065.4664377175332</v>
      </c>
      <c r="Z35">
        <f>-0.25*(sigma^2*$A35^2-(rate-d)*$A35)*EurCall!AA36-(-0.5*sigma^2*$A35^2-0.5*rate+1/dt)*EurCall!AA35-0.25*(sigma^2*$A35^2+(rate-d)*$A35)*EurCall!AA34</f>
        <v>-2063.10332752461</v>
      </c>
      <c r="AA35">
        <f>-0.25*(sigma^2*$A35^2-(rate-d)*$A35)*EurCall!AB36-(-0.5*sigma^2*$A35^2-0.5*rate+1/dt)*EurCall!AB35-0.25*(sigma^2*$A35^2+(rate-d)*$A35)*EurCall!AB34</f>
        <v>-2060.7390983563309</v>
      </c>
      <c r="AB35">
        <f>-0.25*(sigma^2*$A35^2-(rate-d)*$A35)*EurCall!AC36-(-0.5*sigma^2*$A35^2-0.5*rate+1/dt)*EurCall!AC35-0.25*(sigma^2*$A35^2+(rate-d)*$A35)*EurCall!AC34</f>
        <v>-2058.373710157578</v>
      </c>
      <c r="AC35">
        <f>-0.25*(sigma^2*$A35^2-(rate-d)*$A35)*EurCall!AD36-(-0.5*sigma^2*$A35^2-0.5*rate+1/dt)*EurCall!AD35-0.25*(sigma^2*$A35^2+(rate-d)*$A35)*EurCall!AD34</f>
        <v>-2056.0071254995341</v>
      </c>
      <c r="AD35">
        <f>-0.25*(sigma^2*$A35^2-(rate-d)*$A35)*EurCall!AE36-(-0.5*sigma^2*$A35^2-0.5*rate+1/dt)*EurCall!AE35-0.25*(sigma^2*$A35^2+(rate-d)*$A35)*EurCall!AE34</f>
        <v>-2053.6393097688842</v>
      </c>
      <c r="AE35">
        <f>-0.25*(sigma^2*$A35^2-(rate-d)*$A35)*EurCall!AF36-(-0.5*sigma^2*$A35^2-0.5*rate+1/dt)*EurCall!AF35-0.25*(sigma^2*$A35^2+(rate-d)*$A35)*EurCall!AF34</f>
        <v>-2051.2702313154614</v>
      </c>
      <c r="AF35">
        <f>-0.25*(sigma^2*$A35^2-(rate-d)*$A35)*EurCall!AG36-(-0.5*sigma^2*$A35^2-0.5*rate+1/dt)*EurCall!AG35-0.25*(sigma^2*$A35^2+(rate-d)*$A35)*EurCall!AG34</f>
        <v>-2048.8998615523683</v>
      </c>
      <c r="AG35">
        <f>-0.25*(sigma^2*$A35^2-(rate-d)*$A35)*EurCall!AH36-(-0.5*sigma^2*$A35^2-0.5*rate+1/dt)*EurCall!AH35-0.25*(sigma^2*$A35^2+(rate-d)*$A35)*EurCall!AH34</f>
        <v>-2046.5281750035745</v>
      </c>
      <c r="AH35">
        <f>-0.25*(sigma^2*$A35^2-(rate-d)*$A35)*EurCall!AI36-(-0.5*sigma^2*$A35^2-0.5*rate+1/dt)*EurCall!AI35-0.25*(sigma^2*$A35^2+(rate-d)*$A35)*EurCall!AI34</f>
        <v>-2044.1551492954391</v>
      </c>
      <c r="AI35">
        <f>-0.25*(sigma^2*$A35^2-(rate-d)*$A35)*EurCall!AJ36-(-0.5*sigma^2*$A35^2-0.5*rate+1/dt)*EurCall!AJ35-0.25*(sigma^2*$A35^2+(rate-d)*$A35)*EurCall!AJ34</f>
        <v>-2041.7807650904645</v>
      </c>
      <c r="AJ35">
        <f>-0.25*(sigma^2*$A35^2-(rate-d)*$A35)*EurCall!AK36-(-0.5*sigma^2*$A35^2-0.5*rate+1/dt)*EurCall!AK35-0.25*(sigma^2*$A35^2+(rate-d)*$A35)*EurCall!AK34</f>
        <v>-2039.4050059638391</v>
      </c>
      <c r="AK35">
        <f>-0.25*(sigma^2*$A35^2-(rate-d)*$A35)*EurCall!AL36-(-0.5*sigma^2*$A35^2-0.5*rate+1/dt)*EurCall!AL35-0.25*(sigma^2*$A35^2+(rate-d)*$A35)*EurCall!AL34</f>
        <v>-2037.0278582259186</v>
      </c>
      <c r="AL35">
        <f>-0.25*(sigma^2*$A35^2-(rate-d)*$A35)*EurCall!AM36-(-0.5*sigma^2*$A35^2-0.5*rate+1/dt)*EurCall!AM35-0.25*(sigma^2*$A35^2+(rate-d)*$A35)*EurCall!AM34</f>
        <v>-2034.6493106965777</v>
      </c>
      <c r="AM35">
        <f>-0.25*(sigma^2*$A35^2-(rate-d)*$A35)*EurCall!AN36-(-0.5*sigma^2*$A35^2-0.5*rate+1/dt)*EurCall!AN35-0.25*(sigma^2*$A35^2+(rate-d)*$A35)*EurCall!AN34</f>
        <v>-2032.2693544401461</v>
      </c>
      <c r="AN35">
        <f>-0.25*(sigma^2*$A35^2-(rate-d)*$A35)*EurCall!AO36-(-0.5*sigma^2*$A35^2-0.5*rate+1/dt)*EurCall!AO35-0.25*(sigma^2*$A35^2+(rate-d)*$A35)*EurCall!AO34</f>
        <v>-2029.8879824721921</v>
      </c>
      <c r="AO35">
        <f>-0.25*(sigma^2*$A35^2-(rate-d)*$A35)*EurCall!AP36-(-0.5*sigma^2*$A35^2-0.5*rate+1/dt)*EurCall!AP35-0.25*(sigma^2*$A35^2+(rate-d)*$A35)*EurCall!AP34</f>
        <v>-2027.5051894514245</v>
      </c>
      <c r="AP35">
        <f>-0.25*(sigma^2*$A35^2-(rate-d)*$A35)*EurCall!AQ36-(-0.5*sigma^2*$A35^2-0.5*rate+1/dt)*EurCall!AQ35-0.25*(sigma^2*$A35^2+(rate-d)*$A35)*EurCall!AQ34</f>
        <v>-2025.1209713711394</v>
      </c>
      <c r="AQ35">
        <f>-0.25*(sigma^2*$A35^2-(rate-d)*$A35)*EurCall!AR36-(-0.5*sigma^2*$A35^2-0.5*rate+1/dt)*EurCall!AR35-0.25*(sigma^2*$A35^2+(rate-d)*$A35)*EurCall!AR34</f>
        <v>-2022.7353252646667</v>
      </c>
      <c r="AR35">
        <f>-0.25*(sigma^2*$A35^2-(rate-d)*$A35)*EurCall!AS36-(-0.5*sigma^2*$A35^2-0.5*rate+1/dt)*EurCall!AS35-0.25*(sigma^2*$A35^2+(rate-d)*$A35)*EurCall!AS34</f>
        <v>-2020.348248937938</v>
      </c>
      <c r="AS35">
        <f>-0.25*(sigma^2*$A35^2-(rate-d)*$A35)*EurCall!AT36-(-0.5*sigma^2*$A35^2-0.5*rate+1/dt)*EurCall!AT35-0.25*(sigma^2*$A35^2+(rate-d)*$A35)*EurCall!AT34</f>
        <v>-2017.959740739592</v>
      </c>
      <c r="AT35">
        <f>-0.25*(sigma^2*$A35^2-(rate-d)*$A35)*EurCall!AU36-(-0.5*sigma^2*$A35^2-0.5*rate+1/dt)*EurCall!AU35-0.25*(sigma^2*$A35^2+(rate-d)*$A35)*EurCall!AU34</f>
        <v>-2015.5697993751066</v>
      </c>
      <c r="AU35">
        <f>-0.25*(sigma^2*$A35^2-(rate-d)*$A35)*EurCall!AV36-(-0.5*sigma^2*$A35^2-0.5*rate+1/dt)*EurCall!AV35-0.25*(sigma^2*$A35^2+(rate-d)*$A35)*EurCall!AV34</f>
        <v>-2013.1784237667803</v>
      </c>
      <c r="AV35">
        <f>-0.25*(sigma^2*$A35^2-(rate-d)*$A35)*EurCall!AW36-(-0.5*sigma^2*$A35^2-0.5*rate+1/dt)*EurCall!AW35-0.25*(sigma^2*$A35^2+(rate-d)*$A35)*EurCall!AW34</f>
        <v>-2010.7856129566508</v>
      </c>
      <c r="AW35">
        <f>-0.25*(sigma^2*$A35^2-(rate-d)*$A35)*EurCall!AX36-(-0.5*sigma^2*$A35^2-0.5*rate+1/dt)*EurCall!AX35-0.25*(sigma^2*$A35^2+(rate-d)*$A35)*EurCall!AX34</f>
        <v>-2008.3913660455514</v>
      </c>
      <c r="AX35">
        <f>-0.25*(sigma^2*$A35^2-(rate-d)*$A35)*EurCall!AY36-(-0.5*sigma^2*$A35^2-0.5*rate+1/dt)*EurCall!AY35-0.25*(sigma^2*$A35^2+(rate-d)*$A35)*EurCall!AY34</f>
        <v>-2005.9956821591923</v>
      </c>
      <c r="AY35">
        <f>-0.25*(sigma^2*$A35^2-(rate-d)*$A35)*EurCall!AZ36-(-0.5*sigma^2*$A35^2-0.5*rate+1/dt)*EurCall!AZ35-0.25*(sigma^2*$A35^2+(rate-d)*$A35)*EurCall!AZ34</f>
        <v>-2003.5985604318762</v>
      </c>
      <c r="AZ35">
        <f>-0.25*(sigma^2*$A35^2-(rate-d)*$A35)*EurCall!BA36-(-0.5*sigma^2*$A35^2-0.5*rate+1/dt)*EurCall!BA35-0.25*(sigma^2*$A35^2+(rate-d)*$A35)*EurCall!BA34</f>
        <v>-2001.2000000000003</v>
      </c>
      <c r="BA35" s="6"/>
    </row>
    <row r="36" spans="1:53" x14ac:dyDescent="0.2">
      <c r="A36">
        <f t="shared" si="3"/>
        <v>29</v>
      </c>
      <c r="B36" s="3">
        <f t="shared" si="0"/>
        <v>58</v>
      </c>
      <c r="C36">
        <f>-0.25*(sigma^2*$A36^2-(rate-d)*$A36)*EurCall!D37-(-0.5*sigma^2*$A36^2-0.5*rate+1/dt)*EurCall!D36-0.25*(sigma^2*$A36^2+(rate-d)*$A36)*EurCall!D35</f>
        <v>-1917.5207015495869</v>
      </c>
      <c r="D36">
        <f>-0.25*(sigma^2*$A36^2-(rate-d)*$A36)*EurCall!E37-(-0.5*sigma^2*$A36^2-0.5*rate+1/dt)*EurCall!E36-0.25*(sigma^2*$A36^2+(rate-d)*$A36)*EurCall!E35</f>
        <v>-1915.1513162720767</v>
      </c>
      <c r="E36">
        <f>-0.25*(sigma^2*$A36^2-(rate-d)*$A36)*EurCall!F37-(-0.5*sigma^2*$A36^2-0.5*rate+1/dt)*EurCall!F36-0.25*(sigma^2*$A36^2+(rate-d)*$A36)*EurCall!F35</f>
        <v>-1912.7826201526805</v>
      </c>
      <c r="F36">
        <f>-0.25*(sigma^2*$A36^2-(rate-d)*$A36)*EurCall!G37-(-0.5*sigma^2*$A36^2-0.5*rate+1/dt)*EurCall!G36-0.25*(sigma^2*$A36^2+(rate-d)*$A36)*EurCall!G35</f>
        <v>-1910.4145845461219</v>
      </c>
      <c r="G36">
        <f>-0.25*(sigma^2*$A36^2-(rate-d)*$A36)*EurCall!H37-(-0.5*sigma^2*$A36^2-0.5*rate+1/dt)*EurCall!H36-0.25*(sigma^2*$A36^2+(rate-d)*$A36)*EurCall!H35</f>
        <v>-1908.0471772429178</v>
      </c>
      <c r="H36">
        <f>-0.25*(sigma^2*$A36^2-(rate-d)*$A36)*EurCall!I37-(-0.5*sigma^2*$A36^2-0.5*rate+1/dt)*EurCall!I36-0.25*(sigma^2*$A36^2+(rate-d)*$A36)*EurCall!I35</f>
        <v>-1905.6803624002548</v>
      </c>
      <c r="I36">
        <f>-0.25*(sigma^2*$A36^2-(rate-d)*$A36)*EurCall!J37-(-0.5*sigma^2*$A36^2-0.5*rate+1/dt)*EurCall!J36-0.25*(sigma^2*$A36^2+(rate-d)*$A36)*EurCall!J35</f>
        <v>-1903.3141004891258</v>
      </c>
      <c r="J36">
        <f>-0.25*(sigma^2*$A36^2-(rate-d)*$A36)*EurCall!K37-(-0.5*sigma^2*$A36^2-0.5*rate+1/dt)*EurCall!K36-0.25*(sigma^2*$A36^2+(rate-d)*$A36)*EurCall!K35</f>
        <v>-1900.9483482603252</v>
      </c>
      <c r="K36">
        <f>-0.25*(sigma^2*$A36^2-(rate-d)*$A36)*EurCall!L37-(-0.5*sigma^2*$A36^2-0.5*rate+1/dt)*EurCall!L36-0.25*(sigma^2*$A36^2+(rate-d)*$A36)*EurCall!L35</f>
        <v>-1898.5830587320779</v>
      </c>
      <c r="L36">
        <f>-0.25*(sigma^2*$A36^2-(rate-d)*$A36)*EurCall!M37-(-0.5*sigma^2*$A36^2-0.5*rate+1/dt)*EurCall!M36-0.25*(sigma^2*$A36^2+(rate-d)*$A36)*EurCall!M35</f>
        <v>-1896.2181812022056</v>
      </c>
      <c r="M36">
        <f>-0.25*(sigma^2*$A36^2-(rate-d)*$A36)*EurCall!N37-(-0.5*sigma^2*$A36^2-0.5*rate+1/dt)*EurCall!N36-0.25*(sigma^2*$A36^2+(rate-d)*$A36)*EurCall!N35</f>
        <v>-1893.8536612878661</v>
      </c>
      <c r="N36">
        <f>-0.25*(sigma^2*$A36^2-(rate-d)*$A36)*EurCall!O37-(-0.5*sigma^2*$A36^2-0.5*rate+1/dt)*EurCall!O36-0.25*(sigma^2*$A36^2+(rate-d)*$A36)*EurCall!O35</f>
        <v>-1891.4894409959511</v>
      </c>
      <c r="O36">
        <f>-0.25*(sigma^2*$A36^2-(rate-d)*$A36)*EurCall!P37-(-0.5*sigma^2*$A36^2-0.5*rate+1/dt)*EurCall!P36-0.25*(sigma^2*$A36^2+(rate-d)*$A36)*EurCall!P35</f>
        <v>-1889.1254588272573</v>
      </c>
      <c r="P36">
        <f>-0.25*(sigma^2*$A36^2-(rate-d)*$A36)*EurCall!Q37-(-0.5*sigma^2*$A36^2-0.5*rate+1/dt)*EurCall!Q36-0.25*(sigma^2*$A36^2+(rate-d)*$A36)*EurCall!Q35</f>
        <v>-1886.7616499174831</v>
      </c>
      <c r="Q36">
        <f>-0.25*(sigma^2*$A36^2-(rate-d)*$A36)*EurCall!R37-(-0.5*sigma^2*$A36^2-0.5*rate+1/dt)*EurCall!R36-0.25*(sigma^2*$A36^2+(rate-d)*$A36)*EurCall!R35</f>
        <v>-1884.3979462179636</v>
      </c>
      <c r="R36">
        <f>-0.25*(sigma^2*$A36^2-(rate-d)*$A36)*EurCall!S37-(-0.5*sigma^2*$A36^2-0.5*rate+1/dt)*EurCall!S36-0.25*(sigma^2*$A36^2+(rate-d)*$A36)*EurCall!S35</f>
        <v>-1882.0342767188099</v>
      </c>
      <c r="S36">
        <f>-0.25*(sigma^2*$A36^2-(rate-d)*$A36)*EurCall!T37-(-0.5*sigma^2*$A36^2-0.5*rate+1/dt)*EurCall!T36-0.25*(sigma^2*$A36^2+(rate-d)*$A36)*EurCall!T35</f>
        <v>-1879.6705677167397</v>
      </c>
      <c r="T36">
        <f>-0.25*(sigma^2*$A36^2-(rate-d)*$A36)*EurCall!U37-(-0.5*sigma^2*$A36^2-0.5*rate+1/dt)*EurCall!U36-0.25*(sigma^2*$A36^2+(rate-d)*$A36)*EurCall!U35</f>
        <v>-1877.3067431293814</v>
      </c>
      <c r="U36">
        <f>-0.25*(sigma^2*$A36^2-(rate-d)*$A36)*EurCall!V37-(-0.5*sigma^2*$A36^2-0.5*rate+1/dt)*EurCall!V36-0.25*(sigma^2*$A36^2+(rate-d)*$A36)*EurCall!V35</f>
        <v>-1874.942724857133</v>
      </c>
      <c r="V36">
        <f>-0.25*(sigma^2*$A36^2-(rate-d)*$A36)*EurCall!W37-(-0.5*sigma^2*$A36^2-0.5*rate+1/dt)*EurCall!W36-0.25*(sigma^2*$A36^2+(rate-d)*$A36)*EurCall!W35</f>
        <v>-1872.5784331927962</v>
      </c>
      <c r="W36">
        <f>-0.25*(sigma^2*$A36^2-(rate-d)*$A36)*EurCall!X37-(-0.5*sigma^2*$A36^2-0.5*rate+1/dt)*EurCall!X36-0.25*(sigma^2*$A36^2+(rate-d)*$A36)*EurCall!X35</f>
        <v>-1870.2137872781304</v>
      </c>
      <c r="X36">
        <f>-0.25*(sigma^2*$A36^2-(rate-d)*$A36)*EurCall!Y37-(-0.5*sigma^2*$A36^2-0.5*rate+1/dt)*EurCall!Y36-0.25*(sigma^2*$A36^2+(rate-d)*$A36)*EurCall!Y35</f>
        <v>-1867.8487056051836</v>
      </c>
      <c r="Y36">
        <f>-0.25*(sigma^2*$A36^2-(rate-d)*$A36)*EurCall!Z37-(-0.5*sigma^2*$A36^2-0.5*rate+1/dt)*EurCall!Z36-0.25*(sigma^2*$A36^2+(rate-d)*$A36)*EurCall!Z35</f>
        <v>-1865.4831065587423</v>
      </c>
      <c r="Z36">
        <f>-0.25*(sigma^2*$A36^2-(rate-d)*$A36)*EurCall!AA37-(-0.5*sigma^2*$A36^2-0.5*rate+1/dt)*EurCall!AA36-0.25*(sigma^2*$A36^2+(rate-d)*$A36)*EurCall!AA35</f>
        <v>-1863.1169089945367</v>
      </c>
      <c r="AA36">
        <f>-0.25*(sigma^2*$A36^2-(rate-d)*$A36)*EurCall!AB37-(-0.5*sigma^2*$A36^2-0.5*rate+1/dt)*EurCall!AB36-0.25*(sigma^2*$A36^2+(rate-d)*$A36)*EurCall!AB35</f>
        <v>-1860.7500328459109</v>
      </c>
      <c r="AB36">
        <f>-0.25*(sigma^2*$A36^2-(rate-d)*$A36)*EurCall!AC37-(-0.5*sigma^2*$A36^2-0.5*rate+1/dt)*EurCall!AC36-0.25*(sigma^2*$A36^2+(rate-d)*$A36)*EurCall!AC35</f>
        <v>-1858.3823997496115</v>
      </c>
      <c r="AC36">
        <f>-0.25*(sigma^2*$A36^2-(rate-d)*$A36)*EurCall!AD37-(-0.5*sigma^2*$A36^2-0.5*rate+1/dt)*EurCall!AD36-0.25*(sigma^2*$A36^2+(rate-d)*$A36)*EurCall!AD35</f>
        <v>-1856.0139336791951</v>
      </c>
      <c r="AD36">
        <f>-0.25*(sigma^2*$A36^2-(rate-d)*$A36)*EurCall!AE37-(-0.5*sigma^2*$A36^2-0.5*rate+1/dt)*EurCall!AE36-0.25*(sigma^2*$A36^2+(rate-d)*$A36)*EurCall!AE35</f>
        <v>-1853.6445615723967</v>
      </c>
      <c r="AE36">
        <f>-0.25*(sigma^2*$A36^2-(rate-d)*$A36)*EurCall!AF37-(-0.5*sigma^2*$A36^2-0.5*rate+1/dt)*EurCall!AF36-0.25*(sigma^2*$A36^2+(rate-d)*$A36)*EurCall!AF35</f>
        <v>-1851.2742139367833</v>
      </c>
      <c r="AF36">
        <f>-0.25*(sigma^2*$A36^2-(rate-d)*$A36)*EurCall!AG37-(-0.5*sigma^2*$A36^2-0.5*rate+1/dt)*EurCall!AG36-0.25*(sigma^2*$A36^2+(rate-d)*$A36)*EurCall!AG35</f>
        <v>-1848.9028254162599</v>
      </c>
      <c r="AG36">
        <f>-0.25*(sigma^2*$A36^2-(rate-d)*$A36)*EurCall!AH37-(-0.5*sigma^2*$A36^2-0.5*rate+1/dt)*EurCall!AH36-0.25*(sigma^2*$A36^2+(rate-d)*$A36)*EurCall!AH35</f>
        <v>-1846.5303352997335</v>
      </c>
      <c r="AH36">
        <f>-0.25*(sigma^2*$A36^2-(rate-d)*$A36)*EurCall!AI37-(-0.5*sigma^2*$A36^2-0.5*rate+1/dt)*EurCall!AI36-0.25*(sigma^2*$A36^2+(rate-d)*$A36)*EurCall!AI35</f>
        <v>-1844.1566879526488</v>
      </c>
      <c r="AI36">
        <f>-0.25*(sigma^2*$A36^2-(rate-d)*$A36)*EurCall!AJ37-(-0.5*sigma^2*$A36^2-0.5*rate+1/dt)*EurCall!AJ36-0.25*(sigma^2*$A36^2+(rate-d)*$A36)*EurCall!AJ35</f>
        <v>-1841.781833152472</v>
      </c>
      <c r="AJ36">
        <f>-0.25*(sigma^2*$A36^2-(rate-d)*$A36)*EurCall!AK37-(-0.5*sigma^2*$A36^2-0.5*rate+1/dt)*EurCall!AK36-0.25*(sigma^2*$A36^2+(rate-d)*$A36)*EurCall!AK35</f>
        <v>-1839.4057263107316</v>
      </c>
      <c r="AK36">
        <f>-0.25*(sigma^2*$A36^2-(rate-d)*$A36)*EurCall!AL37-(-0.5*sigma^2*$A36^2-0.5*rate+1/dt)*EurCall!AL36-0.25*(sigma^2*$A36^2+(rate-d)*$A36)*EurCall!AL35</f>
        <v>-1837.0283285671655</v>
      </c>
      <c r="AL36">
        <f>-0.25*(sigma^2*$A36^2-(rate-d)*$A36)*EurCall!AM37-(-0.5*sigma^2*$A36^2-0.5*rate+1/dt)*EurCall!AM36-0.25*(sigma^2*$A36^2+(rate-d)*$A36)*EurCall!AM35</f>
        <v>-1834.649606746015</v>
      </c>
      <c r="AM36">
        <f>-0.25*(sigma^2*$A36^2-(rate-d)*$A36)*EurCall!AN37-(-0.5*sigma^2*$A36^2-0.5*rate+1/dt)*EurCall!AN36-0.25*(sigma^2*$A36^2+(rate-d)*$A36)*EurCall!AN35</f>
        <v>-1832.2695331706213</v>
      </c>
      <c r="AN36">
        <f>-0.25*(sigma^2*$A36^2-(rate-d)*$A36)*EurCall!AO37-(-0.5*sigma^2*$A36^2-0.5*rate+1/dt)*EurCall!AO36-0.25*(sigma^2*$A36^2+(rate-d)*$A36)*EurCall!AO35</f>
        <v>-1829.8880853400751</v>
      </c>
      <c r="AO36">
        <f>-0.25*(sigma^2*$A36^2-(rate-d)*$A36)*EurCall!AP37-(-0.5*sigma^2*$A36^2-0.5*rate+1/dt)*EurCall!AP36-0.25*(sigma^2*$A36^2+(rate-d)*$A36)*EurCall!AP35</f>
        <v>-1827.505245480399</v>
      </c>
      <c r="AP36">
        <f>-0.25*(sigma^2*$A36^2-(rate-d)*$A36)*EurCall!AQ37-(-0.5*sigma^2*$A36^2-0.5*rate+1/dt)*EurCall!AQ36-0.25*(sigma^2*$A36^2+(rate-d)*$A36)*EurCall!AQ35</f>
        <v>-1825.120999991992</v>
      </c>
      <c r="AQ36">
        <f>-0.25*(sigma^2*$A36^2-(rate-d)*$A36)*EurCall!AR37-(-0.5*sigma^2*$A36^2-0.5*rate+1/dt)*EurCall!AR36-0.25*(sigma^2*$A36^2+(rate-d)*$A36)*EurCall!AR35</f>
        <v>-1822.7353388238539</v>
      </c>
      <c r="AR36">
        <f>-0.25*(sigma^2*$A36^2-(rate-d)*$A36)*EurCall!AS37-(-0.5*sigma^2*$A36^2-0.5*rate+1/dt)*EurCall!AS36-0.25*(sigma^2*$A36^2+(rate-d)*$A36)*EurCall!AS35</f>
        <v>-1820.3482548122236</v>
      </c>
      <c r="AS36">
        <f>-0.25*(sigma^2*$A36^2-(rate-d)*$A36)*EurCall!AT37-(-0.5*sigma^2*$A36^2-0.5*rate+1/dt)*EurCall!AT36-0.25*(sigma^2*$A36^2+(rate-d)*$A36)*EurCall!AT35</f>
        <v>-1817.9597430252934</v>
      </c>
      <c r="AT36">
        <f>-0.25*(sigma^2*$A36^2-(rate-d)*$A36)*EurCall!AU37-(-0.5*sigma^2*$A36^2-0.5*rate+1/dt)*EurCall!AU36-0.25*(sigma^2*$A36^2+(rate-d)*$A36)*EurCall!AU35</f>
        <v>-1815.5698001552403</v>
      </c>
      <c r="AU36">
        <f>-0.25*(sigma^2*$A36^2-(rate-d)*$A36)*EurCall!AV37-(-0.5*sigma^2*$A36^2-0.5*rate+1/dt)*EurCall!AV36-0.25*(sigma^2*$A36^2+(rate-d)*$A36)*EurCall!AV35</f>
        <v>-1813.1784239929952</v>
      </c>
      <c r="AV36">
        <f>-0.25*(sigma^2*$A36^2-(rate-d)*$A36)*EurCall!AW37-(-0.5*sigma^2*$A36^2-0.5*rate+1/dt)*EurCall!AW36-0.25*(sigma^2*$A36^2+(rate-d)*$A36)*EurCall!AW35</f>
        <v>-1810.7856130099051</v>
      </c>
      <c r="AW36">
        <f>-0.25*(sigma^2*$A36^2-(rate-d)*$A36)*EurCall!AX37-(-0.5*sigma^2*$A36^2-0.5*rate+1/dt)*EurCall!AX36-0.25*(sigma^2*$A36^2+(rate-d)*$A36)*EurCall!AX35</f>
        <v>-1808.3913660550431</v>
      </c>
      <c r="AX36">
        <f>-0.25*(sigma^2*$A36^2-(rate-d)*$A36)*EurCall!AY37-(-0.5*sigma^2*$A36^2-0.5*rate+1/dt)*EurCall!AY36-0.25*(sigma^2*$A36^2+(rate-d)*$A36)*EurCall!AY35</f>
        <v>-1805.9956821603239</v>
      </c>
      <c r="AY36">
        <f>-0.25*(sigma^2*$A36^2-(rate-d)*$A36)*EurCall!AZ37-(-0.5*sigma^2*$A36^2-0.5*rate+1/dt)*EurCall!AZ36-0.25*(sigma^2*$A36^2+(rate-d)*$A36)*EurCall!AZ35</f>
        <v>-1803.5985604319433</v>
      </c>
      <c r="AZ36">
        <f>-0.25*(sigma^2*$A36^2-(rate-d)*$A36)*EurCall!BA37-(-0.5*sigma^2*$A36^2-0.5*rate+1/dt)*EurCall!BA36-0.25*(sigma^2*$A36^2+(rate-d)*$A36)*EurCall!BA35</f>
        <v>-1801.2</v>
      </c>
      <c r="BA36" s="6"/>
    </row>
    <row r="37" spans="1:53" x14ac:dyDescent="0.2">
      <c r="A37">
        <f t="shared" si="3"/>
        <v>28</v>
      </c>
      <c r="B37" s="3">
        <f t="shared" si="0"/>
        <v>56</v>
      </c>
      <c r="C37">
        <f>-0.25*(sigma^2*$A37^2-(rate-d)*$A37)*EurCall!D38-(-0.5*sigma^2*$A37^2-0.5*rate+1/dt)*EurCall!D37-0.25*(sigma^2*$A37^2+(rate-d)*$A37)*EurCall!D36</f>
        <v>-1718.0526129176621</v>
      </c>
      <c r="D37">
        <f>-0.25*(sigma^2*$A37^2-(rate-d)*$A37)*EurCall!E38-(-0.5*sigma^2*$A37^2-0.5*rate+1/dt)*EurCall!E37-0.25*(sigma^2*$A37^2+(rate-d)*$A37)*EurCall!E36</f>
        <v>-1715.6490762364745</v>
      </c>
      <c r="E37">
        <f>-0.25*(sigma^2*$A37^2-(rate-d)*$A37)*EurCall!F38-(-0.5*sigma^2*$A37^2-0.5*rate+1/dt)*EurCall!F37-0.25*(sigma^2*$A37^2+(rate-d)*$A37)*EurCall!F36</f>
        <v>-1713.2472744815248</v>
      </c>
      <c r="F37">
        <f>-0.25*(sigma^2*$A37^2-(rate-d)*$A37)*EurCall!G38-(-0.5*sigma^2*$A37^2-0.5*rate+1/dt)*EurCall!G37-0.25*(sigma^2*$A37^2+(rate-d)*$A37)*EurCall!G36</f>
        <v>-1710.8472084230175</v>
      </c>
      <c r="G37">
        <f>-0.25*(sigma^2*$A37^2-(rate-d)*$A37)*EurCall!H38-(-0.5*sigma^2*$A37^2-0.5*rate+1/dt)*EurCall!H37-0.25*(sigma^2*$A37^2+(rate-d)*$A37)*EurCall!H36</f>
        <v>-1708.4488739429694</v>
      </c>
      <c r="H37">
        <f>-0.25*(sigma^2*$A37^2-(rate-d)*$A37)*EurCall!I38-(-0.5*sigma^2*$A37^2-0.5*rate+1/dt)*EurCall!I37-0.25*(sigma^2*$A37^2+(rate-d)*$A37)*EurCall!I36</f>
        <v>-1706.0522617360416</v>
      </c>
      <c r="I37">
        <f>-0.25*(sigma^2*$A37^2-(rate-d)*$A37)*EurCall!J38-(-0.5*sigma^2*$A37^2-0.5*rate+1/dt)*EurCall!J37-0.25*(sigma^2*$A37^2+(rate-d)*$A37)*EurCall!J36</f>
        <v>-1703.6573570120206</v>
      </c>
      <c r="J37">
        <f>-0.25*(sigma^2*$A37^2-(rate-d)*$A37)*EurCall!K38-(-0.5*sigma^2*$A37^2-0.5*rate+1/dt)*EurCall!K37-0.25*(sigma^2*$A37^2+(rate-d)*$A37)*EurCall!K36</f>
        <v>-1701.2641392032049</v>
      </c>
      <c r="K37">
        <f>-0.25*(sigma^2*$A37^2-(rate-d)*$A37)*EurCall!L38-(-0.5*sigma^2*$A37^2-0.5*rate+1/dt)*EurCall!L37-0.25*(sigma^2*$A37^2+(rate-d)*$A37)*EurCall!L36</f>
        <v>-1698.8725816805172</v>
      </c>
      <c r="L37">
        <f>-0.25*(sigma^2*$A37^2-(rate-d)*$A37)*EurCall!M38-(-0.5*sigma^2*$A37^2-0.5*rate+1/dt)*EurCall!M37-0.25*(sigma^2*$A37^2+(rate-d)*$A37)*EurCall!M36</f>
        <v>-1696.482651482725</v>
      </c>
      <c r="M37">
        <f>-0.25*(sigma^2*$A37^2-(rate-d)*$A37)*EurCall!N38-(-0.5*sigma^2*$A37^2-0.5*rate+1/dt)*EurCall!N37-0.25*(sigma^2*$A37^2+(rate-d)*$A37)*EurCall!N36</f>
        <v>-1694.0943090637988</v>
      </c>
      <c r="N37">
        <f>-0.25*(sigma^2*$A37^2-(rate-d)*$A37)*EurCall!O38-(-0.5*sigma^2*$A37^2-0.5*rate+1/dt)*EurCall!O37-0.25*(sigma^2*$A37^2+(rate-d)*$A37)*EurCall!O36</f>
        <v>-1691.7075080640861</v>
      </c>
      <c r="O37">
        <f>-0.25*(sigma^2*$A37^2-(rate-d)*$A37)*EurCall!P38-(-0.5*sigma^2*$A37^2-0.5*rate+1/dt)*EurCall!P37-0.25*(sigma^2*$A37^2+(rate-d)*$A37)*EurCall!P36</f>
        <v>-1689.3221951116714</v>
      </c>
      <c r="P37">
        <f>-0.25*(sigma^2*$A37^2-(rate-d)*$A37)*EurCall!Q38-(-0.5*sigma^2*$A37^2-0.5*rate+1/dt)*EurCall!Q37-0.25*(sigma^2*$A37^2+(rate-d)*$A37)*EurCall!Q36</f>
        <v>-1686.9383096609886</v>
      </c>
      <c r="Q37">
        <f>-0.25*(sigma^2*$A37^2-(rate-d)*$A37)*EurCall!R38-(-0.5*sigma^2*$A37^2-0.5*rate+1/dt)*EurCall!R37-0.25*(sigma^2*$A37^2+(rate-d)*$A37)*EurCall!R36</f>
        <v>-1684.5557838764378</v>
      </c>
      <c r="R37">
        <f>-0.25*(sigma^2*$A37^2-(rate-d)*$A37)*EurCall!S38-(-0.5*sigma^2*$A37^2-0.5*rate+1/dt)*EurCall!S37-0.25*(sigma^2*$A37^2+(rate-d)*$A37)*EurCall!S36</f>
        <v>-1682.1745425694041</v>
      </c>
      <c r="S37">
        <f>-0.25*(sigma^2*$A37^2-(rate-d)*$A37)*EurCall!T38-(-0.5*sigma^2*$A37^2-0.5*rate+1/dt)*EurCall!T37-0.25*(sigma^2*$A37^2+(rate-d)*$A37)*EurCall!T36</f>
        <v>-1679.7945031976626</v>
      </c>
      <c r="T37">
        <f>-0.25*(sigma^2*$A37^2-(rate-d)*$A37)*EurCall!U38-(-0.5*sigma^2*$A37^2-0.5*rate+1/dt)*EurCall!U37-0.25*(sigma^2*$A37^2+(rate-d)*$A37)*EurCall!U36</f>
        <v>-1677.4155759366215</v>
      </c>
      <c r="U37">
        <f>-0.25*(sigma^2*$A37^2-(rate-d)*$A37)*EurCall!V38-(-0.5*sigma^2*$A37^2-0.5*rate+1/dt)*EurCall!V37-0.25*(sigma^2*$A37^2+(rate-d)*$A37)*EurCall!V36</f>
        <v>-1675.0376638321541</v>
      </c>
      <c r="V37">
        <f>-0.25*(sigma^2*$A37^2-(rate-d)*$A37)*EurCall!W38-(-0.5*sigma^2*$A37^2-0.5*rate+1/dt)*EurCall!W37-0.25*(sigma^2*$A37^2+(rate-d)*$A37)*EurCall!W36</f>
        <v>-1672.6606630448566</v>
      </c>
      <c r="W37">
        <f>-0.25*(sigma^2*$A37^2-(rate-d)*$A37)*EurCall!X38-(-0.5*sigma^2*$A37^2-0.5*rate+1/dt)*EurCall!X37-0.25*(sigma^2*$A37^2+(rate-d)*$A37)*EurCall!X36</f>
        <v>-1670.2844631953544</v>
      </c>
      <c r="X37">
        <f>-0.25*(sigma^2*$A37^2-(rate-d)*$A37)*EurCall!Y38-(-0.5*sigma^2*$A37^2-0.5*rate+1/dt)*EurCall!Y37-0.25*(sigma^2*$A37^2+(rate-d)*$A37)*EurCall!Y36</f>
        <v>-1667.9089478196684</v>
      </c>
      <c r="Y37">
        <f>-0.25*(sigma^2*$A37^2-(rate-d)*$A37)*EurCall!Z38-(-0.5*sigma^2*$A37^2-0.5*rate+1/dt)*EurCall!Z37-0.25*(sigma^2*$A37^2+(rate-d)*$A37)*EurCall!Z36</f>
        <v>-1665.5339949426038</v>
      </c>
      <c r="Z37">
        <f>-0.25*(sigma^2*$A37^2-(rate-d)*$A37)*EurCall!AA38-(-0.5*sigma^2*$A37^2-0.5*rate+1/dt)*EurCall!AA37-0.25*(sigma^2*$A37^2+(rate-d)*$A37)*EurCall!AA36</f>
        <v>-1663.1594777754601</v>
      </c>
      <c r="AA37">
        <f>-0.25*(sigma^2*$A37^2-(rate-d)*$A37)*EurCall!AB38-(-0.5*sigma^2*$A37^2-0.5*rate+1/dt)*EurCall!AB37-0.25*(sigma^2*$A37^2+(rate-d)*$A37)*EurCall!AB36</f>
        <v>-1660.7852655420584</v>
      </c>
      <c r="AB37">
        <f>-0.25*(sigma^2*$A37^2-(rate-d)*$A37)*EurCall!AC38-(-0.5*sigma^2*$A37^2-0.5*rate+1/dt)*EurCall!AC37-0.25*(sigma^2*$A37^2+(rate-d)*$A37)*EurCall!AC36</f>
        <v>-1658.4112244339863</v>
      </c>
      <c r="AC37">
        <f>-0.25*(sigma^2*$A37^2-(rate-d)*$A37)*EurCall!AD38-(-0.5*sigma^2*$A37^2-0.5*rate+1/dt)*EurCall!AD37-0.25*(sigma^2*$A37^2+(rate-d)*$A37)*EurCall!AD36</f>
        <v>-1656.0372186920165</v>
      </c>
      <c r="AD37">
        <f>-0.25*(sigma^2*$A37^2-(rate-d)*$A37)*EurCall!AE38-(-0.5*sigma^2*$A37^2-0.5*rate+1/dt)*EurCall!AE37-0.25*(sigma^2*$A37^2+(rate-d)*$A37)*EurCall!AE36</f>
        <v>-1653.6631118057874</v>
      </c>
      <c r="AE37">
        <f>-0.25*(sigma^2*$A37^2-(rate-d)*$A37)*EurCall!AF38-(-0.5*sigma^2*$A37^2-0.5*rate+1/dt)*EurCall!AF37-0.25*(sigma^2*$A37^2+(rate-d)*$A37)*EurCall!AF36</f>
        <v>-1651.2887678180382</v>
      </c>
      <c r="AF37">
        <f>-0.25*(sigma^2*$A37^2-(rate-d)*$A37)*EurCall!AG38-(-0.5*sigma^2*$A37^2-0.5*rate+1/dt)*EurCall!AG37-0.25*(sigma^2*$A37^2+(rate-d)*$A37)*EurCall!AG36</f>
        <v>-1648.9140527130176</v>
      </c>
      <c r="AG37">
        <f>-0.25*(sigma^2*$A37^2-(rate-d)*$A37)*EurCall!AH38-(-0.5*sigma^2*$A37^2-0.5*rate+1/dt)*EurCall!AH37-0.25*(sigma^2*$A37^2+(rate-d)*$A37)*EurCall!AH36</f>
        <v>-1646.538835861254</v>
      </c>
      <c r="AH37">
        <f>-0.25*(sigma^2*$A37^2-(rate-d)*$A37)*EurCall!AI38-(-0.5*sigma^2*$A37^2-0.5*rate+1/dt)*EurCall!AI37-0.25*(sigma^2*$A37^2+(rate-d)*$A37)*EurCall!AI36</f>
        <v>-1644.1629914849971</v>
      </c>
      <c r="AI37">
        <f>-0.25*(sigma^2*$A37^2-(rate-d)*$A37)*EurCall!AJ38-(-0.5*sigma^2*$A37^2-0.5*rate+1/dt)*EurCall!AJ37-0.25*(sigma^2*$A37^2+(rate-d)*$A37)*EurCall!AJ36</f>
        <v>-1641.7864001006697</v>
      </c>
      <c r="AJ37">
        <f>-0.25*(sigma^2*$A37^2-(rate-d)*$A37)*EurCall!AK38-(-0.5*sigma^2*$A37^2-0.5*rate+1/dt)*EurCall!AK37-0.25*(sigma^2*$A37^2+(rate-d)*$A37)*EurCall!AK36</f>
        <v>-1639.4089498872597</v>
      </c>
      <c r="AK37">
        <f>-0.25*(sigma^2*$A37^2-(rate-d)*$A37)*EurCall!AL38-(-0.5*sigma^2*$A37^2-0.5*rate+1/dt)*EurCall!AL37-0.25*(sigma^2*$A37^2+(rate-d)*$A37)*EurCall!AL36</f>
        <v>-1637.0305379235003</v>
      </c>
      <c r="AL37">
        <f>-0.25*(sigma^2*$A37^2-(rate-d)*$A37)*EurCall!AM38-(-0.5*sigma^2*$A37^2-0.5*rate+1/dt)*EurCall!AM37-0.25*(sigma^2*$A37^2+(rate-d)*$A37)*EurCall!AM36</f>
        <v>-1634.6510712329505</v>
      </c>
      <c r="AM37">
        <f>-0.25*(sigma^2*$A37^2-(rate-d)*$A37)*EurCall!AN38-(-0.5*sigma^2*$A37^2-0.5*rate+1/dt)*EurCall!AN37-0.25*(sigma^2*$A37^2+(rate-d)*$A37)*EurCall!AN36</f>
        <v>-1632.2704675758698</v>
      </c>
      <c r="AN37">
        <f>-0.25*(sigma^2*$A37^2-(rate-d)*$A37)*EurCall!AO38-(-0.5*sigma^2*$A37^2-0.5*rate+1/dt)*EurCall!AO37-0.25*(sigma^2*$A37^2+(rate-d)*$A37)*EurCall!AO36</f>
        <v>-1629.8886559313669</v>
      </c>
      <c r="AO37">
        <f>-0.25*(sigma^2*$A37^2-(rate-d)*$A37)*EurCall!AP38-(-0.5*sigma^2*$A37^2-0.5*rate+1/dt)*EurCall!AP37-0.25*(sigma^2*$A37^2+(rate-d)*$A37)*EurCall!AP36</f>
        <v>-1627.5055766238977</v>
      </c>
      <c r="AP37">
        <f>-0.25*(sigma^2*$A37^2-(rate-d)*$A37)*EurCall!AQ38-(-0.5*sigma^2*$A37^2-0.5*rate+1/dt)*EurCall!AQ37-0.25*(sigma^2*$A37^2+(rate-d)*$A37)*EurCall!AQ36</f>
        <v>-1625.1211810657494</v>
      </c>
      <c r="AQ37">
        <f>-0.25*(sigma^2*$A37^2-(rate-d)*$A37)*EurCall!AR38-(-0.5*sigma^2*$A37^2-0.5*rate+1/dt)*EurCall!AR37-0.25*(sigma^2*$A37^2+(rate-d)*$A37)*EurCall!AR36</f>
        <v>-1622.735431111945</v>
      </c>
      <c r="AR37">
        <f>-0.25*(sigma^2*$A37^2-(rate-d)*$A37)*EurCall!AS38-(-0.5*sigma^2*$A37^2-0.5*rate+1/dt)*EurCall!AS37-0.25*(sigma^2*$A37^2+(rate-d)*$A37)*EurCall!AS36</f>
        <v>-1620.3482980553144</v>
      </c>
      <c r="AS37">
        <f>-0.25*(sigma^2*$A37^2-(rate-d)*$A37)*EurCall!AT38-(-0.5*sigma^2*$A37^2-0.5*rate+1/dt)*EurCall!AT37-0.25*(sigma^2*$A37^2+(rate-d)*$A37)*EurCall!AT36</f>
        <v>-1617.9597613249268</v>
      </c>
      <c r="AT37">
        <f>-0.25*(sigma^2*$A37^2-(rate-d)*$A37)*EurCall!AU38-(-0.5*sigma^2*$A37^2-0.5*rate+1/dt)*EurCall!AU37-0.25*(sigma^2*$A37^2+(rate-d)*$A37)*EurCall!AU36</f>
        <v>-1615.5698069863961</v>
      </c>
      <c r="AU37">
        <f>-0.25*(sigma^2*$A37^2-(rate-d)*$A37)*EurCall!AV38-(-0.5*sigma^2*$A37^2-0.5*rate+1/dt)*EurCall!AV37-0.25*(sigma^2*$A37^2+(rate-d)*$A37)*EurCall!AV36</f>
        <v>-1613.1784261712605</v>
      </c>
      <c r="AV37">
        <f>-0.25*(sigma^2*$A37^2-(rate-d)*$A37)*EurCall!AW38-(-0.5*sigma^2*$A37^2-0.5*rate+1/dt)*EurCall!AW37-0.25*(sigma^2*$A37^2+(rate-d)*$A37)*EurCall!AW36</f>
        <v>-1610.7856135765981</v>
      </c>
      <c r="AW37">
        <f>-0.25*(sigma^2*$A37^2-(rate-d)*$A37)*EurCall!AX38-(-0.5*sigma^2*$A37^2-0.5*rate+1/dt)*EurCall!AX37-0.25*(sigma^2*$A37^2+(rate-d)*$A37)*EurCall!AX36</f>
        <v>-1608.3913661671149</v>
      </c>
      <c r="AX37">
        <f>-0.25*(sigma^2*$A37^2-(rate-d)*$A37)*EurCall!AY38-(-0.5*sigma^2*$A37^2-0.5*rate+1/dt)*EurCall!AY37-0.25*(sigma^2*$A37^2+(rate-d)*$A37)*EurCall!AY36</f>
        <v>-1605.9956821751955</v>
      </c>
      <c r="AY37">
        <f>-0.25*(sigma^2*$A37^2-(rate-d)*$A37)*EurCall!AZ38-(-0.5*sigma^2*$A37^2-0.5*rate+1/dt)*EurCall!AZ37-0.25*(sigma^2*$A37^2+(rate-d)*$A37)*EurCall!AZ36</f>
        <v>-1603.5985604329289</v>
      </c>
      <c r="AZ37">
        <f>-0.25*(sigma^2*$A37^2-(rate-d)*$A37)*EurCall!BA38-(-0.5*sigma^2*$A37^2-0.5*rate+1/dt)*EurCall!BA37-0.25*(sigma^2*$A37^2+(rate-d)*$A37)*EurCall!BA36</f>
        <v>-1601.2</v>
      </c>
      <c r="BA37" s="6"/>
    </row>
    <row r="38" spans="1:53" x14ac:dyDescent="0.2">
      <c r="A38">
        <f t="shared" si="3"/>
        <v>27</v>
      </c>
      <c r="B38" s="3">
        <f t="shared" si="0"/>
        <v>54</v>
      </c>
      <c r="C38">
        <f>-0.25*(sigma^2*$A38^2-(rate-d)*$A38)*EurCall!D39-(-0.5*sigma^2*$A38^2-0.5*rate+1/dt)*EurCall!D38-0.25*(sigma^2*$A38^2+(rate-d)*$A38)*EurCall!D37</f>
        <v>-1519.1517145698949</v>
      </c>
      <c r="D38">
        <f>-0.25*(sigma^2*$A38^2-(rate-d)*$A38)*EurCall!E39-(-0.5*sigma^2*$A38^2-0.5*rate+1/dt)*EurCall!E38-0.25*(sigma^2*$A38^2+(rate-d)*$A38)*EurCall!E37</f>
        <v>-1516.6887621852713</v>
      </c>
      <c r="E38">
        <f>-0.25*(sigma^2*$A38^2-(rate-d)*$A38)*EurCall!F39-(-0.5*sigma^2*$A38^2-0.5*rate+1/dt)*EurCall!F38-0.25*(sigma^2*$A38^2+(rate-d)*$A38)*EurCall!F37</f>
        <v>-1514.2286947427945</v>
      </c>
      <c r="F38">
        <f>-0.25*(sigma^2*$A38^2-(rate-d)*$A38)*EurCall!G39-(-0.5*sigma^2*$A38^2-0.5*rate+1/dt)*EurCall!G38-0.25*(sigma^2*$A38^2+(rate-d)*$A38)*EurCall!G37</f>
        <v>-1511.7715776923785</v>
      </c>
      <c r="G38">
        <f>-0.25*(sigma^2*$A38^2-(rate-d)*$A38)*EurCall!H39-(-0.5*sigma^2*$A38^2-0.5*rate+1/dt)*EurCall!H38-0.25*(sigma^2*$A38^2+(rate-d)*$A38)*EurCall!H37</f>
        <v>-1509.3174721185421</v>
      </c>
      <c r="H38">
        <f>-0.25*(sigma^2*$A38^2-(rate-d)*$A38)*EurCall!I39-(-0.5*sigma^2*$A38^2-0.5*rate+1/dt)*EurCall!I38-0.25*(sigma^2*$A38^2+(rate-d)*$A38)*EurCall!I37</f>
        <v>-1506.8664341829972</v>
      </c>
      <c r="I38">
        <f>-0.25*(sigma^2*$A38^2-(rate-d)*$A38)*EurCall!J39-(-0.5*sigma^2*$A38^2-0.5*rate+1/dt)*EurCall!J38-0.25*(sigma^2*$A38^2+(rate-d)*$A38)*EurCall!J37</f>
        <v>-1504.4185145323531</v>
      </c>
      <c r="J38">
        <f>-0.25*(sigma^2*$A38^2-(rate-d)*$A38)*EurCall!K39-(-0.5*sigma^2*$A38^2-0.5*rate+1/dt)*EurCall!K38-0.25*(sigma^2*$A38^2+(rate-d)*$A38)*EurCall!K37</f>
        <v>-1501.9737576714601</v>
      </c>
      <c r="K38">
        <f>-0.25*(sigma^2*$A38^2-(rate-d)*$A38)*EurCall!L39-(-0.5*sigma^2*$A38^2-0.5*rate+1/dt)*EurCall!L38-0.25*(sigma^2*$A38^2+(rate-d)*$A38)*EurCall!L37</f>
        <v>-1499.5322013035825</v>
      </c>
      <c r="L38">
        <f>-0.25*(sigma^2*$A38^2-(rate-d)*$A38)*EurCall!M39-(-0.5*sigma^2*$A38^2-0.5*rate+1/dt)*EurCall!M38-0.25*(sigma^2*$A38^2+(rate-d)*$A38)*EurCall!M37</f>
        <v>-1497.0938756393534</v>
      </c>
      <c r="M38">
        <f>-0.25*(sigma^2*$A38^2-(rate-d)*$A38)*EurCall!N39-(-0.5*sigma^2*$A38^2-0.5*rate+1/dt)*EurCall!N38-0.25*(sigma^2*$A38^2+(rate-d)*$A38)*EurCall!N37</f>
        <v>-1494.6588026774286</v>
      </c>
      <c r="N38">
        <f>-0.25*(sigma^2*$A38^2-(rate-d)*$A38)*EurCall!O39-(-0.5*sigma^2*$A38^2-0.5*rate+1/dt)*EurCall!O38-0.25*(sigma^2*$A38^2+(rate-d)*$A38)*EurCall!O37</f>
        <v>-1492.2269954608516</v>
      </c>
      <c r="O38">
        <f>-0.25*(sigma^2*$A38^2-(rate-d)*$A38)*EurCall!P39-(-0.5*sigma^2*$A38^2-0.5*rate+1/dt)*EurCall!P38-0.25*(sigma^2*$A38^2+(rate-d)*$A38)*EurCall!P37</f>
        <v>-1489.7984573144788</v>
      </c>
      <c r="P38">
        <f>-0.25*(sigma^2*$A38^2-(rate-d)*$A38)*EurCall!Q39-(-0.5*sigma^2*$A38^2-0.5*rate+1/dt)*EurCall!Q38-0.25*(sigma^2*$A38^2+(rate-d)*$A38)*EurCall!Q37</f>
        <v>-1487.37318107032</v>
      </c>
      <c r="Q38">
        <f>-0.25*(sigma^2*$A38^2-(rate-d)*$A38)*EurCall!R39-(-0.5*sigma^2*$A38^2-0.5*rate+1/dt)*EurCall!R38-0.25*(sigma^2*$A38^2+(rate-d)*$A38)*EurCall!R37</f>
        <v>-1484.9511482894188</v>
      </c>
      <c r="R38">
        <f>-0.25*(sigma^2*$A38^2-(rate-d)*$A38)*EurCall!S39-(-0.5*sigma^2*$A38^2-0.5*rate+1/dt)*EurCall!S38-0.25*(sigma^2*$A38^2+(rate-d)*$A38)*EurCall!S37</f>
        <v>-1482.5323284908823</v>
      </c>
      <c r="S38">
        <f>-0.25*(sigma^2*$A38^2-(rate-d)*$A38)*EurCall!T39-(-0.5*sigma^2*$A38^2-0.5*rate+1/dt)*EurCall!T38-0.25*(sigma^2*$A38^2+(rate-d)*$A38)*EurCall!T37</f>
        <v>-1480.1166784009158</v>
      </c>
      <c r="T38">
        <f>-0.25*(sigma^2*$A38^2-(rate-d)*$A38)*EurCall!U39-(-0.5*sigma^2*$A38^2-0.5*rate+1/dt)*EurCall!U38-0.25*(sigma^2*$A38^2+(rate-d)*$A38)*EurCall!U37</f>
        <v>-1477.7041412371914</v>
      </c>
      <c r="U38">
        <f>-0.25*(sigma^2*$A38^2-(rate-d)*$A38)*EurCall!V39-(-0.5*sigma^2*$A38^2-0.5*rate+1/dt)*EurCall!V38-0.25*(sigma^2*$A38^2+(rate-d)*$A38)*EurCall!V37</f>
        <v>-1475.2946460465841</v>
      </c>
      <c r="V38">
        <f>-0.25*(sigma^2*$A38^2-(rate-d)*$A38)*EurCall!W39-(-0.5*sigma^2*$A38^2-0.5*rate+1/dt)*EurCall!W38-0.25*(sigma^2*$A38^2+(rate-d)*$A38)*EurCall!W37</f>
        <v>-1472.8881071171832</v>
      </c>
      <c r="W38">
        <f>-0.25*(sigma^2*$A38^2-(rate-d)*$A38)*EurCall!X39-(-0.5*sigma^2*$A38^2-0.5*rate+1/dt)*EurCall!X38-0.25*(sigma^2*$A38^2+(rate-d)*$A38)*EurCall!X37</f>
        <v>-1470.4844234884933</v>
      </c>
      <c r="X38">
        <f>-0.25*(sigma^2*$A38^2-(rate-d)*$A38)*EurCall!Y39-(-0.5*sigma^2*$A38^2-0.5*rate+1/dt)*EurCall!Y38-0.25*(sigma^2*$A38^2+(rate-d)*$A38)*EurCall!Y37</f>
        <v>-1468.0834785867692</v>
      </c>
      <c r="Y38">
        <f>-0.25*(sigma^2*$A38^2-(rate-d)*$A38)*EurCall!Z39-(-0.5*sigma^2*$A38^2-0.5*rate+1/dt)*EurCall!Z38-0.25*(sigma^2*$A38^2+(rate-d)*$A38)*EurCall!Z37</f>
        <v>-1465.6851400153512</v>
      </c>
      <c r="Z38">
        <f>-0.25*(sigma^2*$A38^2-(rate-d)*$A38)*EurCall!AA39-(-0.5*sigma^2*$A38^2-0.5*rate+1/dt)*EurCall!AA38-0.25*(sigma^2*$A38^2+(rate-d)*$A38)*EurCall!AA37</f>
        <v>-1463.2892595325025</v>
      </c>
      <c r="AA38">
        <f>-0.25*(sigma^2*$A38^2-(rate-d)*$A38)*EurCall!AB39-(-0.5*sigma^2*$A38^2-0.5*rate+1/dt)*EurCall!AB38-0.25*(sigma^2*$A38^2+(rate-d)*$A38)*EurCall!AB37</f>
        <v>-1460.8956732513673</v>
      </c>
      <c r="AB38">
        <f>-0.25*(sigma^2*$A38^2-(rate-d)*$A38)*EurCall!AC39-(-0.5*sigma^2*$A38^2-0.5*rate+1/dt)*EurCall!AC38-0.25*(sigma^2*$A38^2+(rate-d)*$A38)*EurCall!AC37</f>
        <v>-1458.5042020979431</v>
      </c>
      <c r="AC38">
        <f>-0.25*(sigma^2*$A38^2-(rate-d)*$A38)*EurCall!AD39-(-0.5*sigma^2*$A38^2-0.5*rate+1/dt)*EurCall!AD38-0.25*(sigma^2*$A38^2+(rate-d)*$A38)*EurCall!AD37</f>
        <v>-1456.1146525630493</v>
      </c>
      <c r="AD38">
        <f>-0.25*(sigma^2*$A38^2-(rate-d)*$A38)*EurCall!AE39-(-0.5*sigma^2*$A38^2-0.5*rate+1/dt)*EurCall!AE38-0.25*(sigma^2*$A38^2+(rate-d)*$A38)*EurCall!AE37</f>
        <v>-1453.7268177826777</v>
      </c>
      <c r="AE38">
        <f>-0.25*(sigma^2*$A38^2-(rate-d)*$A38)*EurCall!AF39-(-0.5*sigma^2*$A38^2-0.5*rate+1/dt)*EurCall!AF38-0.25*(sigma^2*$A38^2+(rate-d)*$A38)*EurCall!AF37</f>
        <v>-1451.340478977346</v>
      </c>
      <c r="AF38">
        <f>-0.25*(sigma^2*$A38^2-(rate-d)*$A38)*EurCall!AG39-(-0.5*sigma^2*$A38^2-0.5*rate+1/dt)*EurCall!AG38-0.25*(sigma^2*$A38^2+(rate-d)*$A38)*EurCall!AG37</f>
        <v>-1448.9554072745163</v>
      </c>
      <c r="AG38">
        <f>-0.25*(sigma^2*$A38^2-(rate-d)*$A38)*EurCall!AH39-(-0.5*sigma^2*$A38^2-0.5*rate+1/dt)*EurCall!AH38-0.25*(sigma^2*$A38^2+(rate-d)*$A38)*EurCall!AH37</f>
        <v>-1446.5713659281855</v>
      </c>
      <c r="AH38">
        <f>-0.25*(sigma^2*$A38^2-(rate-d)*$A38)*EurCall!AI39-(-0.5*sigma^2*$A38^2-0.5*rate+1/dt)*EurCall!AI38-0.25*(sigma^2*$A38^2+(rate-d)*$A38)*EurCall!AI37</f>
        <v>-1444.188112935776</v>
      </c>
      <c r="AI38">
        <f>-0.25*(sigma^2*$A38^2-(rate-d)*$A38)*EurCall!AJ39-(-0.5*sigma^2*$A38^2-0.5*rate+1/dt)*EurCall!AJ38-0.25*(sigma^2*$A38^2+(rate-d)*$A38)*EurCall!AJ37</f>
        <v>-1441.8054040339357</v>
      </c>
      <c r="AJ38">
        <f>-0.25*(sigma^2*$A38^2-(rate-d)*$A38)*EurCall!AK39-(-0.5*sigma^2*$A38^2-0.5*rate+1/dt)*EurCall!AK38-0.25*(sigma^2*$A38^2+(rate-d)*$A38)*EurCall!AK37</f>
        <v>-1439.4229960314719</v>
      </c>
      <c r="AK38">
        <f>-0.25*(sigma^2*$A38^2-(rate-d)*$A38)*EurCall!AL39-(-0.5*sigma^2*$A38^2-0.5*rate+1/dt)*EurCall!AL38-0.25*(sigma^2*$A38^2+(rate-d)*$A38)*EurCall!AL37</f>
        <v>-1437.0406504094392</v>
      </c>
      <c r="AL38">
        <f>-0.25*(sigma^2*$A38^2-(rate-d)*$A38)*EurCall!AM39-(-0.5*sigma^2*$A38^2-0.5*rate+1/dt)*EurCall!AM38-0.25*(sigma^2*$A38^2+(rate-d)*$A38)*EurCall!AM37</f>
        <v>-1434.6581370859742</v>
      </c>
      <c r="AM38">
        <f>-0.25*(sigma^2*$A38^2-(rate-d)*$A38)*EurCall!AN39-(-0.5*sigma^2*$A38^2-0.5*rate+1/dt)*EurCall!AN38-0.25*(sigma^2*$A38^2+(rate-d)*$A38)*EurCall!AN37</f>
        <v>-1432.2752382082617</v>
      </c>
      <c r="AN38">
        <f>-0.25*(sigma^2*$A38^2-(rate-d)*$A38)*EurCall!AO39-(-0.5*sigma^2*$A38^2-0.5*rate+1/dt)*EurCall!AO38-0.25*(sigma^2*$A38^2+(rate-d)*$A38)*EurCall!AO37</f>
        <v>-1429.8917517985653</v>
      </c>
      <c r="AO38">
        <f>-0.25*(sigma^2*$A38^2-(rate-d)*$A38)*EurCall!AP39-(-0.5*sigma^2*$A38^2-0.5*rate+1/dt)*EurCall!AP38-0.25*(sigma^2*$A38^2+(rate-d)*$A38)*EurCall!AP37</f>
        <v>-1427.5074950495493</v>
      </c>
      <c r="AP38">
        <f>-0.25*(sigma^2*$A38^2-(rate-d)*$A38)*EurCall!AQ39-(-0.5*sigma^2*$A38^2-0.5*rate+1/dt)*EurCall!AQ38-0.25*(sigma^2*$A38^2+(rate-d)*$A38)*EurCall!AQ37</f>
        <v>-1425.1223070417238</v>
      </c>
      <c r="AQ38">
        <f>-0.25*(sigma^2*$A38^2-(rate-d)*$A38)*EurCall!AR39-(-0.5*sigma^2*$A38^2-0.5*rate+1/dt)*EurCall!AR38-0.25*(sigma^2*$A38^2+(rate-d)*$A38)*EurCall!AR37</f>
        <v>-1422.73605065007</v>
      </c>
      <c r="AR38">
        <f>-0.25*(sigma^2*$A38^2-(rate-d)*$A38)*EurCall!AS39-(-0.5*sigma^2*$A38^2-0.5*rate+1/dt)*EurCall!AS38-0.25*(sigma^2*$A38^2+(rate-d)*$A38)*EurCall!AS37</f>
        <v>-1420.3486134263046</v>
      </c>
      <c r="AS38">
        <f>-0.25*(sigma^2*$A38^2-(rate-d)*$A38)*EurCall!AT39-(-0.5*sigma^2*$A38^2-0.5*rate+1/dt)*EurCall!AT38-0.25*(sigma^2*$A38^2+(rate-d)*$A38)*EurCall!AT37</f>
        <v>-1417.9599072966723</v>
      </c>
      <c r="AT38">
        <f>-0.25*(sigma^2*$A38^2-(rate-d)*$A38)*EurCall!AU39-(-0.5*sigma^2*$A38^2-0.5*rate+1/dt)*EurCall!AU38-0.25*(sigma^2*$A38^2+(rate-d)*$A38)*EurCall!AU37</f>
        <v>-1415.5698670096303</v>
      </c>
      <c r="AU38">
        <f>-0.25*(sigma^2*$A38^2-(rate-d)*$A38)*EurCall!AV39-(-0.5*sigma^2*$A38^2-0.5*rate+1/dt)*EurCall!AV38-0.25*(sigma^2*$A38^2+(rate-d)*$A38)*EurCall!AV37</f>
        <v>-1413.178447404912</v>
      </c>
      <c r="AV38">
        <f>-0.25*(sigma^2*$A38^2-(rate-d)*$A38)*EurCall!AW39-(-0.5*sigma^2*$A38^2-0.5*rate+1/dt)*EurCall!AW38-0.25*(sigma^2*$A38^2+(rate-d)*$A38)*EurCall!AW37</f>
        <v>-1410.7856197461888</v>
      </c>
      <c r="AW38">
        <f>-0.25*(sigma^2*$A38^2-(rate-d)*$A38)*EurCall!AX39-(-0.5*sigma^2*$A38^2-0.5*rate+1/dt)*EurCall!AX38-0.25*(sigma^2*$A38^2+(rate-d)*$A38)*EurCall!AX37</f>
        <v>-1408.3913675375841</v>
      </c>
      <c r="AX38">
        <f>-0.25*(sigma^2*$A38^2-(rate-d)*$A38)*EurCall!AY39-(-0.5*sigma^2*$A38^2-0.5*rate+1/dt)*EurCall!AY38-0.25*(sigma^2*$A38^2+(rate-d)*$A38)*EurCall!AY37</f>
        <v>-1405.9956823803</v>
      </c>
      <c r="AY38">
        <f>-0.25*(sigma^2*$A38^2-(rate-d)*$A38)*EurCall!AZ39-(-0.5*sigma^2*$A38^2-0.5*rate+1/dt)*EurCall!AZ38-0.25*(sigma^2*$A38^2+(rate-d)*$A38)*EurCall!AZ37</f>
        <v>-1403.5985604482937</v>
      </c>
      <c r="AZ38">
        <f>-0.25*(sigma^2*$A38^2-(rate-d)*$A38)*EurCall!BA39-(-0.5*sigma^2*$A38^2-0.5*rate+1/dt)*EurCall!BA38-0.25*(sigma^2*$A38^2+(rate-d)*$A38)*EurCall!BA37</f>
        <v>-1401.2000000000003</v>
      </c>
      <c r="BA38" s="6"/>
    </row>
    <row r="39" spans="1:53" x14ac:dyDescent="0.2">
      <c r="A39">
        <f t="shared" si="3"/>
        <v>26</v>
      </c>
      <c r="B39" s="3">
        <f t="shared" si="0"/>
        <v>52</v>
      </c>
      <c r="C39">
        <f>-0.25*(sigma^2*$A39^2-(rate-d)*$A39)*EurCall!D40-(-0.5*sigma^2*$A39^2-0.5*rate+1/dt)*EurCall!D39-0.25*(sigma^2*$A39^2+(rate-d)*$A39)*EurCall!D38</f>
        <v>-1321.3668253491946</v>
      </c>
      <c r="D39">
        <f>-0.25*(sigma^2*$A39^2-(rate-d)*$A39)*EurCall!E40-(-0.5*sigma^2*$A39^2-0.5*rate+1/dt)*EurCall!E39-0.25*(sigma^2*$A39^2+(rate-d)*$A39)*EurCall!E38</f>
        <v>-1318.8060295257912</v>
      </c>
      <c r="E39">
        <f>-0.25*(sigma^2*$A39^2-(rate-d)*$A39)*EurCall!F40-(-0.5*sigma^2*$A39^2-0.5*rate+1/dt)*EurCall!F39-0.25*(sigma^2*$A39^2+(rate-d)*$A39)*EurCall!F38</f>
        <v>-1316.2489263480936</v>
      </c>
      <c r="F39">
        <f>-0.25*(sigma^2*$A39^2-(rate-d)*$A39)*EurCall!G40-(-0.5*sigma^2*$A39^2-0.5*rate+1/dt)*EurCall!G39-0.25*(sigma^2*$A39^2+(rate-d)*$A39)*EurCall!G38</f>
        <v>-1313.6956835820476</v>
      </c>
      <c r="G39">
        <f>-0.25*(sigma^2*$A39^2-(rate-d)*$A39)*EurCall!H40-(-0.5*sigma^2*$A39^2-0.5*rate+1/dt)*EurCall!H39-0.25*(sigma^2*$A39^2+(rate-d)*$A39)*EurCall!H38</f>
        <v>-1311.1464691143842</v>
      </c>
      <c r="H39">
        <f>-0.25*(sigma^2*$A39^2-(rate-d)*$A39)*EurCall!I40-(-0.5*sigma^2*$A39^2-0.5*rate+1/dt)*EurCall!I39-0.25*(sigma^2*$A39^2+(rate-d)*$A39)*EurCall!I38</f>
        <v>-1308.6014503583754</v>
      </c>
      <c r="I39">
        <f>-0.25*(sigma^2*$A39^2-(rate-d)*$A39)*EurCall!J40-(-0.5*sigma^2*$A39^2-0.5*rate+1/dt)*EurCall!J39-0.25*(sigma^2*$A39^2+(rate-d)*$A39)*EurCall!J38</f>
        <v>-1306.0607935819792</v>
      </c>
      <c r="J39">
        <f>-0.25*(sigma^2*$A39^2-(rate-d)*$A39)*EurCall!K40-(-0.5*sigma^2*$A39^2-0.5*rate+1/dt)*EurCall!K39-0.25*(sigma^2*$A39^2+(rate-d)*$A39)*EurCall!K38</f>
        <v>-1303.5246631516195</v>
      </c>
      <c r="K39">
        <f>-0.25*(sigma^2*$A39^2-(rate-d)*$A39)*EurCall!L40-(-0.5*sigma^2*$A39^2-0.5*rate+1/dt)*EurCall!L39-0.25*(sigma^2*$A39^2+(rate-d)*$A39)*EurCall!L38</f>
        <v>-1300.9932206846761</v>
      </c>
      <c r="L39">
        <f>-0.25*(sigma^2*$A39^2-(rate-d)*$A39)*EurCall!M40-(-0.5*sigma^2*$A39^2-0.5*rate+1/dt)*EurCall!M39-0.25*(sigma^2*$A39^2+(rate-d)*$A39)*EurCall!M38</f>
        <v>-1298.466624103705</v>
      </c>
      <c r="M39">
        <f>-0.25*(sigma^2*$A39^2-(rate-d)*$A39)*EurCall!N40-(-0.5*sigma^2*$A39^2-0.5*rate+1/dt)*EurCall!N39-0.25*(sigma^2*$A39^2+(rate-d)*$A39)*EurCall!N38</f>
        <v>-1295.945026585496</v>
      </c>
      <c r="N39">
        <f>-0.25*(sigma^2*$A39^2-(rate-d)*$A39)*EurCall!O40-(-0.5*sigma^2*$A39^2-0.5*rate+1/dt)*EurCall!O39-0.25*(sigma^2*$A39^2+(rate-d)*$A39)*EurCall!O38</f>
        <v>-1293.4285753983634</v>
      </c>
      <c r="O39">
        <f>-0.25*(sigma^2*$A39^2-(rate-d)*$A39)*EurCall!P40-(-0.5*sigma^2*$A39^2-0.5*rate+1/dt)*EurCall!P39-0.25*(sigma^2*$A39^2+(rate-d)*$A39)*EurCall!P38</f>
        <v>-1290.9174106215919</v>
      </c>
      <c r="P39">
        <f>-0.25*(sigma^2*$A39^2-(rate-d)*$A39)*EurCall!Q40-(-0.5*sigma^2*$A39^2-0.5*rate+1/dt)*EurCall!Q39-0.25*(sigma^2*$A39^2+(rate-d)*$A39)*EurCall!Q38</f>
        <v>-1288.4116637418274</v>
      </c>
      <c r="Q39">
        <f>-0.25*(sigma^2*$A39^2-(rate-d)*$A39)*EurCall!R40-(-0.5*sigma^2*$A39^2-0.5*rate+1/dt)*EurCall!R39-0.25*(sigma^2*$A39^2+(rate-d)*$A39)*EurCall!R38</f>
        <v>-1285.9114561224255</v>
      </c>
      <c r="R39">
        <f>-0.25*(sigma^2*$A39^2-(rate-d)*$A39)*EurCall!S40-(-0.5*sigma^2*$A39^2-0.5*rate+1/dt)*EurCall!S39-0.25*(sigma^2*$A39^2+(rate-d)*$A39)*EurCall!S38</f>
        <v>-1283.4168973435264</v>
      </c>
      <c r="S39">
        <f>-0.25*(sigma^2*$A39^2-(rate-d)*$A39)*EurCall!T40-(-0.5*sigma^2*$A39^2-0.5*rate+1/dt)*EurCall!T39-0.25*(sigma^2*$A39^2+(rate-d)*$A39)*EurCall!T38</f>
        <v>-1280.9280834129372</v>
      </c>
      <c r="T39">
        <f>-0.25*(sigma^2*$A39^2-(rate-d)*$A39)*EurCall!U40-(-0.5*sigma^2*$A39^2-0.5*rate+1/dt)*EurCall!U39-0.25*(sigma^2*$A39^2+(rate-d)*$A39)*EurCall!U38</f>
        <v>-1278.4450948509475</v>
      </c>
      <c r="U39">
        <f>-0.25*(sigma^2*$A39^2-(rate-d)*$A39)*EurCall!V40-(-0.5*sigma^2*$A39^2-0.5*rate+1/dt)*EurCall!V39-0.25*(sigma^2*$A39^2+(rate-d)*$A39)*EurCall!V38</f>
        <v>-1275.9679946560843</v>
      </c>
      <c r="V39">
        <f>-0.25*(sigma^2*$A39^2-(rate-d)*$A39)*EurCall!W40-(-0.5*sigma^2*$A39^2-0.5*rate+1/dt)*EurCall!W39-0.25*(sigma^2*$A39^2+(rate-d)*$A39)*EurCall!W38</f>
        <v>-1273.4968261636845</v>
      </c>
      <c r="W39">
        <f>-0.25*(sigma^2*$A39^2-(rate-d)*$A39)*EurCall!X40-(-0.5*sigma^2*$A39^2-0.5*rate+1/dt)*EurCall!X39-0.25*(sigma^2*$A39^2+(rate-d)*$A39)*EurCall!X38</f>
        <v>-1271.0316108151831</v>
      </c>
      <c r="X39">
        <f>-0.25*(sigma^2*$A39^2-(rate-d)*$A39)*EurCall!Y40-(-0.5*sigma^2*$A39^2-0.5*rate+1/dt)*EurCall!Y39-0.25*(sigma^2*$A39^2+(rate-d)*$A39)*EurCall!Y38</f>
        <v>-1268.5723458633056</v>
      </c>
      <c r="Y39">
        <f>-0.25*(sigma^2*$A39^2-(rate-d)*$A39)*EurCall!Z40-(-0.5*sigma^2*$A39^2-0.5*rate+1/dt)*EurCall!Z39-0.25*(sigma^2*$A39^2+(rate-d)*$A39)*EurCall!Z38</f>
        <v>-1266.1190020470913</v>
      </c>
      <c r="Z39">
        <f>-0.25*(sigma^2*$A39^2-(rate-d)*$A39)*EurCall!AA40-(-0.5*sigma^2*$A39^2-0.5*rate+1/dt)*EurCall!AA39-0.25*(sigma^2*$A39^2+(rate-d)*$A39)*EurCall!AA38</f>
        <v>-1263.6715212809349</v>
      </c>
      <c r="AA39">
        <f>-0.25*(sigma^2*$A39^2-(rate-d)*$A39)*EurCall!AB40-(-0.5*sigma^2*$A39^2-0.5*rate+1/dt)*EurCall!AB39-0.25*(sigma^2*$A39^2+(rate-d)*$A39)*EurCall!AB38</f>
        <v>-1261.2298144136969</v>
      </c>
      <c r="AB39">
        <f>-0.25*(sigma^2*$A39^2-(rate-d)*$A39)*EurCall!AC40-(-0.5*sigma^2*$A39^2-0.5*rate+1/dt)*EurCall!AC39-0.25*(sigma^2*$A39^2+(rate-d)*$A39)*EurCall!AC38</f>
        <v>-1258.7937591273592</v>
      </c>
      <c r="AC39">
        <f>-0.25*(sigma^2*$A39^2-(rate-d)*$A39)*EurCall!AD40-(-0.5*sigma^2*$A39^2-0.5*rate+1/dt)*EurCall!AD39-0.25*(sigma^2*$A39^2+(rate-d)*$A39)*EurCall!AD38</f>
        <v>-1256.3631980595517</v>
      </c>
      <c r="AD39">
        <f>-0.25*(sigma^2*$A39^2-(rate-d)*$A39)*EurCall!AE40-(-0.5*sigma^2*$A39^2-0.5*rate+1/dt)*EurCall!AE39-0.25*(sigma^2*$A39^2+(rate-d)*$A39)*EurCall!AE38</f>
        <v>-1253.9379372501949</v>
      </c>
      <c r="AE39">
        <f>-0.25*(sigma^2*$A39^2-(rate-d)*$A39)*EurCall!AF40-(-0.5*sigma^2*$A39^2-0.5*rate+1/dt)*EurCall!AF39-0.25*(sigma^2*$A39^2+(rate-d)*$A39)*EurCall!AF38</f>
        <v>-1251.5177450289261</v>
      </c>
      <c r="AF39">
        <f>-0.25*(sigma^2*$A39^2-(rate-d)*$A39)*EurCall!AG40-(-0.5*sigma^2*$A39^2-0.5*rate+1/dt)*EurCall!AG39-0.25*(sigma^2*$A39^2+(rate-d)*$A39)*EurCall!AG38</f>
        <v>-1249.1023514759659</v>
      </c>
      <c r="AG39">
        <f>-0.25*(sigma^2*$A39^2-(rate-d)*$A39)*EurCall!AH40-(-0.5*sigma^2*$A39^2-0.5*rate+1/dt)*EurCall!AH39-0.25*(sigma^2*$A39^2+(rate-d)*$A39)*EurCall!AH38</f>
        <v>-1246.6914486032663</v>
      </c>
      <c r="AH39">
        <f>-0.25*(sigma^2*$A39^2-(rate-d)*$A39)*EurCall!AI40-(-0.5*sigma^2*$A39^2-0.5*rate+1/dt)*EurCall!AI39-0.25*(sigma^2*$A39^2+(rate-d)*$A39)*EurCall!AI38</f>
        <v>-1244.2846914132897</v>
      </c>
      <c r="AI39">
        <f>-0.25*(sigma^2*$A39^2-(rate-d)*$A39)*EurCall!AJ40-(-0.5*sigma^2*$A39^2-0.5*rate+1/dt)*EurCall!AJ39-0.25*(sigma^2*$A39^2+(rate-d)*$A39)*EurCall!AJ38</f>
        <v>-1241.8816999969902</v>
      </c>
      <c r="AJ39">
        <f>-0.25*(sigma^2*$A39^2-(rate-d)*$A39)*EurCall!AK40-(-0.5*sigma^2*$A39^2-0.5*rate+1/dt)*EurCall!AK39-0.25*(sigma^2*$A39^2+(rate-d)*$A39)*EurCall!AK38</f>
        <v>-1239.4820628272428</v>
      </c>
      <c r="AK39">
        <f>-0.25*(sigma^2*$A39^2-(rate-d)*$A39)*EurCall!AL40-(-0.5*sigma^2*$A39^2-0.5*rate+1/dt)*EurCall!AL39-0.25*(sigma^2*$A39^2+(rate-d)*$A39)*EurCall!AL38</f>
        <v>-1237.085341384982</v>
      </c>
      <c r="AL39">
        <f>-0.25*(sigma^2*$A39^2-(rate-d)*$A39)*EurCall!AM40-(-0.5*sigma^2*$A39^2-0.5*rate+1/dt)*EurCall!AM39-0.25*(sigma^2*$A39^2+(rate-d)*$A39)*EurCall!AM38</f>
        <v>-1234.6910762178591</v>
      </c>
      <c r="AM39">
        <f>-0.25*(sigma^2*$A39^2-(rate-d)*$A39)*EurCall!AN40-(-0.5*sigma^2*$A39^2-0.5*rate+1/dt)*EurCall!AN39-0.25*(sigma^2*$A39^2+(rate-d)*$A39)*EurCall!AN38</f>
        <v>-1232.2987944700346</v>
      </c>
      <c r="AN39">
        <f>-0.25*(sigma^2*$A39^2-(rate-d)*$A39)*EurCall!AO40-(-0.5*sigma^2*$A39^2-0.5*rate+1/dt)*EurCall!AO39-0.25*(sigma^2*$A39^2+(rate-d)*$A39)*EurCall!AO38</f>
        <v>-1229.908018831514</v>
      </c>
      <c r="AO39">
        <f>-0.25*(sigma^2*$A39^2-(rate-d)*$A39)*EurCall!AP40-(-0.5*sigma^2*$A39^2-0.5*rate+1/dt)*EurCall!AP39-0.25*(sigma^2*$A39^2+(rate-d)*$A39)*EurCall!AP38</f>
        <v>-1227.5182777319931</v>
      </c>
      <c r="AP39">
        <f>-0.25*(sigma^2*$A39^2-(rate-d)*$A39)*EurCall!AQ40-(-0.5*sigma^2*$A39^2-0.5*rate+1/dt)*EurCall!AQ39-0.25*(sigma^2*$A39^2+(rate-d)*$A39)*EurCall!AQ38</f>
        <v>-1225.12911644581</v>
      </c>
      <c r="AQ39">
        <f>-0.25*(sigma^2*$A39^2-(rate-d)*$A39)*EurCall!AR40-(-0.5*sigma^2*$A39^2-0.5*rate+1/dt)*EurCall!AR39-0.25*(sigma^2*$A39^2+(rate-d)*$A39)*EurCall!AR38</f>
        <v>-1222.7401085847041</v>
      </c>
      <c r="AR39">
        <f>-0.25*(sigma^2*$A39^2-(rate-d)*$A39)*EurCall!AS40-(-0.5*sigma^2*$A39^2-0.5*rate+1/dt)*EurCall!AS39-0.25*(sigma^2*$A39^2+(rate-d)*$A39)*EurCall!AS38</f>
        <v>-1220.3508672454013</v>
      </c>
      <c r="AS39">
        <f>-0.25*(sigma^2*$A39^2-(rate-d)*$A39)*EurCall!AT40-(-0.5*sigma^2*$A39^2-0.5*rate+1/dt)*EurCall!AT39-0.25*(sigma^2*$A39^2+(rate-d)*$A39)*EurCall!AT38</f>
        <v>-1217.9610548744135</v>
      </c>
      <c r="AT39">
        <f>-0.25*(sigma^2*$A39^2-(rate-d)*$A39)*EurCall!AU40-(-0.5*sigma^2*$A39^2-0.5*rate+1/dt)*EurCall!AU39-0.25*(sigma^2*$A39^2+(rate-d)*$A39)*EurCall!AU38</f>
        <v>-1215.5703907557447</v>
      </c>
      <c r="AU39">
        <f>-0.25*(sigma^2*$A39^2-(rate-d)*$A39)*EurCall!AV40-(-0.5*sigma^2*$A39^2-0.5*rate+1/dt)*EurCall!AV39-0.25*(sigma^2*$A39^2+(rate-d)*$A39)*EurCall!AV38</f>
        <v>-1213.17865498429</v>
      </c>
      <c r="AV39">
        <f>-0.25*(sigma^2*$A39^2-(rate-d)*$A39)*EurCall!AW40-(-0.5*sigma^2*$A39^2-0.5*rate+1/dt)*EurCall!AW39-0.25*(sigma^2*$A39^2+(rate-d)*$A39)*EurCall!AW38</f>
        <v>-1210.7856879481858</v>
      </c>
      <c r="AW39">
        <f>-0.25*(sigma^2*$A39^2-(rate-d)*$A39)*EurCall!AX40-(-0.5*sigma^2*$A39^2-0.5*rate+1/dt)*EurCall!AX39-0.25*(sigma^2*$A39^2+(rate-d)*$A39)*EurCall!AX38</f>
        <v>-1208.3913848112209</v>
      </c>
      <c r="AX39">
        <f>-0.25*(sigma^2*$A39^2-(rate-d)*$A39)*EurCall!AY40-(-0.5*sigma^2*$A39^2-0.5*rate+1/dt)*EurCall!AY39-0.25*(sigma^2*$A39^2+(rate-d)*$A39)*EurCall!AY38</f>
        <v>-1205.9956853463093</v>
      </c>
      <c r="AY39">
        <f>-0.25*(sigma^2*$A39^2-(rate-d)*$A39)*EurCall!AZ40-(-0.5*sigma^2*$A39^2-0.5*rate+1/dt)*EurCall!AZ39-0.25*(sigma^2*$A39^2+(rate-d)*$A39)*EurCall!AZ38</f>
        <v>-1203.5985607040679</v>
      </c>
      <c r="AZ39">
        <f>-0.25*(sigma^2*$A39^2-(rate-d)*$A39)*EurCall!BA40-(-0.5*sigma^2*$A39^2-0.5*rate+1/dt)*EurCall!BA39-0.25*(sigma^2*$A39^2+(rate-d)*$A39)*EurCall!BA38</f>
        <v>-1201.2000000000003</v>
      </c>
      <c r="BA39" s="6"/>
    </row>
    <row r="40" spans="1:53" x14ac:dyDescent="0.2">
      <c r="A40">
        <f t="shared" si="3"/>
        <v>25</v>
      </c>
      <c r="B40" s="3">
        <f t="shared" si="0"/>
        <v>50</v>
      </c>
      <c r="C40">
        <f>-0.25*(sigma^2*$A40^2-(rate-d)*$A40)*EurCall!D41-(-0.5*sigma^2*$A40^2-0.5*rate+1/dt)*EurCall!D40-0.25*(sigma^2*$A40^2+(rate-d)*$A40)*EurCall!D39</f>
        <v>-1125.7010576202711</v>
      </c>
      <c r="D40">
        <f>-0.25*(sigma^2*$A40^2-(rate-d)*$A40)*EurCall!E41-(-0.5*sigma^2*$A40^2-0.5*rate+1/dt)*EurCall!E40-0.25*(sigma^2*$A40^2+(rate-d)*$A40)*EurCall!E39</f>
        <v>-1122.9900502442395</v>
      </c>
      <c r="E40">
        <f>-0.25*(sigma^2*$A40^2-(rate-d)*$A40)*EurCall!F41-(-0.5*sigma^2*$A40^2-0.5*rate+1/dt)*EurCall!F40-0.25*(sigma^2*$A40^2+(rate-d)*$A40)*EurCall!F39</f>
        <v>-1120.2823442338208</v>
      </c>
      <c r="F40">
        <f>-0.25*(sigma^2*$A40^2-(rate-d)*$A40)*EurCall!G41-(-0.5*sigma^2*$A40^2-0.5*rate+1/dt)*EurCall!G40-0.25*(sigma^2*$A40^2+(rate-d)*$A40)*EurCall!G39</f>
        <v>-1117.5782198551128</v>
      </c>
      <c r="G40">
        <f>-0.25*(sigma^2*$A40^2-(rate-d)*$A40)*EurCall!H41-(-0.5*sigma^2*$A40^2-0.5*rate+1/dt)*EurCall!H40-0.25*(sigma^2*$A40^2+(rate-d)*$A40)*EurCall!H39</f>
        <v>-1114.8779669038988</v>
      </c>
      <c r="H40">
        <f>-0.25*(sigma^2*$A40^2-(rate-d)*$A40)*EurCall!I41-(-0.5*sigma^2*$A40^2-0.5*rate+1/dt)*EurCall!I40-0.25*(sigma^2*$A40^2+(rate-d)*$A40)*EurCall!I39</f>
        <v>-1112.1818846503841</v>
      </c>
      <c r="I40">
        <f>-0.25*(sigma^2*$A40^2-(rate-d)*$A40)*EurCall!J41-(-0.5*sigma^2*$A40^2-0.5*rate+1/dt)*EurCall!J40-0.25*(sigma^2*$A40^2+(rate-d)*$A40)*EurCall!J39</f>
        <v>-1109.4902817101615</v>
      </c>
      <c r="J40">
        <f>-0.25*(sigma^2*$A40^2-(rate-d)*$A40)*EurCall!K41-(-0.5*sigma^2*$A40^2-0.5*rate+1/dt)*EurCall!K40-0.25*(sigma^2*$A40^2+(rate-d)*$A40)*EurCall!K39</f>
        <v>-1106.8034758281376</v>
      </c>
      <c r="K40">
        <f>-0.25*(sigma^2*$A40^2-(rate-d)*$A40)*EurCall!L41-(-0.5*sigma^2*$A40^2-0.5*rate+1/dt)*EurCall!L40-0.25*(sigma^2*$A40^2+(rate-d)*$A40)*EurCall!L39</f>
        <v>-1104.1217935603356</v>
      </c>
      <c r="L40">
        <f>-0.25*(sigma^2*$A40^2-(rate-d)*$A40)*EurCall!M41-(-0.5*sigma^2*$A40^2-0.5*rate+1/dt)*EurCall!M40-0.25*(sigma^2*$A40^2+(rate-d)*$A40)*EurCall!M39</f>
        <v>-1101.4455698364729</v>
      </c>
      <c r="M40">
        <f>-0.25*(sigma^2*$A40^2-(rate-d)*$A40)*EurCall!N41-(-0.5*sigma^2*$A40^2-0.5*rate+1/dt)*EurCall!N40-0.25*(sigma^2*$A40^2+(rate-d)*$A40)*EurCall!N39</f>
        <v>-1098.7751473840231</v>
      </c>
      <c r="N40">
        <f>-0.25*(sigma^2*$A40^2-(rate-d)*$A40)*EurCall!O41-(-0.5*sigma^2*$A40^2-0.5*rate+1/dt)*EurCall!O40-0.25*(sigma^2*$A40^2+(rate-d)*$A40)*EurCall!O39</f>
        <v>-1096.1108759920967</v>
      </c>
      <c r="O40">
        <f>-0.25*(sigma^2*$A40^2-(rate-d)*$A40)*EurCall!P41-(-0.5*sigma^2*$A40^2-0.5*rate+1/dt)*EurCall!P40-0.25*(sigma^2*$A40^2+(rate-d)*$A40)*EurCall!P39</f>
        <v>-1093.4531115909331</v>
      </c>
      <c r="P40">
        <f>-0.25*(sigma^2*$A40^2-(rate-d)*$A40)*EurCall!Q41-(-0.5*sigma^2*$A40^2-0.5*rate+1/dt)*EurCall!Q40-0.25*(sigma^2*$A40^2+(rate-d)*$A40)*EurCall!Q39</f>
        <v>-1090.8022151201267</v>
      </c>
      <c r="Q40">
        <f>-0.25*(sigma^2*$A40^2-(rate-d)*$A40)*EurCall!R41-(-0.5*sigma^2*$A40^2-0.5*rate+1/dt)*EurCall!R40-0.25*(sigma^2*$A40^2+(rate-d)*$A40)*EurCall!R39</f>
        <v>-1088.158551155961</v>
      </c>
      <c r="R40">
        <f>-0.25*(sigma^2*$A40^2-(rate-d)*$A40)*EurCall!S41-(-0.5*sigma^2*$A40^2-0.5*rate+1/dt)*EurCall!S40-0.25*(sigma^2*$A40^2+(rate-d)*$A40)*EurCall!S39</f>
        <v>-1085.5224862654547</v>
      </c>
      <c r="S40">
        <f>-0.25*(sigma^2*$A40^2-(rate-d)*$A40)*EurCall!T41-(-0.5*sigma^2*$A40^2-0.5*rate+1/dt)*EurCall!T40-0.25*(sigma^2*$A40^2+(rate-d)*$A40)*EurCall!T39</f>
        <v>-1082.8943870520716</v>
      </c>
      <c r="T40">
        <f>-0.25*(sigma^2*$A40^2-(rate-d)*$A40)*EurCall!U41-(-0.5*sigma^2*$A40^2-0.5*rate+1/dt)*EurCall!U40-0.25*(sigma^2*$A40^2+(rate-d)*$A40)*EurCall!U39</f>
        <v>-1080.2746178556392</v>
      </c>
      <c r="U40">
        <f>-0.25*(sigma^2*$A40^2-(rate-d)*$A40)*EurCall!V41-(-0.5*sigma^2*$A40^2-0.5*rate+1/dt)*EurCall!V40-0.25*(sigma^2*$A40^2+(rate-d)*$A40)*EurCall!V39</f>
        <v>-1077.6635380670639</v>
      </c>
      <c r="V40">
        <f>-0.25*(sigma^2*$A40^2-(rate-d)*$A40)*EurCall!W41-(-0.5*sigma^2*$A40^2-0.5*rate+1/dt)*EurCall!W40-0.25*(sigma^2*$A40^2+(rate-d)*$A40)*EurCall!W39</f>
        <v>-1075.0614990172237</v>
      </c>
      <c r="W40">
        <f>-0.25*(sigma^2*$A40^2-(rate-d)*$A40)*EurCall!X41-(-0.5*sigma^2*$A40^2-0.5*rate+1/dt)*EurCall!X40-0.25*(sigma^2*$A40^2+(rate-d)*$A40)*EurCall!X39</f>
        <v>-1072.468840399293</v>
      </c>
      <c r="X40">
        <f>-0.25*(sigma^2*$A40^2-(rate-d)*$A40)*EurCall!Y41-(-0.5*sigma^2*$A40^2-0.5*rate+1/dt)*EurCall!Y40-0.25*(sigma^2*$A40^2+(rate-d)*$A40)*EurCall!Y39</f>
        <v>-1069.8858861851877</v>
      </c>
      <c r="Y40">
        <f>-0.25*(sigma^2*$A40^2-(rate-d)*$A40)*EurCall!Z41-(-0.5*sigma^2*$A40^2-0.5*rate+1/dt)*EurCall!Z40-0.25*(sigma^2*$A40^2+(rate-d)*$A40)*EurCall!Z39</f>
        <v>-1067.312940000392</v>
      </c>
      <c r="Z40">
        <f>-0.25*(sigma^2*$A40^2-(rate-d)*$A40)*EurCall!AA41-(-0.5*sigma^2*$A40^2-0.5*rate+1/dt)*EurCall!AA40-0.25*(sigma^2*$A40^2+(rate-d)*$A40)*EurCall!AA39</f>
        <v>-1064.7502799279007</v>
      </c>
      <c r="AA40">
        <f>-0.25*(sigma^2*$A40^2-(rate-d)*$A40)*EurCall!AB41-(-0.5*sigma^2*$A40^2-0.5*rate+1/dt)*EurCall!AB40-0.25*(sigma^2*$A40^2+(rate-d)*$A40)*EurCall!AB39</f>
        <v>-1062.1981527222383</v>
      </c>
      <c r="AB40">
        <f>-0.25*(sigma^2*$A40^2-(rate-d)*$A40)*EurCall!AC41-(-0.5*sigma^2*$A40^2-0.5*rate+1/dt)*EurCall!AC40-0.25*(sigma^2*$A40^2+(rate-d)*$A40)*EurCall!AC39</f>
        <v>-1059.6567674296441</v>
      </c>
      <c r="AC40">
        <f>-0.25*(sigma^2*$A40^2-(rate-d)*$A40)*EurCall!AD41-(-0.5*sigma^2*$A40^2-0.5*rate+1/dt)*EurCall!AD40-0.25*(sigma^2*$A40^2+(rate-d)*$A40)*EurCall!AD39</f>
        <v>-1057.1262884317814</v>
      </c>
      <c r="AD40">
        <f>-0.25*(sigma^2*$A40^2-(rate-d)*$A40)*EurCall!AE41-(-0.5*sigma^2*$A40^2-0.5*rate+1/dt)*EurCall!AE40-0.25*(sigma^2*$A40^2+(rate-d)*$A40)*EurCall!AE39</f>
        <v>-1054.606827959238</v>
      </c>
      <c r="AE40">
        <f>-0.25*(sigma^2*$A40^2-(rate-d)*$A40)*EurCall!AF41-(-0.5*sigma^2*$A40^2-0.5*rate+1/dt)*EurCall!AF40-0.25*(sigma^2*$A40^2+(rate-d)*$A40)*EurCall!AF39</f>
        <v>-1052.0984381592471</v>
      </c>
      <c r="AF40">
        <f>-0.25*(sigma^2*$A40^2-(rate-d)*$A40)*EurCall!AG41-(-0.5*sigma^2*$A40^2-0.5*rate+1/dt)*EurCall!AG40-0.25*(sigma^2*$A40^2+(rate-d)*$A40)*EurCall!AG39</f>
        <v>-1049.6011028511862</v>
      </c>
      <c r="AG40">
        <f>-0.25*(sigma^2*$A40^2-(rate-d)*$A40)*EurCall!AH41-(-0.5*sigma^2*$A40^2-0.5*rate+1/dt)*EurCall!AH40-0.25*(sigma^2*$A40^2+(rate-d)*$A40)*EurCall!AH39</f>
        <v>-1047.114729165173</v>
      </c>
      <c r="AH40">
        <f>-0.25*(sigma^2*$A40^2-(rate-d)*$A40)*EurCall!AI41-(-0.5*sigma^2*$A40^2-0.5*rate+1/dt)*EurCall!AI40-0.25*(sigma^2*$A40^2+(rate-d)*$A40)*EurCall!AI39</f>
        <v>-1044.6391393347733</v>
      </c>
      <c r="AI40">
        <f>-0.25*(sigma^2*$A40^2-(rate-d)*$A40)*EurCall!AJ41-(-0.5*sigma^2*$A40^2-0.5*rate+1/dt)*EurCall!AJ40-0.25*(sigma^2*$A40^2+(rate-d)*$A40)*EurCall!AJ39</f>
        <v>-1042.1740630052298</v>
      </c>
      <c r="AJ40">
        <f>-0.25*(sigma^2*$A40^2-(rate-d)*$A40)*EurCall!AK41-(-0.5*sigma^2*$A40^2-0.5*rate+1/dt)*EurCall!AK40-0.25*(sigma^2*$A40^2+(rate-d)*$A40)*EurCall!AK39</f>
        <v>-1039.7191305230949</v>
      </c>
      <c r="AK40">
        <f>-0.25*(sigma^2*$A40^2-(rate-d)*$A40)*EurCall!AL41-(-0.5*sigma^2*$A40^2-0.5*rate+1/dt)*EurCall!AL40-0.25*(sigma^2*$A40^2+(rate-d)*$A40)*EurCall!AL39</f>
        <v>-1037.2738677891821</v>
      </c>
      <c r="AL40">
        <f>-0.25*(sigma^2*$A40^2-(rate-d)*$A40)*EurCall!AM41-(-0.5*sigma^2*$A40^2-0.5*rate+1/dt)*EurCall!AM40-0.25*(sigma^2*$A40^2+(rate-d)*$A40)*EurCall!AM39</f>
        <v>-1034.8376933785682</v>
      </c>
      <c r="AM40">
        <f>-0.25*(sigma^2*$A40^2-(rate-d)*$A40)*EurCall!AN41-(-0.5*sigma^2*$A40^2-0.5*rate+1/dt)*EurCall!AN40-0.25*(sigma^2*$A40^2+(rate-d)*$A40)*EurCall!AN39</f>
        <v>-1032.4099187485331</v>
      </c>
      <c r="AN40">
        <f>-0.25*(sigma^2*$A40^2-(rate-d)*$A40)*EurCall!AO41-(-0.5*sigma^2*$A40^2-0.5*rate+1/dt)*EurCall!AO40-0.25*(sigma^2*$A40^2+(rate-d)*$A40)*EurCall!AO39</f>
        <v>-1029.9897524507146</v>
      </c>
      <c r="AO40">
        <f>-0.25*(sigma^2*$A40^2-(rate-d)*$A40)*EurCall!AP41-(-0.5*sigma^2*$A40^2-0.5*rate+1/dt)*EurCall!AP40-0.25*(sigma^2*$A40^2+(rate-d)*$A40)*EurCall!AP39</f>
        <v>-1027.57630931123</v>
      </c>
      <c r="AP40">
        <f>-0.25*(sigma^2*$A40^2-(rate-d)*$A40)*EurCall!AQ41-(-0.5*sigma^2*$A40^2-0.5*rate+1/dt)*EurCall!AQ40-0.25*(sigma^2*$A40^2+(rate-d)*$A40)*EurCall!AQ39</f>
        <v>-1025.1686255042976</v>
      </c>
      <c r="AQ40">
        <f>-0.25*(sigma^2*$A40^2-(rate-d)*$A40)*EurCall!AR41-(-0.5*sigma^2*$A40^2-0.5*rate+1/dt)*EurCall!AR40-0.25*(sigma^2*$A40^2+(rate-d)*$A40)*EurCall!AR39</f>
        <v>-1022.7656802692886</v>
      </c>
      <c r="AR40">
        <f>-0.25*(sigma^2*$A40^2-(rate-d)*$A40)*EurCall!AS41-(-0.5*sigma^2*$A40^2-0.5*rate+1/dt)*EurCall!AS40-0.25*(sigma^2*$A40^2+(rate-d)*$A40)*EurCall!AS39</f>
        <v>-1020.3664246415647</v>
      </c>
      <c r="AS40">
        <f>-0.25*(sigma^2*$A40^2-(rate-d)*$A40)*EurCall!AT41-(-0.5*sigma^2*$A40^2-0.5*rate+1/dt)*EurCall!AT40-0.25*(sigma^2*$A40^2+(rate-d)*$A40)*EurCall!AT39</f>
        <v>-1017.9698169052151</v>
      </c>
      <c r="AT40">
        <f>-0.25*(sigma^2*$A40^2-(rate-d)*$A40)*EurCall!AU41-(-0.5*sigma^2*$A40^2-0.5*rate+1/dt)*EurCall!AU40-0.25*(sigma^2*$A40^2+(rate-d)*$A40)*EurCall!AU39</f>
        <v>-1015.5748634504266</v>
      </c>
      <c r="AU40">
        <f>-0.25*(sigma^2*$A40^2-(rate-d)*$A40)*EurCall!AV41-(-0.5*sigma^2*$A40^2-0.5*rate+1/dt)*EurCall!AV40-0.25*(sigma^2*$A40^2+(rate-d)*$A40)*EurCall!AV39</f>
        <v>-1013.1806622731123</v>
      </c>
      <c r="AV40">
        <f>-0.25*(sigma^2*$A40^2-(rate-d)*$A40)*EurCall!AW41-(-0.5*sigma^2*$A40^2-0.5*rate+1/dt)*EurCall!AW40-0.25*(sigma^2*$A40^2+(rate-d)*$A40)*EurCall!AW39</f>
        <v>-1010.7864445110474</v>
      </c>
      <c r="AW40">
        <f>-0.25*(sigma^2*$A40^2-(rate-d)*$A40)*EurCall!AX41-(-0.5*sigma^2*$A40^2-0.5*rate+1/dt)*EurCall!AX40-0.25*(sigma^2*$A40^2+(rate-d)*$A40)*EurCall!AX39</f>
        <v>-1008.391607373953</v>
      </c>
      <c r="AX40">
        <f>-0.25*(sigma^2*$A40^2-(rate-d)*$A40)*EurCall!AY41-(-0.5*sigma^2*$A40^2-0.5*rate+1/dt)*EurCall!AY40-0.25*(sigma^2*$A40^2+(rate-d)*$A40)*EurCall!AY39</f>
        <v>-1005.9957301790785</v>
      </c>
      <c r="AY40">
        <f>-0.25*(sigma^2*$A40^2-(rate-d)*$A40)*EurCall!AZ41-(-0.5*sigma^2*$A40^2-0.5*rate+1/dt)*EurCall!AZ40-0.25*(sigma^2*$A40^2+(rate-d)*$A40)*EurCall!AZ39</f>
        <v>-1003.5985652655535</v>
      </c>
      <c r="AZ40">
        <f>-0.25*(sigma^2*$A40^2-(rate-d)*$A40)*EurCall!BA41-(-0.5*sigma^2*$A40^2-0.5*rate+1/dt)*EurCall!BA40-0.25*(sigma^2*$A40^2+(rate-d)*$A40)*EurCall!BA39</f>
        <v>-1001.2</v>
      </c>
      <c r="BA40" s="6"/>
    </row>
    <row r="41" spans="1:53" x14ac:dyDescent="0.2">
      <c r="A41">
        <f t="shared" si="3"/>
        <v>24</v>
      </c>
      <c r="B41" s="3">
        <f t="shared" si="0"/>
        <v>48</v>
      </c>
      <c r="C41">
        <f>-0.25*(sigma^2*$A41^2-(rate-d)*$A41)*EurCall!D42-(-0.5*sigma^2*$A41^2-0.5*rate+1/dt)*EurCall!D41-0.25*(sigma^2*$A41^2+(rate-d)*$A41)*EurCall!D40</f>
        <v>-933.89080736798871</v>
      </c>
      <c r="D41">
        <f>-0.25*(sigma^2*$A41^2-(rate-d)*$A41)*EurCall!E42-(-0.5*sigma^2*$A41^2-0.5*rate+1/dt)*EurCall!E41-0.25*(sigma^2*$A41^2+(rate-d)*$A41)*EurCall!E40</f>
        <v>-930.96964464881057</v>
      </c>
      <c r="E41">
        <f>-0.25*(sigma^2*$A41^2-(rate-d)*$A41)*EurCall!F42-(-0.5*sigma^2*$A41^2-0.5*rate+1/dt)*EurCall!F41-0.25*(sigma^2*$A41^2+(rate-d)*$A41)*EurCall!F40</f>
        <v>-928.0490142767112</v>
      </c>
      <c r="F41">
        <f>-0.25*(sigma^2*$A41^2-(rate-d)*$A41)*EurCall!G42-(-0.5*sigma^2*$A41^2-0.5*rate+1/dt)*EurCall!G41-0.25*(sigma^2*$A41^2+(rate-d)*$A41)*EurCall!G40</f>
        <v>-925.12924361570117</v>
      </c>
      <c r="G41">
        <f>-0.25*(sigma^2*$A41^2-(rate-d)*$A41)*EurCall!H42-(-0.5*sigma^2*$A41^2-0.5*rate+1/dt)*EurCall!H41-0.25*(sigma^2*$A41^2+(rate-d)*$A41)*EurCall!H40</f>
        <v>-922.21068040096839</v>
      </c>
      <c r="H41">
        <f>-0.25*(sigma^2*$A41^2-(rate-d)*$A41)*EurCall!I42-(-0.5*sigma^2*$A41^2-0.5*rate+1/dt)*EurCall!I41-0.25*(sigma^2*$A41^2+(rate-d)*$A41)*EurCall!I40</f>
        <v>-919.29369386619373</v>
      </c>
      <c r="I41">
        <f>-0.25*(sigma^2*$A41^2-(rate-d)*$A41)*EurCall!J42-(-0.5*sigma^2*$A41^2-0.5*rate+1/dt)*EurCall!J41-0.25*(sigma^2*$A41^2+(rate-d)*$A41)*EurCall!J40</f>
        <v>-916.37867590658061</v>
      </c>
      <c r="J41">
        <f>-0.25*(sigma^2*$A41^2-(rate-d)*$A41)*EurCall!K42-(-0.5*sigma^2*$A41^2-0.5*rate+1/dt)*EurCall!K41-0.25*(sigma^2*$A41^2+(rate-d)*$A41)*EurCall!K40</f>
        <v>-913.46604227166108</v>
      </c>
      <c r="K41">
        <f>-0.25*(sigma^2*$A41^2-(rate-d)*$A41)*EurCall!L42-(-0.5*sigma^2*$A41^2-0.5*rate+1/dt)*EurCall!L41-0.25*(sigma^2*$A41^2+(rate-d)*$A41)*EurCall!L40</f>
        <v>-910.5562337797935</v>
      </c>
      <c r="L41">
        <f>-0.25*(sigma^2*$A41^2-(rate-d)*$A41)*EurCall!M42-(-0.5*sigma^2*$A41^2-0.5*rate+1/dt)*EurCall!M41-0.25*(sigma^2*$A41^2+(rate-d)*$A41)*EurCall!M40</f>
        <v>-907.64971754365592</v>
      </c>
      <c r="M41">
        <f>-0.25*(sigma^2*$A41^2-(rate-d)*$A41)*EurCall!N42-(-0.5*sigma^2*$A41^2-0.5*rate+1/dt)*EurCall!N41-0.25*(sigma^2*$A41^2+(rate-d)*$A41)*EurCall!N40</f>
        <v>-904.7469881928281</v>
      </c>
      <c r="N41">
        <f>-0.25*(sigma^2*$A41^2-(rate-d)*$A41)*EurCall!O42-(-0.5*sigma^2*$A41^2-0.5*rate+1/dt)*EurCall!O41-0.25*(sigma^2*$A41^2+(rate-d)*$A41)*EurCall!O40</f>
        <v>-901.84856907565711</v>
      </c>
      <c r="O41">
        <f>-0.25*(sigma^2*$A41^2-(rate-d)*$A41)*EurCall!P42-(-0.5*sigma^2*$A41^2-0.5*rate+1/dt)*EurCall!P41-0.25*(sigma^2*$A41^2+(rate-d)*$A41)*EurCall!P40</f>
        <v>-898.95501341788099</v>
      </c>
      <c r="P41">
        <f>-0.25*(sigma^2*$A41^2-(rate-d)*$A41)*EurCall!Q42-(-0.5*sigma^2*$A41^2-0.5*rate+1/dt)*EurCall!Q41-0.25*(sigma^2*$A41^2+(rate-d)*$A41)*EurCall!Q40</f>
        <v>-896.0669054097873</v>
      </c>
      <c r="Q41">
        <f>-0.25*(sigma^2*$A41^2-(rate-d)*$A41)*EurCall!R42-(-0.5*sigma^2*$A41^2-0.5*rate+1/dt)*EurCall!R41-0.25*(sigma^2*$A41^2+(rate-d)*$A41)*EurCall!R40</f>
        <v>-893.18486118685337</v>
      </c>
      <c r="R41">
        <f>-0.25*(sigma^2*$A41^2-(rate-d)*$A41)*EurCall!S42-(-0.5*sigma^2*$A41^2-0.5*rate+1/dt)*EurCall!S41-0.25*(sigma^2*$A41^2+(rate-d)*$A41)*EurCall!S40</f>
        <v>-890.30952966064615</v>
      </c>
      <c r="S41">
        <f>-0.25*(sigma^2*$A41^2-(rate-d)*$A41)*EurCall!T42-(-0.5*sigma^2*$A41^2-0.5*rate+1/dt)*EurCall!T41-0.25*(sigma^2*$A41^2+(rate-d)*$A41)*EurCall!T40</f>
        <v>-887.44159314706997</v>
      </c>
      <c r="T41">
        <f>-0.25*(sigma^2*$A41^2-(rate-d)*$A41)*EurCall!U42-(-0.5*sigma^2*$A41^2-0.5*rate+1/dt)*EurCall!U41-0.25*(sigma^2*$A41^2+(rate-d)*$A41)*EurCall!U40</f>
        <v>-884.581767727586</v>
      </c>
      <c r="U41">
        <f>-0.25*(sigma^2*$A41^2-(rate-d)*$A41)*EurCall!V42-(-0.5*sigma^2*$A41^2-0.5*rate+1/dt)*EurCall!V41-0.25*(sigma^2*$A41^2+(rate-d)*$A41)*EurCall!V40</f>
        <v>-881.73080326559125</v>
      </c>
      <c r="V41">
        <f>-0.25*(sigma^2*$A41^2-(rate-d)*$A41)*EurCall!W42-(-0.5*sigma^2*$A41^2-0.5*rate+1/dt)*EurCall!W41-0.25*(sigma^2*$A41^2+(rate-d)*$A41)*EurCall!W40</f>
        <v>-878.88948298448179</v>
      </c>
      <c r="W41">
        <f>-0.25*(sigma^2*$A41^2-(rate-d)*$A41)*EurCall!X42-(-0.5*sigma^2*$A41^2-0.5*rate+1/dt)*EurCall!X41-0.25*(sigma^2*$A41^2+(rate-d)*$A41)*EurCall!X40</f>
        <v>-876.05862249585903</v>
      </c>
      <c r="X41">
        <f>-0.25*(sigma^2*$A41^2-(rate-d)*$A41)*EurCall!Y42-(-0.5*sigma^2*$A41^2-0.5*rate+1/dt)*EurCall!Y41-0.25*(sigma^2*$A41^2+(rate-d)*$A41)*EurCall!Y40</f>
        <v>-873.23906814569204</v>
      </c>
      <c r="Y41">
        <f>-0.25*(sigma^2*$A41^2-(rate-d)*$A41)*EurCall!Z42-(-0.5*sigma^2*$A41^2-0.5*rate+1/dt)*EurCall!Z41-0.25*(sigma^2*$A41^2+(rate-d)*$A41)*EurCall!Z40</f>
        <v>-870.43169452299185</v>
      </c>
      <c r="Z41">
        <f>-0.25*(sigma^2*$A41^2-(rate-d)*$A41)*EurCall!AA42-(-0.5*sigma^2*$A41^2-0.5*rate+1/dt)*EurCall!AA41-0.25*(sigma^2*$A41^2+(rate-d)*$A41)*EurCall!AA40</f>
        <v>-867.63740094976913</v>
      </c>
      <c r="AA41">
        <f>-0.25*(sigma^2*$A41^2-(rate-d)*$A41)*EurCall!AB42-(-0.5*sigma^2*$A41^2-0.5*rate+1/dt)*EurCall!AB41-0.25*(sigma^2*$A41^2+(rate-d)*$A41)*EurCall!AB40</f>
        <v>-864.85710674308939</v>
      </c>
      <c r="AB41">
        <f>-0.25*(sigma^2*$A41^2-(rate-d)*$A41)*EurCall!AC42-(-0.5*sigma^2*$A41^2-0.5*rate+1/dt)*EurCall!AC41-0.25*(sigma^2*$A41^2+(rate-d)*$A41)*EurCall!AC40</f>
        <v>-862.09174501061523</v>
      </c>
      <c r="AC41">
        <f>-0.25*(sigma^2*$A41^2-(rate-d)*$A41)*EurCall!AD42-(-0.5*sigma^2*$A41^2-0.5*rate+1/dt)*EurCall!AD41-0.25*(sigma^2*$A41^2+(rate-d)*$A41)*EurCall!AD40</f>
        <v>-859.34225471136574</v>
      </c>
      <c r="AD41">
        <f>-0.25*(sigma^2*$A41^2-(rate-d)*$A41)*EurCall!AE42-(-0.5*sigma^2*$A41^2-0.5*rate+1/dt)*EurCall!AE41-0.25*(sigma^2*$A41^2+(rate-d)*$A41)*EurCall!AE40</f>
        <v>-856.60957068552136</v>
      </c>
      <c r="AE41">
        <f>-0.25*(sigma^2*$A41^2-(rate-d)*$A41)*EurCall!AF42-(-0.5*sigma^2*$A41^2-0.5*rate+1/dt)*EurCall!AF41-0.25*(sigma^2*$A41^2+(rate-d)*$A41)*EurCall!AF40</f>
        <v>-853.89461133397754</v>
      </c>
      <c r="AF41">
        <f>-0.25*(sigma^2*$A41^2-(rate-d)*$A41)*EurCall!AG42-(-0.5*sigma^2*$A41^2-0.5*rate+1/dt)*EurCall!AG41-0.25*(sigma^2*$A41^2+(rate-d)*$A41)*EurCall!AG40</f>
        <v>-851.19826361443074</v>
      </c>
      <c r="AG41">
        <f>-0.25*(sigma^2*$A41^2-(rate-d)*$A41)*EurCall!AH42-(-0.5*sigma^2*$A41^2-0.5*rate+1/dt)*EurCall!AH41-0.25*(sigma^2*$A41^2+(rate-d)*$A41)*EurCall!AH40</f>
        <v>-848.52136502240546</v>
      </c>
      <c r="AH41">
        <f>-0.25*(sigma^2*$A41^2-(rate-d)*$A41)*EurCall!AI42-(-0.5*sigma^2*$A41^2-0.5*rate+1/dt)*EurCall!AI41-0.25*(sigma^2*$A41^2+(rate-d)*$A41)*EurCall!AI40</f>
        <v>-845.86468225157546</v>
      </c>
      <c r="AI41">
        <f>-0.25*(sigma^2*$A41^2-(rate-d)*$A41)*EurCall!AJ42-(-0.5*sigma^2*$A41^2-0.5*rate+1/dt)*EurCall!AJ41-0.25*(sigma^2*$A41^2+(rate-d)*$A41)*EurCall!AJ40</f>
        <v>-843.22888628995429</v>
      </c>
      <c r="AJ41">
        <f>-0.25*(sigma^2*$A41^2-(rate-d)*$A41)*EurCall!AK42-(-0.5*sigma^2*$A41^2-0.5*rate+1/dt)*EurCall!AK41-0.25*(sigma^2*$A41^2+(rate-d)*$A41)*EurCall!AK40</f>
        <v>-840.61452382287143</v>
      </c>
      <c r="AK41">
        <f>-0.25*(sigma^2*$A41^2-(rate-d)*$A41)*EurCall!AL42-(-0.5*sigma^2*$A41^2-0.5*rate+1/dt)*EurCall!AL41-0.25*(sigma^2*$A41^2+(rate-d)*$A41)*EurCall!AL40</f>
        <v>-838.02198500063685</v>
      </c>
      <c r="AL41">
        <f>-0.25*(sigma^2*$A41^2-(rate-d)*$A41)*EurCall!AM42-(-0.5*sigma^2*$A41^2-0.5*rate+1/dt)*EurCall!AM41-0.25*(sigma^2*$A41^2+(rate-d)*$A41)*EurCall!AM40</f>
        <v>-835.45146791416812</v>
      </c>
      <c r="AM41">
        <f>-0.25*(sigma^2*$A41^2-(rate-d)*$A41)*EurCall!AN42-(-0.5*sigma^2*$A41^2-0.5*rate+1/dt)*EurCall!AN41-0.25*(sigma^2*$A41^2+(rate-d)*$A41)*EurCall!AN40</f>
        <v>-832.90294053669277</v>
      </c>
      <c r="AN41">
        <f>-0.25*(sigma^2*$A41^2-(rate-d)*$A41)*EurCall!AO42-(-0.5*sigma^2*$A41^2-0.5*rate+1/dt)*EurCall!AO41-0.25*(sigma^2*$A41^2+(rate-d)*$A41)*EurCall!AO40</f>
        <v>-830.37610146937732</v>
      </c>
      <c r="AO41">
        <f>-0.25*(sigma^2*$A41^2-(rate-d)*$A41)*EurCall!AP42-(-0.5*sigma^2*$A41^2-0.5*rate+1/dt)*EurCall!AP41-0.25*(sigma^2*$A41^2+(rate-d)*$A41)*EurCall!AP40</f>
        <v>-827.8703416101813</v>
      </c>
      <c r="AP41">
        <f>-0.25*(sigma^2*$A41^2-(rate-d)*$A41)*EurCall!AQ42-(-0.5*sigma^2*$A41^2-0.5*rate+1/dt)*EurCall!AQ41-0.25*(sigma^2*$A41^2+(rate-d)*$A41)*EurCall!AQ40</f>
        <v>-825.38470987983555</v>
      </c>
      <c r="AQ41">
        <f>-0.25*(sigma^2*$A41^2-(rate-d)*$A41)*EurCall!AR42-(-0.5*sigma^2*$A41^2-0.5*rate+1/dt)*EurCall!AR41-0.25*(sigma^2*$A41^2+(rate-d)*$A41)*EurCall!AR40</f>
        <v>-822.91788739961203</v>
      </c>
      <c r="AR41">
        <f>-0.25*(sigma^2*$A41^2-(rate-d)*$A41)*EurCall!AS42-(-0.5*sigma^2*$A41^2-0.5*rate+1/dt)*EurCall!AS41-0.25*(sigma^2*$A41^2+(rate-d)*$A41)*EurCall!AS40</f>
        <v>-820.46817599289011</v>
      </c>
      <c r="AS41">
        <f>-0.25*(sigma^2*$A41^2-(rate-d)*$A41)*EurCall!AT42-(-0.5*sigma^2*$A41^2-0.5*rate+1/dt)*EurCall!AT41-0.25*(sigma^2*$A41^2+(rate-d)*$A41)*EurCall!AT40</f>
        <v>-818.033508461976</v>
      </c>
      <c r="AT41">
        <f>-0.25*(sigma^2*$A41^2-(rate-d)*$A41)*EurCall!AU42-(-0.5*sigma^2*$A41^2-0.5*rate+1/dt)*EurCall!AU41-0.25*(sigma^2*$A41^2+(rate-d)*$A41)*EurCall!AU40</f>
        <v>-815.6114895014689</v>
      </c>
      <c r="AU41">
        <f>-0.25*(sigma^2*$A41^2-(rate-d)*$A41)*EurCall!AV42-(-0.5*sigma^2*$A41^2-0.5*rate+1/dt)*EurCall!AV41-0.25*(sigma^2*$A41^2+(rate-d)*$A41)*EurCall!AV40</f>
        <v>-813.19947679974666</v>
      </c>
      <c r="AV41">
        <f>-0.25*(sigma^2*$A41^2-(rate-d)*$A41)*EurCall!AW42-(-0.5*sigma^2*$A41^2-0.5*rate+1/dt)*EurCall!AW41-0.25*(sigma^2*$A41^2+(rate-d)*$A41)*EurCall!AW40</f>
        <v>-810.79471082312</v>
      </c>
      <c r="AW41">
        <f>-0.25*(sigma^2*$A41^2-(rate-d)*$A41)*EurCall!AX42-(-0.5*sigma^2*$A41^2-0.5*rate+1/dt)*EurCall!AX41-0.25*(sigma^2*$A41^2+(rate-d)*$A41)*EurCall!AX40</f>
        <v>-808.3944971424005</v>
      </c>
      <c r="AX41">
        <f>-0.25*(sigma^2*$A41^2-(rate-d)*$A41)*EurCall!AY42-(-0.5*sigma^2*$A41^2-0.5*rate+1/dt)*EurCall!AY41-0.25*(sigma^2*$A41^2+(rate-d)*$A41)*EurCall!AY40</f>
        <v>-805.99643379092686</v>
      </c>
      <c r="AY41">
        <f>-0.25*(sigma^2*$A41^2-(rate-d)*$A41)*EurCall!AZ42-(-0.5*sigma^2*$A41^2-0.5*rate+1/dt)*EurCall!AZ41-0.25*(sigma^2*$A41^2+(rate-d)*$A41)*EurCall!AZ40</f>
        <v>-803.59865270949444</v>
      </c>
      <c r="AZ41">
        <f>-0.25*(sigma^2*$A41^2-(rate-d)*$A41)*EurCall!BA42-(-0.5*sigma^2*$A41^2-0.5*rate+1/dt)*EurCall!BA41-0.25*(sigma^2*$A41^2+(rate-d)*$A41)*EurCall!BA40</f>
        <v>-801.2</v>
      </c>
      <c r="BA41" s="6"/>
    </row>
    <row r="42" spans="1:53" x14ac:dyDescent="0.2">
      <c r="A42">
        <f t="shared" si="3"/>
        <v>23</v>
      </c>
      <c r="B42" s="3">
        <f t="shared" si="0"/>
        <v>46</v>
      </c>
      <c r="C42">
        <f>-0.25*(sigma^2*$A42^2-(rate-d)*$A42)*EurCall!D43-(-0.5*sigma^2*$A42^2-0.5*rate+1/dt)*EurCall!D42-0.25*(sigma^2*$A42^2+(rate-d)*$A42)*EurCall!D41</f>
        <v>-748.74367201975065</v>
      </c>
      <c r="D42">
        <f>-0.25*(sigma^2*$A42^2-(rate-d)*$A42)*EurCall!E43-(-0.5*sigma^2*$A42^2-0.5*rate+1/dt)*EurCall!E42-0.25*(sigma^2*$A42^2+(rate-d)*$A42)*EurCall!E41</f>
        <v>-745.56464512488469</v>
      </c>
      <c r="E42">
        <f>-0.25*(sigma^2*$A42^2-(rate-d)*$A42)*EurCall!F43-(-0.5*sigma^2*$A42^2-0.5*rate+1/dt)*EurCall!F42-0.25*(sigma^2*$A42^2+(rate-d)*$A42)*EurCall!F41</f>
        <v>-742.38007591103667</v>
      </c>
      <c r="F42">
        <f>-0.25*(sigma^2*$A42^2-(rate-d)*$A42)*EurCall!G43-(-0.5*sigma^2*$A42^2-0.5*rate+1/dt)*EurCall!G42-0.25*(sigma^2*$A42^2+(rate-d)*$A42)*EurCall!G41</f>
        <v>-739.19016344712657</v>
      </c>
      <c r="G42">
        <f>-0.25*(sigma^2*$A42^2-(rate-d)*$A42)*EurCall!H43-(-0.5*sigma^2*$A42^2-0.5*rate+1/dt)*EurCall!H42-0.25*(sigma^2*$A42^2+(rate-d)*$A42)*EurCall!H41</f>
        <v>-735.99512931224933</v>
      </c>
      <c r="H42">
        <f>-0.25*(sigma^2*$A42^2-(rate-d)*$A42)*EurCall!I43-(-0.5*sigma^2*$A42^2-0.5*rate+1/dt)*EurCall!I42-0.25*(sigma^2*$A42^2+(rate-d)*$A42)*EurCall!I41</f>
        <v>-732.79521971570955</v>
      </c>
      <c r="I42">
        <f>-0.25*(sigma^2*$A42^2-(rate-d)*$A42)*EurCall!J43-(-0.5*sigma^2*$A42^2-0.5*rate+1/dt)*EurCall!J42-0.25*(sigma^2*$A42^2+(rate-d)*$A42)*EurCall!J41</f>
        <v>-729.59070782323488</v>
      </c>
      <c r="J42">
        <f>-0.25*(sigma^2*$A42^2-(rate-d)*$A42)*EurCall!K43-(-0.5*sigma^2*$A42^2-0.5*rate+1/dt)*EurCall!K42-0.25*(sigma^2*$A42^2+(rate-d)*$A42)*EurCall!K41</f>
        <v>-726.38189630940428</v>
      </c>
      <c r="K42">
        <f>-0.25*(sigma^2*$A42^2-(rate-d)*$A42)*EurCall!L43-(-0.5*sigma^2*$A42^2-0.5*rate+1/dt)*EurCall!L42-0.25*(sigma^2*$A42^2+(rate-d)*$A42)*EurCall!L41</f>
        <v>-723.169120157929</v>
      </c>
      <c r="L42">
        <f>-0.25*(sigma^2*$A42^2-(rate-d)*$A42)*EurCall!M43-(-0.5*sigma^2*$A42^2-0.5*rate+1/dt)*EurCall!M42-0.25*(sigma^2*$A42^2+(rate-d)*$A42)*EurCall!M41</f>
        <v>-719.95274973301878</v>
      </c>
      <c r="M42">
        <f>-0.25*(sigma^2*$A42^2-(rate-d)*$A42)*EurCall!N43-(-0.5*sigma^2*$A42^2-0.5*rate+1/dt)*EurCall!N42-0.25*(sigma^2*$A42^2+(rate-d)*$A42)*EurCall!N41</f>
        <v>-716.73319414656078</v>
      </c>
      <c r="N42">
        <f>-0.25*(sigma^2*$A42^2-(rate-d)*$A42)*EurCall!O43-(-0.5*sigma^2*$A42^2-0.5*rate+1/dt)*EurCall!O42-0.25*(sigma^2*$A42^2+(rate-d)*$A42)*EurCall!O41</f>
        <v>-713.51090494718687</v>
      </c>
      <c r="O42">
        <f>-0.25*(sigma^2*$A42^2-(rate-d)*$A42)*EurCall!P43-(-0.5*sigma^2*$A42^2-0.5*rate+1/dt)*EurCall!P42-0.25*(sigma^2*$A42^2+(rate-d)*$A42)*EurCall!P41</f>
        <v>-710.28638015833667</v>
      </c>
      <c r="P42">
        <f>-0.25*(sigma^2*$A42^2-(rate-d)*$A42)*EurCall!Q43-(-0.5*sigma^2*$A42^2-0.5*rate+1/dt)*EurCall!Q42-0.25*(sigma^2*$A42^2+(rate-d)*$A42)*EurCall!Q41</f>
        <v>-707.06016869300197</v>
      </c>
      <c r="Q42">
        <f>-0.25*(sigma^2*$A42^2-(rate-d)*$A42)*EurCall!R43-(-0.5*sigma^2*$A42^2-0.5*rate+1/dt)*EurCall!R42-0.25*(sigma^2*$A42^2+(rate-d)*$A42)*EurCall!R41</f>
        <v>-703.83287517272674</v>
      </c>
      <c r="R42">
        <f>-0.25*(sigma^2*$A42^2-(rate-d)*$A42)*EurCall!S43-(-0.5*sigma^2*$A42^2-0.5*rate+1/dt)*EurCall!S42-0.25*(sigma^2*$A42^2+(rate-d)*$A42)*EurCall!S41</f>
        <v>-700.60516517732276</v>
      </c>
      <c r="S42">
        <f>-0.25*(sigma^2*$A42^2-(rate-d)*$A42)*EurCall!T43-(-0.5*sigma^2*$A42^2-0.5*rate+1/dt)*EurCall!T42-0.25*(sigma^2*$A42^2+(rate-d)*$A42)*EurCall!T41</f>
        <v>-697.37777094924525</v>
      </c>
      <c r="T42">
        <f>-0.25*(sigma^2*$A42^2-(rate-d)*$A42)*EurCall!U43-(-0.5*sigma^2*$A42^2-0.5*rate+1/dt)*EurCall!U42-0.25*(sigma^2*$A42^2+(rate-d)*$A42)*EurCall!U41</f>
        <v>-694.15149757213487</v>
      </c>
      <c r="U42">
        <f>-0.25*(sigma^2*$A42^2-(rate-d)*$A42)*EurCall!V43-(-0.5*sigma^2*$A42^2-0.5*rate+1/dt)*EurCall!V42-0.25*(sigma^2*$A42^2+(rate-d)*$A42)*EurCall!V41</f>
        <v>-690.92722963596054</v>
      </c>
      <c r="V42">
        <f>-0.25*(sigma^2*$A42^2-(rate-d)*$A42)*EurCall!W43-(-0.5*sigma^2*$A42^2-0.5*rate+1/dt)*EurCall!W42-0.25*(sigma^2*$A42^2+(rate-d)*$A42)*EurCall!W41</f>
        <v>-687.70593839060166</v>
      </c>
      <c r="W42">
        <f>-0.25*(sigma^2*$A42^2-(rate-d)*$A42)*EurCall!X43-(-0.5*sigma^2*$A42^2-0.5*rate+1/dt)*EurCall!X42-0.25*(sigma^2*$A42^2+(rate-d)*$A42)*EurCall!X41</f>
        <v>-684.48868937442069</v>
      </c>
      <c r="X42">
        <f>-0.25*(sigma^2*$A42^2-(rate-d)*$A42)*EurCall!Y43-(-0.5*sigma^2*$A42^2-0.5*rate+1/dt)*EurCall!Y42-0.25*(sigma^2*$A42^2+(rate-d)*$A42)*EurCall!Y41</f>
        <v>-681.27665048290908</v>
      </c>
      <c r="Y42">
        <f>-0.25*(sigma^2*$A42^2-(rate-d)*$A42)*EurCall!Z43-(-0.5*sigma^2*$A42^2-0.5*rate+1/dt)*EurCall!Z42-0.25*(sigma^2*$A42^2+(rate-d)*$A42)*EurCall!Z41</f>
        <v>-678.07110041293629</v>
      </c>
      <c r="Z42">
        <f>-0.25*(sigma^2*$A42^2-(rate-d)*$A42)*EurCall!AA43-(-0.5*sigma^2*$A42^2-0.5*rate+1/dt)*EurCall!AA42-0.25*(sigma^2*$A42^2+(rate-d)*$A42)*EurCall!AA41</f>
        <v>-674.87343737808533</v>
      </c>
      <c r="AA42">
        <f>-0.25*(sigma^2*$A42^2-(rate-d)*$A42)*EurCall!AB43-(-0.5*sigma^2*$A42^2-0.5*rate+1/dt)*EurCall!AB42-0.25*(sigma^2*$A42^2+(rate-d)*$A42)*EurCall!AB41</f>
        <v>-671.68518793703186</v>
      </c>
      <c r="AB42">
        <f>-0.25*(sigma^2*$A42^2-(rate-d)*$A42)*EurCall!AC43-(-0.5*sigma^2*$A42^2-0.5*rate+1/dt)*EurCall!AC42-0.25*(sigma^2*$A42^2+(rate-d)*$A42)*EurCall!AC41</f>
        <v>-668.50801570614749</v>
      </c>
      <c r="AC42">
        <f>-0.25*(sigma^2*$A42^2-(rate-d)*$A42)*EurCall!AD43-(-0.5*sigma^2*$A42^2-0.5*rate+1/dt)*EurCall!AD42-0.25*(sigma^2*$A42^2+(rate-d)*$A42)*EurCall!AD41</f>
        <v>-665.34372963494559</v>
      </c>
      <c r="AD42">
        <f>-0.25*(sigma^2*$A42^2-(rate-d)*$A42)*EurCall!AE43-(-0.5*sigma^2*$A42^2-0.5*rate+1/dt)*EurCall!AE42-0.25*(sigma^2*$A42^2+(rate-d)*$A42)*EurCall!AE41</f>
        <v>-662.19429140309717</v>
      </c>
      <c r="AE42">
        <f>-0.25*(sigma^2*$A42^2-(rate-d)*$A42)*EurCall!AF43-(-0.5*sigma^2*$A42^2-0.5*rate+1/dt)*EurCall!AF42-0.25*(sigma^2*$A42^2+(rate-d)*$A42)*EurCall!AF41</f>
        <v>-659.06182134402377</v>
      </c>
      <c r="AF42">
        <f>-0.25*(sigma^2*$A42^2-(rate-d)*$A42)*EurCall!AG43-(-0.5*sigma^2*$A42^2-0.5*rate+1/dt)*EurCall!AG42-0.25*(sigma^2*$A42^2+(rate-d)*$A42)*EurCall!AG41</f>
        <v>-655.94860210503771</v>
      </c>
      <c r="AG42">
        <f>-0.25*(sigma^2*$A42^2-(rate-d)*$A42)*EurCall!AH43-(-0.5*sigma^2*$A42^2-0.5*rate+1/dt)*EurCall!AH42-0.25*(sigma^2*$A42^2+(rate-d)*$A42)*EurCall!AH41</f>
        <v>-652.85707900938098</v>
      </c>
      <c r="AH42">
        <f>-0.25*(sigma^2*$A42^2-(rate-d)*$A42)*EurCall!AI43-(-0.5*sigma^2*$A42^2-0.5*rate+1/dt)*EurCall!AI42-0.25*(sigma^2*$A42^2+(rate-d)*$A42)*EurCall!AI41</f>
        <v>-649.78985578280174</v>
      </c>
      <c r="AI42">
        <f>-0.25*(sigma^2*$A42^2-(rate-d)*$A42)*EurCall!AJ43-(-0.5*sigma^2*$A42^2-0.5*rate+1/dt)*EurCall!AJ42-0.25*(sigma^2*$A42^2+(rate-d)*$A42)*EurCall!AJ41</f>
        <v>-646.74968393866902</v>
      </c>
      <c r="AJ42">
        <f>-0.25*(sigma^2*$A42^2-(rate-d)*$A42)*EurCall!AK43-(-0.5*sigma^2*$A42^2-0.5*rate+1/dt)*EurCall!AK42-0.25*(sigma^2*$A42^2+(rate-d)*$A42)*EurCall!AK41</f>
        <v>-643.73944367578622</v>
      </c>
      <c r="AK42">
        <f>-0.25*(sigma^2*$A42^2-(rate-d)*$A42)*EurCall!AL43-(-0.5*sigma^2*$A42^2-0.5*rate+1/dt)*EurCall!AL42-0.25*(sigma^2*$A42^2+(rate-d)*$A42)*EurCall!AL41</f>
        <v>-640.7621136323304</v>
      </c>
      <c r="AL42">
        <f>-0.25*(sigma^2*$A42^2-(rate-d)*$A42)*EurCall!AM43-(-0.5*sigma^2*$A42^2-0.5*rate+1/dt)*EurCall!AM42-0.25*(sigma^2*$A42^2+(rate-d)*$A42)*EurCall!AM41</f>
        <v>-637.82072626882041</v>
      </c>
      <c r="AM42">
        <f>-0.25*(sigma^2*$A42^2-(rate-d)*$A42)*EurCall!AN43-(-0.5*sigma^2*$A42^2-0.5*rate+1/dt)*EurCall!AN42-0.25*(sigma^2*$A42^2+(rate-d)*$A42)*EurCall!AN41</f>
        <v>-634.91830505286657</v>
      </c>
      <c r="AN42">
        <f>-0.25*(sigma^2*$A42^2-(rate-d)*$A42)*EurCall!AO43-(-0.5*sigma^2*$A42^2-0.5*rate+1/dt)*EurCall!AO42-0.25*(sigma^2*$A42^2+(rate-d)*$A42)*EurCall!AO41</f>
        <v>-632.05777905125262</v>
      </c>
      <c r="AO42">
        <f>-0.25*(sigma^2*$A42^2-(rate-d)*$A42)*EurCall!AP43-(-0.5*sigma^2*$A42^2-0.5*rate+1/dt)*EurCall!AP42-0.25*(sigma^2*$A42^2+(rate-d)*$A42)*EurCall!AP41</f>
        <v>-629.24187011641288</v>
      </c>
      <c r="AP42">
        <f>-0.25*(sigma^2*$A42^2-(rate-d)*$A42)*EurCall!AQ43-(-0.5*sigma^2*$A42^2-0.5*rate+1/dt)*EurCall!AQ42-0.25*(sigma^2*$A42^2+(rate-d)*$A42)*EurCall!AQ41</f>
        <v>-626.47294778603532</v>
      </c>
      <c r="AQ42">
        <f>-0.25*(sigma^2*$A42^2-(rate-d)*$A42)*EurCall!AR43-(-0.5*sigma^2*$A42^2-0.5*rate+1/dt)*EurCall!AR42-0.25*(sigma^2*$A42^2+(rate-d)*$A42)*EurCall!AR41</f>
        <v>-623.75284763352352</v>
      </c>
      <c r="AR42">
        <f>-0.25*(sigma^2*$A42^2-(rate-d)*$A42)*EurCall!AS43-(-0.5*sigma^2*$A42^2-0.5*rate+1/dt)*EurCall!AS42-0.25*(sigma^2*$A42^2+(rate-d)*$A42)*EurCall!AS41</f>
        <v>-621.08265066298884</v>
      </c>
      <c r="AS42">
        <f>-0.25*(sigma^2*$A42^2-(rate-d)*$A42)*EurCall!AT43-(-0.5*sigma^2*$A42^2-0.5*rate+1/dt)*EurCall!AT42-0.25*(sigma^2*$A42^2+(rate-d)*$A42)*EurCall!AT41</f>
        <v>-618.46242531457176</v>
      </c>
      <c r="AT42">
        <f>-0.25*(sigma^2*$A42^2-(rate-d)*$A42)*EurCall!AU43-(-0.5*sigma^2*$A42^2-0.5*rate+1/dt)*EurCall!AU42-0.25*(sigma^2*$A42^2+(rate-d)*$A42)*EurCall!AU41</f>
        <v>-615.89094112097291</v>
      </c>
      <c r="AU42">
        <f>-0.25*(sigma^2*$A42^2-(rate-d)*$A42)*EurCall!AV43-(-0.5*sigma^2*$A42^2-0.5*rate+1/dt)*EurCall!AV42-0.25*(sigma^2*$A42^2+(rate-d)*$A42)*EurCall!AV41</f>
        <v>-613.36537619813623</v>
      </c>
      <c r="AV42">
        <f>-0.25*(sigma^2*$A42^2-(rate-d)*$A42)*EurCall!AW43-(-0.5*sigma^2*$A42^2-0.5*rate+1/dt)*EurCall!AW42-0.25*(sigma^2*$A42^2+(rate-d)*$A42)*EurCall!AW41</f>
        <v>-610.88106291070142</v>
      </c>
      <c r="AW42">
        <f>-0.25*(sigma^2*$A42^2-(rate-d)*$A42)*EurCall!AX43-(-0.5*sigma^2*$A42^2-0.5*rate+1/dt)*EurCall!AX42-0.25*(sigma^2*$A42^2+(rate-d)*$A42)*EurCall!AX41</f>
        <v>-608.43135237401714</v>
      </c>
      <c r="AX42">
        <f>-0.25*(sigma^2*$A42^2-(rate-d)*$A42)*EurCall!AY43-(-0.5*sigma^2*$A42^2-0.5*rate+1/dt)*EurCall!AY42-0.25*(sigma^2*$A42^2+(rate-d)*$A42)*EurCall!AY41</f>
        <v>-606.00773681167254</v>
      </c>
      <c r="AY42">
        <f>-0.25*(sigma^2*$A42^2-(rate-d)*$A42)*EurCall!AZ43-(-0.5*sigma^2*$A42^2-0.5*rate+1/dt)*EurCall!AZ42-0.25*(sigma^2*$A42^2+(rate-d)*$A42)*EurCall!AZ41</f>
        <v>-603.60046117016839</v>
      </c>
      <c r="AZ42">
        <f>-0.25*(sigma^2*$A42^2-(rate-d)*$A42)*EurCall!BA43-(-0.5*sigma^2*$A42^2-0.5*rate+1/dt)*EurCall!BA42-0.25*(sigma^2*$A42^2+(rate-d)*$A42)*EurCall!BA41</f>
        <v>-601.20000000000005</v>
      </c>
      <c r="BA42" s="6"/>
    </row>
    <row r="43" spans="1:53" x14ac:dyDescent="0.2">
      <c r="A43">
        <f t="shared" si="3"/>
        <v>22</v>
      </c>
      <c r="B43" s="3">
        <f t="shared" si="0"/>
        <v>44</v>
      </c>
      <c r="C43">
        <f>-0.25*(sigma^2*$A43^2-(rate-d)*$A43)*EurCall!D44-(-0.5*sigma^2*$A43^2-0.5*rate+1/dt)*EurCall!D43-0.25*(sigma^2*$A43^2+(rate-d)*$A43)*EurCall!D42</f>
        <v>-574.41983688347591</v>
      </c>
      <c r="D43">
        <f>-0.25*(sigma^2*$A43^2-(rate-d)*$A43)*EurCall!E44-(-0.5*sigma^2*$A43^2-0.5*rate+1/dt)*EurCall!E43-0.25*(sigma^2*$A43^2+(rate-d)*$A43)*EurCall!E42</f>
        <v>-570.98467014918629</v>
      </c>
      <c r="E43">
        <f>-0.25*(sigma^2*$A43^2-(rate-d)*$A43)*EurCall!F44-(-0.5*sigma^2*$A43^2-0.5*rate+1/dt)*EurCall!F43-0.25*(sigma^2*$A43^2+(rate-d)*$A43)*EurCall!F42</f>
        <v>-567.53510104001748</v>
      </c>
      <c r="F43">
        <f>-0.25*(sigma^2*$A43^2-(rate-d)*$A43)*EurCall!G44-(-0.5*sigma^2*$A43^2-0.5*rate+1/dt)*EurCall!G43-0.25*(sigma^2*$A43^2+(rate-d)*$A43)*EurCall!G42</f>
        <v>-564.07096625166321</v>
      </c>
      <c r="G43">
        <f>-0.25*(sigma^2*$A43^2-(rate-d)*$A43)*EurCall!H44-(-0.5*sigma^2*$A43^2-0.5*rate+1/dt)*EurCall!H43-0.25*(sigma^2*$A43^2+(rate-d)*$A43)*EurCall!H42</f>
        <v>-560.59210712159484</v>
      </c>
      <c r="H43">
        <f>-0.25*(sigma^2*$A43^2-(rate-d)*$A43)*EurCall!I44-(-0.5*sigma^2*$A43^2-0.5*rate+1/dt)*EurCall!I43-0.25*(sigma^2*$A43^2+(rate-d)*$A43)*EurCall!I42</f>
        <v>-557.09837090573865</v>
      </c>
      <c r="I43">
        <f>-0.25*(sigma^2*$A43^2-(rate-d)*$A43)*EurCall!J44-(-0.5*sigma^2*$A43^2-0.5*rate+1/dt)*EurCall!J43-0.25*(sigma^2*$A43^2+(rate-d)*$A43)*EurCall!J42</f>
        <v>-553.58961226232532</v>
      </c>
      <c r="J43">
        <f>-0.25*(sigma^2*$A43^2-(rate-d)*$A43)*EurCall!K44-(-0.5*sigma^2*$A43^2-0.5*rate+1/dt)*EurCall!K43-0.25*(sigma^2*$A43^2+(rate-d)*$A43)*EurCall!K42</f>
        <v>-550.06569497649821</v>
      </c>
      <c r="K43">
        <f>-0.25*(sigma^2*$A43^2-(rate-d)*$A43)*EurCall!L44-(-0.5*sigma^2*$A43^2-0.5*rate+1/dt)*EurCall!L43-0.25*(sigma^2*$A43^2+(rate-d)*$A43)*EurCall!L42</f>
        <v>-546.52649396505421</v>
      </c>
      <c r="L43">
        <f>-0.25*(sigma^2*$A43^2-(rate-d)*$A43)*EurCall!M44-(-0.5*sigma^2*$A43^2-0.5*rate+1/dt)*EurCall!M43-0.25*(sigma^2*$A43^2+(rate-d)*$A43)*EurCall!M42</f>
        <v>-542.97189760751519</v>
      </c>
      <c r="M43">
        <f>-0.25*(sigma^2*$A43^2-(rate-d)*$A43)*EurCall!N44-(-0.5*sigma^2*$A43^2-0.5*rate+1/dt)*EurCall!N43-0.25*(sigma^2*$A43^2+(rate-d)*$A43)*EurCall!N42</f>
        <v>-539.40181045781526</v>
      </c>
      <c r="N43">
        <f>-0.25*(sigma^2*$A43^2-(rate-d)*$A43)*EurCall!O44-(-0.5*sigma^2*$A43^2-0.5*rate+1/dt)*EurCall!O43-0.25*(sigma^2*$A43^2+(rate-d)*$A43)*EurCall!O42</f>
        <v>-535.81615640044913</v>
      </c>
      <c r="O43">
        <f>-0.25*(sigma^2*$A43^2-(rate-d)*$A43)*EurCall!P44-(-0.5*sigma^2*$A43^2-0.5*rate+1/dt)*EurCall!P43-0.25*(sigma^2*$A43^2+(rate-d)*$A43)*EurCall!P42</f>
        <v>-532.21488232625074</v>
      </c>
      <c r="P43">
        <f>-0.25*(sigma^2*$A43^2-(rate-d)*$A43)*EurCall!Q44-(-0.5*sigma^2*$A43^2-0.5*rate+1/dt)*EurCall!Q43-0.25*(sigma^2*$A43^2+(rate-d)*$A43)*EurCall!Q42</f>
        <v>-528.59796241637309</v>
      </c>
      <c r="Q43">
        <f>-0.25*(sigma^2*$A43^2-(rate-d)*$A43)*EurCall!R44-(-0.5*sigma^2*$A43^2-0.5*rate+1/dt)*EurCall!R43-0.25*(sigma^2*$A43^2+(rate-d)*$A43)*EurCall!R42</f>
        <v>-524.96540313890034</v>
      </c>
      <c r="R43">
        <f>-0.25*(sigma^2*$A43^2-(rate-d)*$A43)*EurCall!S44-(-0.5*sigma^2*$A43^2-0.5*rate+1/dt)*EurCall!S43-0.25*(sigma^2*$A43^2+(rate-d)*$A43)*EurCall!S42</f>
        <v>-521.31724908127353</v>
      </c>
      <c r="S43">
        <f>-0.25*(sigma^2*$A43^2-(rate-d)*$A43)*EurCall!T44-(-0.5*sigma^2*$A43^2-0.5*rate+1/dt)*EurCall!T43-0.25*(sigma^2*$A43^2+(rate-d)*$A43)*EurCall!T42</f>
        <v>-517.65358976385562</v>
      </c>
      <c r="T43">
        <f>-0.25*(sigma^2*$A43^2-(rate-d)*$A43)*EurCall!U44-(-0.5*sigma^2*$A43^2-0.5*rate+1/dt)*EurCall!U43-0.25*(sigma^2*$A43^2+(rate-d)*$A43)*EurCall!U42</f>
        <v>-513.97456760605269</v>
      </c>
      <c r="U43">
        <f>-0.25*(sigma^2*$A43^2-(rate-d)*$A43)*EurCall!V44-(-0.5*sigma^2*$A43^2-0.5*rate+1/dt)*EurCall!V43-0.25*(sigma^2*$A43^2+(rate-d)*$A43)*EurCall!V42</f>
        <v>-510.28038724708341</v>
      </c>
      <c r="V43">
        <f>-0.25*(sigma^2*$A43^2-(rate-d)*$A43)*EurCall!W44-(-0.5*sigma^2*$A43^2-0.5*rate+1/dt)*EurCall!W43-0.25*(sigma^2*$A43^2+(rate-d)*$A43)*EurCall!W42</f>
        <v>-506.57132645939748</v>
      </c>
      <c r="W43">
        <f>-0.25*(sigma^2*$A43^2-(rate-d)*$A43)*EurCall!X44-(-0.5*sigma^2*$A43^2-0.5*rate+1/dt)*EurCall!X43-0.25*(sigma^2*$A43^2+(rate-d)*$A43)*EurCall!X42</f>
        <v>-502.84774893459172</v>
      </c>
      <c r="X43">
        <f>-0.25*(sigma^2*$A43^2-(rate-d)*$A43)*EurCall!Y44-(-0.5*sigma^2*$A43^2-0.5*rate+1/dt)*EurCall!Y43-0.25*(sigma^2*$A43^2+(rate-d)*$A43)*EurCall!Y42</f>
        <v>-499.11011927011532</v>
      </c>
      <c r="Y43">
        <f>-0.25*(sigma^2*$A43^2-(rate-d)*$A43)*EurCall!Z44-(-0.5*sigma^2*$A43^2-0.5*rate+1/dt)*EurCall!Z43-0.25*(sigma^2*$A43^2+(rate-d)*$A43)*EurCall!Z42</f>
        <v>-495.35902054063661</v>
      </c>
      <c r="Z43">
        <f>-0.25*(sigma^2*$A43^2-(rate-d)*$A43)*EurCall!AA44-(-0.5*sigma^2*$A43^2-0.5*rate+1/dt)*EurCall!AA43-0.25*(sigma^2*$A43^2+(rate-d)*$A43)*EurCall!AA42</f>
        <v>-491.59517490098591</v>
      </c>
      <c r="AA43">
        <f>-0.25*(sigma^2*$A43^2-(rate-d)*$A43)*EurCall!AB44-(-0.5*sigma^2*$A43^2-0.5*rate+1/dt)*EurCall!AB43-0.25*(sigma^2*$A43^2+(rate-d)*$A43)*EurCall!AB42</f>
        <v>-487.81946773794044</v>
      </c>
      <c r="AB43">
        <f>-0.25*(sigma^2*$A43^2-(rate-d)*$A43)*EurCall!AC44-(-0.5*sigma^2*$A43^2-0.5*rate+1/dt)*EurCall!AC43-0.25*(sigma^2*$A43^2+(rate-d)*$A43)*EurCall!AC42</f>
        <v>-484.03297596488204</v>
      </c>
      <c r="AC43">
        <f>-0.25*(sigma^2*$A43^2-(rate-d)*$A43)*EurCall!AD44-(-0.5*sigma^2*$A43^2-0.5*rate+1/dt)*EurCall!AD43-0.25*(sigma^2*$A43^2+(rate-d)*$A43)*EurCall!AD42</f>
        <v>-480.23700113437644</v>
      </c>
      <c r="AD43">
        <f>-0.25*(sigma^2*$A43^2-(rate-d)*$A43)*EurCall!AE44-(-0.5*sigma^2*$A43^2-0.5*rate+1/dt)*EurCall!AE43-0.25*(sigma^2*$A43^2+(rate-d)*$A43)*EurCall!AE42</f>
        <v>-476.43310812488141</v>
      </c>
      <c r="AE43">
        <f>-0.25*(sigma^2*$A43^2-(rate-d)*$A43)*EurCall!AF44-(-0.5*sigma^2*$A43^2-0.5*rate+1/dt)*EurCall!AF43-0.25*(sigma^2*$A43^2+(rate-d)*$A43)*EurCall!AF42</f>
        <v>-472.62317023192509</v>
      </c>
      <c r="AF43">
        <f>-0.25*(sigma^2*$A43^2-(rate-d)*$A43)*EurCall!AG44-(-0.5*sigma^2*$A43^2-0.5*rate+1/dt)*EurCall!AG43-0.25*(sigma^2*$A43^2+(rate-d)*$A43)*EurCall!AG42</f>
        <v>-468.80942154944194</v>
      </c>
      <c r="AG43">
        <f>-0.25*(sigma^2*$A43^2-(rate-d)*$A43)*EurCall!AH44-(-0.5*sigma^2*$A43^2-0.5*rate+1/dt)*EurCall!AH43-0.25*(sigma^2*$A43^2+(rate-d)*$A43)*EurCall!AH42</f>
        <v>-464.99451754481049</v>
      </c>
      <c r="AH43">
        <f>-0.25*(sigma^2*$A43^2-(rate-d)*$A43)*EurCall!AI44-(-0.5*sigma^2*$A43^2-0.5*rate+1/dt)*EurCall!AI43-0.25*(sigma^2*$A43^2+(rate-d)*$A43)*EurCall!AI42</f>
        <v>-461.18160468251187</v>
      </c>
      <c r="AI43">
        <f>-0.25*(sigma^2*$A43^2-(rate-d)*$A43)*EurCall!AJ44-(-0.5*sigma^2*$A43^2-0.5*rate+1/dt)*EurCall!AJ43-0.25*(sigma^2*$A43^2+(rate-d)*$A43)*EurCall!AJ42</f>
        <v>-457.37439979201923</v>
      </c>
      <c r="AJ43">
        <f>-0.25*(sigma^2*$A43^2-(rate-d)*$A43)*EurCall!AK44-(-0.5*sigma^2*$A43^2-0.5*rate+1/dt)*EurCall!AK43-0.25*(sigma^2*$A43^2+(rate-d)*$A43)*EurCall!AK42</f>
        <v>-453.57727953899752</v>
      </c>
      <c r="AK43">
        <f>-0.25*(sigma^2*$A43^2-(rate-d)*$A43)*EurCall!AL44-(-0.5*sigma^2*$A43^2-0.5*rate+1/dt)*EurCall!AL43-0.25*(sigma^2*$A43^2+(rate-d)*$A43)*EurCall!AL42</f>
        <v>-449.79537974597957</v>
      </c>
      <c r="AL43">
        <f>-0.25*(sigma^2*$A43^2-(rate-d)*$A43)*EurCall!AM44-(-0.5*sigma^2*$A43^2-0.5*rate+1/dt)*EurCall!AM43-0.25*(sigma^2*$A43^2+(rate-d)*$A43)*EurCall!AM42</f>
        <v>-446.03470327268008</v>
      </c>
      <c r="AM43">
        <f>-0.25*(sigma^2*$A43^2-(rate-d)*$A43)*EurCall!AN44-(-0.5*sigma^2*$A43^2-0.5*rate+1/dt)*EurCall!AN43-0.25*(sigma^2*$A43^2+(rate-d)*$A43)*EurCall!AN42</f>
        <v>-442.30223349130222</v>
      </c>
      <c r="AN43">
        <f>-0.25*(sigma^2*$A43^2-(rate-d)*$A43)*EurCall!AO44-(-0.5*sigma^2*$A43^2-0.5*rate+1/dt)*EurCall!AO43-0.25*(sigma^2*$A43^2+(rate-d)*$A43)*EurCall!AO42</f>
        <v>-438.60604776287204</v>
      </c>
      <c r="AO43">
        <f>-0.25*(sigma^2*$A43^2-(rate-d)*$A43)*EurCall!AP44-(-0.5*sigma^2*$A43^2-0.5*rate+1/dt)*EurCall!AP43-0.25*(sigma^2*$A43^2+(rate-d)*$A43)*EurCall!AP42</f>
        <v>-434.95542127648162</v>
      </c>
      <c r="AP43">
        <f>-0.25*(sigma^2*$A43^2-(rate-d)*$A43)*EurCall!AQ44-(-0.5*sigma^2*$A43^2-0.5*rate+1/dt)*EurCall!AQ43-0.25*(sigma^2*$A43^2+(rate-d)*$A43)*EurCall!AQ42</f>
        <v>-431.36090548519348</v>
      </c>
      <c r="AQ43">
        <f>-0.25*(sigma^2*$A43^2-(rate-d)*$A43)*EurCall!AR44-(-0.5*sigma^2*$A43^2-0.5*rate+1/dt)*EurCall!AR43-0.25*(sigma^2*$A43^2+(rate-d)*$A43)*EurCall!AR42</f>
        <v>-427.8343561898339</v>
      </c>
      <c r="AR43">
        <f>-0.25*(sigma^2*$A43^2-(rate-d)*$A43)*EurCall!AS44-(-0.5*sigma^2*$A43^2-0.5*rate+1/dt)*EurCall!AS43-0.25*(sigma^2*$A43^2+(rate-d)*$A43)*EurCall!AS42</f>
        <v>-424.38887268027838</v>
      </c>
      <c r="AS43">
        <f>-0.25*(sigma^2*$A43^2-(rate-d)*$A43)*EurCall!AT44-(-0.5*sigma^2*$A43^2-0.5*rate+1/dt)*EurCall!AT43-0.25*(sigma^2*$A43^2+(rate-d)*$A43)*EurCall!AT42</f>
        <v>-421.03858921263708</v>
      </c>
      <c r="AT43">
        <f>-0.25*(sigma^2*$A43^2-(rate-d)*$A43)*EurCall!AU44-(-0.5*sigma^2*$A43^2-0.5*rate+1/dt)*EurCall!AU43-0.25*(sigma^2*$A43^2+(rate-d)*$A43)*EurCall!AU42</f>
        <v>-417.79823054812914</v>
      </c>
      <c r="AU43">
        <f>-0.25*(sigma^2*$A43^2-(rate-d)*$A43)*EurCall!AV44-(-0.5*sigma^2*$A43^2-0.5*rate+1/dt)*EurCall!AV43-0.25*(sigma^2*$A43^2+(rate-d)*$A43)*EurCall!AV42</f>
        <v>-414.68230007513654</v>
      </c>
      <c r="AV43">
        <f>-0.25*(sigma^2*$A43^2-(rate-d)*$A43)*EurCall!AW44-(-0.5*sigma^2*$A43^2-0.5*rate+1/dt)*EurCall!AW43-0.25*(sigma^2*$A43^2+(rate-d)*$A43)*EurCall!AW42</f>
        <v>-411.70370607923678</v>
      </c>
      <c r="AW43">
        <f>-0.25*(sigma^2*$A43^2-(rate-d)*$A43)*EurCall!AX44-(-0.5*sigma^2*$A43^2-0.5*rate+1/dt)*EurCall!AX43-0.25*(sigma^2*$A43^2+(rate-d)*$A43)*EurCall!AX42</f>
        <v>-408.87154022078056</v>
      </c>
      <c r="AX43">
        <f>-0.25*(sigma^2*$A43^2-(rate-d)*$A43)*EurCall!AY44-(-0.5*sigma^2*$A43^2-0.5*rate+1/dt)*EurCall!AY43-0.25*(sigma^2*$A43^2+(rate-d)*$A43)*EurCall!AY42</f>
        <v>-406.18758954369139</v>
      </c>
      <c r="AY43">
        <f>-0.25*(sigma^2*$A43^2-(rate-d)*$A43)*EurCall!AZ44-(-0.5*sigma^2*$A43^2-0.5*rate+1/dt)*EurCall!AZ43-0.25*(sigma^2*$A43^2+(rate-d)*$A43)*EurCall!AZ42</f>
        <v>-403.64097108479478</v>
      </c>
      <c r="AZ43">
        <f>-0.25*(sigma^2*$A43^2-(rate-d)*$A43)*EurCall!BA44-(-0.5*sigma^2*$A43^2-0.5*rate+1/dt)*EurCall!BA43-0.25*(sigma^2*$A43^2+(rate-d)*$A43)*EurCall!BA42</f>
        <v>-401.19999999999993</v>
      </c>
      <c r="BA43" s="6"/>
    </row>
    <row r="44" spans="1:53" x14ac:dyDescent="0.2">
      <c r="A44">
        <f t="shared" si="3"/>
        <v>21</v>
      </c>
      <c r="B44" s="3">
        <f t="shared" si="0"/>
        <v>42</v>
      </c>
      <c r="C44">
        <f>-0.25*(sigma^2*$A44^2-(rate-d)*$A44)*EurCall!D45-(-0.5*sigma^2*$A44^2-0.5*rate+1/dt)*EurCall!D44-0.25*(sigma^2*$A44^2+(rate-d)*$A44)*EurCall!D43</f>
        <v>-416.41068198753936</v>
      </c>
      <c r="D44">
        <f>-0.25*(sigma^2*$A44^2-(rate-d)*$A44)*EurCall!E45-(-0.5*sigma^2*$A44^2-0.5*rate+1/dt)*EurCall!E44-0.25*(sigma^2*$A44^2+(rate-d)*$A44)*EurCall!E43</f>
        <v>-412.81779630034549</v>
      </c>
      <c r="E44">
        <f>-0.25*(sigma^2*$A44^2-(rate-d)*$A44)*EurCall!F45-(-0.5*sigma^2*$A44^2-0.5*rate+1/dt)*EurCall!F44-0.25*(sigma^2*$A44^2+(rate-d)*$A44)*EurCall!F43</f>
        <v>-409.20208871259098</v>
      </c>
      <c r="F44">
        <f>-0.25*(sigma^2*$A44^2-(rate-d)*$A44)*EurCall!G45-(-0.5*sigma^2*$A44^2-0.5*rate+1/dt)*EurCall!G44-0.25*(sigma^2*$A44^2+(rate-d)*$A44)*EurCall!G43</f>
        <v>-405.56293451489211</v>
      </c>
      <c r="G44">
        <f>-0.25*(sigma^2*$A44^2-(rate-d)*$A44)*EurCall!H45-(-0.5*sigma^2*$A44^2-0.5*rate+1/dt)*EurCall!H44-0.25*(sigma^2*$A44^2+(rate-d)*$A44)*EurCall!H43</f>
        <v>-401.89968009601984</v>
      </c>
      <c r="H44">
        <f>-0.25*(sigma^2*$A44^2-(rate-d)*$A44)*EurCall!I45-(-0.5*sigma^2*$A44^2-0.5*rate+1/dt)*EurCall!I44-0.25*(sigma^2*$A44^2+(rate-d)*$A44)*EurCall!I43</f>
        <v>-398.21164113601407</v>
      </c>
      <c r="I44">
        <f>-0.25*(sigma^2*$A44^2-(rate-d)*$A44)*EurCall!J45-(-0.5*sigma^2*$A44^2-0.5*rate+1/dt)*EurCall!J44-0.25*(sigma^2*$A44^2+(rate-d)*$A44)*EurCall!J43</f>
        <v>-394.49810066595859</v>
      </c>
      <c r="J44">
        <f>-0.25*(sigma^2*$A44^2-(rate-d)*$A44)*EurCall!K45-(-0.5*sigma^2*$A44^2-0.5*rate+1/dt)*EurCall!K44-0.25*(sigma^2*$A44^2+(rate-d)*$A44)*EurCall!K43</f>
        <v>-390.75830698502654</v>
      </c>
      <c r="K44">
        <f>-0.25*(sigma^2*$A44^2-(rate-d)*$A44)*EurCall!L45-(-0.5*sigma^2*$A44^2-0.5*rate+1/dt)*EurCall!L44-0.25*(sigma^2*$A44^2+(rate-d)*$A44)*EurCall!L43</f>
        <v>-386.9914714253444</v>
      </c>
      <c r="L44">
        <f>-0.25*(sigma^2*$A44^2-(rate-d)*$A44)*EurCall!M45-(-0.5*sigma^2*$A44^2-0.5*rate+1/dt)*EurCall!M44-0.25*(sigma^2*$A44^2+(rate-d)*$A44)*EurCall!M43</f>
        <v>-383.19676595544558</v>
      </c>
      <c r="M44">
        <f>-0.25*(sigma^2*$A44^2-(rate-d)*$A44)*EurCall!N45-(-0.5*sigma^2*$A44^2-0.5*rate+1/dt)*EurCall!N44-0.25*(sigma^2*$A44^2+(rate-d)*$A44)*EurCall!N43</f>
        <v>-379.37332061371978</v>
      </c>
      <c r="N44">
        <f>-0.25*(sigma^2*$A44^2-(rate-d)*$A44)*EurCall!O45-(-0.5*sigma^2*$A44^2-0.5*rate+1/dt)*EurCall!O44-0.25*(sigma^2*$A44^2+(rate-d)*$A44)*EurCall!O43</f>
        <v>-375.52022076448276</v>
      </c>
      <c r="O44">
        <f>-0.25*(sigma^2*$A44^2-(rate-d)*$A44)*EurCall!P45-(-0.5*sigma^2*$A44^2-0.5*rate+1/dt)*EurCall!P44-0.25*(sigma^2*$A44^2+(rate-d)*$A44)*EurCall!P43</f>
        <v>-371.63650417133761</v>
      </c>
      <c r="P44">
        <f>-0.25*(sigma^2*$A44^2-(rate-d)*$A44)*EurCall!Q45-(-0.5*sigma^2*$A44^2-0.5*rate+1/dt)*EurCall!Q44-0.25*(sigma^2*$A44^2+(rate-d)*$A44)*EurCall!Q43</f>
        <v>-367.72115788569874</v>
      </c>
      <c r="Q44">
        <f>-0.25*(sigma^2*$A44^2-(rate-d)*$A44)*EurCall!R45-(-0.5*sigma^2*$A44^2-0.5*rate+1/dt)*EurCall!R44-0.25*(sigma^2*$A44^2+(rate-d)*$A44)*EurCall!R43</f>
        <v>-363.77311495314387</v>
      </c>
      <c r="R44">
        <f>-0.25*(sigma^2*$A44^2-(rate-d)*$A44)*EurCall!S45-(-0.5*sigma^2*$A44^2-0.5*rate+1/dt)*EurCall!S44-0.25*(sigma^2*$A44^2+(rate-d)*$A44)*EurCall!S43</f>
        <v>-359.79125094726004</v>
      </c>
      <c r="S44">
        <f>-0.25*(sigma^2*$A44^2-(rate-d)*$A44)*EurCall!T45-(-0.5*sigma^2*$A44^2-0.5*rate+1/dt)*EurCall!T44-0.25*(sigma^2*$A44^2+(rate-d)*$A44)*EurCall!T43</f>
        <v>-355.77438035066996</v>
      </c>
      <c r="T44">
        <f>-0.25*(sigma^2*$A44^2-(rate-d)*$A44)*EurCall!U45-(-0.5*sigma^2*$A44^2-0.5*rate+1/dt)*EurCall!U44-0.25*(sigma^2*$A44^2+(rate-d)*$A44)*EurCall!U43</f>
        <v>-351.7212528170877</v>
      </c>
      <c r="U44">
        <f>-0.25*(sigma^2*$A44^2-(rate-d)*$A44)*EurCall!V45-(-0.5*sigma^2*$A44^2-0.5*rate+1/dt)*EurCall!V44-0.25*(sigma^2*$A44^2+(rate-d)*$A44)*EurCall!V43</f>
        <v>-347.63054936806293</v>
      </c>
      <c r="V44">
        <f>-0.25*(sigma^2*$A44^2-(rate-d)*$A44)*EurCall!W45-(-0.5*sigma^2*$A44^2-0.5*rate+1/dt)*EurCall!W44-0.25*(sigma^2*$A44^2+(rate-d)*$A44)*EurCall!W43</f>
        <v>-343.50087860559671</v>
      </c>
      <c r="W44">
        <f>-0.25*(sigma^2*$A44^2-(rate-d)*$A44)*EurCall!X45-(-0.5*sigma^2*$A44^2-0.5*rate+1/dt)*EurCall!X44-0.25*(sigma^2*$A44^2+(rate-d)*$A44)*EurCall!X43</f>
        <v>-339.33077305982459</v>
      </c>
      <c r="X44">
        <f>-0.25*(sigma^2*$A44^2-(rate-d)*$A44)*EurCall!Y45-(-0.5*sigma^2*$A44^2-0.5*rate+1/dt)*EurCall!Y44-0.25*(sigma^2*$A44^2+(rate-d)*$A44)*EurCall!Y43</f>
        <v>-335.11868584327016</v>
      </c>
      <c r="Y44">
        <f>-0.25*(sigma^2*$A44^2-(rate-d)*$A44)*EurCall!Z45-(-0.5*sigma^2*$A44^2-0.5*rate+1/dt)*EurCall!Z44-0.25*(sigma^2*$A44^2+(rate-d)*$A44)*EurCall!Z43</f>
        <v>-330.86298785490231</v>
      </c>
      <c r="Z44">
        <f>-0.25*(sigma^2*$A44^2-(rate-d)*$A44)*EurCall!AA45-(-0.5*sigma^2*$A44^2-0.5*rate+1/dt)*EurCall!AA44-0.25*(sigma^2*$A44^2+(rate-d)*$A44)*EurCall!AA43</f>
        <v>-326.56196587539796</v>
      </c>
      <c r="AA44">
        <f>-0.25*(sigma^2*$A44^2-(rate-d)*$A44)*EurCall!AB45-(-0.5*sigma^2*$A44^2-0.5*rate+1/dt)*EurCall!AB44-0.25*(sigma^2*$A44^2+(rate-d)*$A44)*EurCall!AB43</f>
        <v>-322.21382202911974</v>
      </c>
      <c r="AB44">
        <f>-0.25*(sigma^2*$A44^2-(rate-d)*$A44)*EurCall!AC45-(-0.5*sigma^2*$A44^2-0.5*rate+1/dt)*EurCall!AC44-0.25*(sigma^2*$A44^2+(rate-d)*$A44)*EurCall!AC43</f>
        <v>-317.81667527132856</v>
      </c>
      <c r="AC44">
        <f>-0.25*(sigma^2*$A44^2-(rate-d)*$A44)*EurCall!AD45-(-0.5*sigma^2*$A44^2-0.5*rate+1/dt)*EurCall!AD44-0.25*(sigma^2*$A44^2+(rate-d)*$A44)*EurCall!AD43</f>
        <v>-313.36856580869778</v>
      </c>
      <c r="AD44">
        <f>-0.25*(sigma^2*$A44^2-(rate-d)*$A44)*EurCall!AE45-(-0.5*sigma^2*$A44^2-0.5*rate+1/dt)*EurCall!AE44-0.25*(sigma^2*$A44^2+(rate-d)*$A44)*EurCall!AE43</f>
        <v>-308.86746370133079</v>
      </c>
      <c r="AE44">
        <f>-0.25*(sigma^2*$A44^2-(rate-d)*$A44)*EurCall!AF45-(-0.5*sigma^2*$A44^2-0.5*rate+1/dt)*EurCall!AF44-0.25*(sigma^2*$A44^2+(rate-d)*$A44)*EurCall!AF43</f>
        <v>-304.31128335800872</v>
      </c>
      <c r="AF44">
        <f>-0.25*(sigma^2*$A44^2-(rate-d)*$A44)*EurCall!AG45-(-0.5*sigma^2*$A44^2-0.5*rate+1/dt)*EurCall!AG44-0.25*(sigma^2*$A44^2+(rate-d)*$A44)*EurCall!AG43</f>
        <v>-299.6979062680993</v>
      </c>
      <c r="AG44">
        <f>-0.25*(sigma^2*$A44^2-(rate-d)*$A44)*EurCall!AH45-(-0.5*sigma^2*$A44^2-0.5*rate+1/dt)*EurCall!AH44-0.25*(sigma^2*$A44^2+(rate-d)*$A44)*EurCall!AH43</f>
        <v>-295.0252151746493</v>
      </c>
      <c r="AH44">
        <f>-0.25*(sigma^2*$A44^2-(rate-d)*$A44)*EurCall!AI45-(-0.5*sigma^2*$A44^2-0.5*rate+1/dt)*EurCall!AI44-0.25*(sigma^2*$A44^2+(rate-d)*$A44)*EurCall!AI43</f>
        <v>-290.2911440673854</v>
      </c>
      <c r="AI44">
        <f>-0.25*(sigma^2*$A44^2-(rate-d)*$A44)*EurCall!AJ45-(-0.5*sigma^2*$A44^2-0.5*rate+1/dt)*EurCall!AJ44-0.25*(sigma^2*$A44^2+(rate-d)*$A44)*EurCall!AJ43</f>
        <v>-285.49374997628769</v>
      </c>
      <c r="AJ44">
        <f>-0.25*(sigma^2*$A44^2-(rate-d)*$A44)*EurCall!AK45-(-0.5*sigma^2*$A44^2-0.5*rate+1/dt)*EurCall!AK44-0.25*(sigma^2*$A44^2+(rate-d)*$A44)*EurCall!AK43</f>
        <v>-280.63131473316309</v>
      </c>
      <c r="AK44">
        <f>-0.25*(sigma^2*$A44^2-(rate-d)*$A44)*EurCall!AL45-(-0.5*sigma^2*$A44^2-0.5*rate+1/dt)*EurCall!AL44-0.25*(sigma^2*$A44^2+(rate-d)*$A44)*EurCall!AL43</f>
        <v>-275.70248785574324</v>
      </c>
      <c r="AL44">
        <f>-0.25*(sigma^2*$A44^2-(rate-d)*$A44)*EurCall!AM45-(-0.5*sigma^2*$A44^2-0.5*rate+1/dt)*EurCall!AM44-0.25*(sigma^2*$A44^2+(rate-d)*$A44)*EurCall!AM43</f>
        <v>-270.70648579219318</v>
      </c>
      <c r="AM44">
        <f>-0.25*(sigma^2*$A44^2-(rate-d)*$A44)*EurCall!AN45-(-0.5*sigma^2*$A44^2-0.5*rate+1/dt)*EurCall!AN44-0.25*(sigma^2*$A44^2+(rate-d)*$A44)*EurCall!AN43</f>
        <v>-265.64336835036391</v>
      </c>
      <c r="AN44">
        <f>-0.25*(sigma^2*$A44^2-(rate-d)*$A44)*EurCall!AO45-(-0.5*sigma^2*$A44^2-0.5*rate+1/dt)*EurCall!AO44-0.25*(sigma^2*$A44^2+(rate-d)*$A44)*EurCall!AO43</f>
        <v>-260.51442078550122</v>
      </c>
      <c r="AO44">
        <f>-0.25*(sigma^2*$A44^2-(rate-d)*$A44)*EurCall!AP45-(-0.5*sigma^2*$A44^2-0.5*rate+1/dt)*EurCall!AP44-0.25*(sigma^2*$A44^2+(rate-d)*$A44)*EurCall!AP43</f>
        <v>-255.32268050370868</v>
      </c>
      <c r="AP44">
        <f>-0.25*(sigma^2*$A44^2-(rate-d)*$A44)*EurCall!AQ45-(-0.5*sigma^2*$A44^2-0.5*rate+1/dt)*EurCall!AQ44-0.25*(sigma^2*$A44^2+(rate-d)*$A44)*EurCall!AQ43</f>
        <v>-250.07366172002401</v>
      </c>
      <c r="AQ44">
        <f>-0.25*(sigma^2*$A44^2-(rate-d)*$A44)*EurCall!AR45-(-0.5*sigma^2*$A44^2-0.5*rate+1/dt)*EurCall!AR44-0.25*(sigma^2*$A44^2+(rate-d)*$A44)*EurCall!AR43</f>
        <v>-244.77635115832675</v>
      </c>
      <c r="AR44">
        <f>-0.25*(sigma^2*$A44^2-(rate-d)*$A44)*EurCall!AS45-(-0.5*sigma^2*$A44^2-0.5*rate+1/dt)*EurCall!AS44-0.25*(sigma^2*$A44^2+(rate-d)*$A44)*EurCall!AS43</f>
        <v>-239.44457502601409</v>
      </c>
      <c r="AS44">
        <f>-0.25*(sigma^2*$A44^2-(rate-d)*$A44)*EurCall!AT45-(-0.5*sigma^2*$A44^2-0.5*rate+1/dt)*EurCall!AT44-0.25*(sigma^2*$A44^2+(rate-d)*$A44)*EurCall!AT43</f>
        <v>-234.09887484989576</v>
      </c>
      <c r="AT44">
        <f>-0.25*(sigma^2*$A44^2-(rate-d)*$A44)*EurCall!AU45-(-0.5*sigma^2*$A44^2-0.5*rate+1/dt)*EurCall!AU44-0.25*(sigma^2*$A44^2+(rate-d)*$A44)*EurCall!AU43</f>
        <v>-228.76908121575235</v>
      </c>
      <c r="AU44">
        <f>-0.25*(sigma^2*$A44^2-(rate-d)*$A44)*EurCall!AV45-(-0.5*sigma^2*$A44^2-0.5*rate+1/dt)*EurCall!AV44-0.25*(sigma^2*$A44^2+(rate-d)*$A44)*EurCall!AV43</f>
        <v>-223.49784541648171</v>
      </c>
      <c r="AV44">
        <f>-0.25*(sigma^2*$A44^2-(rate-d)*$A44)*EurCall!AW45-(-0.5*sigma^2*$A44^2-0.5*rate+1/dt)*EurCall!AW44-0.25*(sigma^2*$A44^2+(rate-d)*$A44)*EurCall!AW43</f>
        <v>-218.34548699066909</v>
      </c>
      <c r="AW44">
        <f>-0.25*(sigma^2*$A44^2-(rate-d)*$A44)*EurCall!AX45-(-0.5*sigma^2*$A44^2-0.5*rate+1/dt)*EurCall!AX44-0.25*(sigma^2*$A44^2+(rate-d)*$A44)*EurCall!AX43</f>
        <v>-213.39665056959504</v>
      </c>
      <c r="AX44">
        <f>-0.25*(sigma^2*$A44^2-(rate-d)*$A44)*EurCall!AY45-(-0.5*sigma^2*$A44^2-0.5*rate+1/dt)*EurCall!AY44-0.25*(sigma^2*$A44^2+(rate-d)*$A44)*EurCall!AY43</f>
        <v>-208.76945289646503</v>
      </c>
      <c r="AY44">
        <f>-0.25*(sigma^2*$A44^2-(rate-d)*$A44)*EurCall!AZ45-(-0.5*sigma^2*$A44^2-0.5*rate+1/dt)*EurCall!AZ44-0.25*(sigma^2*$A44^2+(rate-d)*$A44)*EurCall!AZ43</f>
        <v>-204.62806063483038</v>
      </c>
      <c r="AZ44">
        <f>-0.25*(sigma^2*$A44^2-(rate-d)*$A44)*EurCall!BA45-(-0.5*sigma^2*$A44^2-0.5*rate+1/dt)*EurCall!BA44-0.25*(sigma^2*$A44^2+(rate-d)*$A44)*EurCall!BA43</f>
        <v>-201.20000000000002</v>
      </c>
      <c r="BA44" s="6"/>
    </row>
    <row r="45" spans="1:53" x14ac:dyDescent="0.2">
      <c r="A45">
        <f t="shared" si="3"/>
        <v>20</v>
      </c>
      <c r="B45" s="3">
        <f t="shared" si="0"/>
        <v>40</v>
      </c>
      <c r="C45">
        <f>-0.25*(sigma^2*$A45^2-(rate-d)*$A45)*EurCall!D46-(-0.5*sigma^2*$A45^2-0.5*rate+1/dt)*EurCall!D45-0.25*(sigma^2*$A45^2+(rate-d)*$A45)*EurCall!D44</f>
        <v>-280.87476845840956</v>
      </c>
      <c r="D45">
        <f>-0.25*(sigma^2*$A45^2-(rate-d)*$A45)*EurCall!E46-(-0.5*sigma^2*$A45^2-0.5*rate+1/dt)*EurCall!E45-0.25*(sigma^2*$A45^2+(rate-d)*$A45)*EurCall!E44</f>
        <v>-277.34850525046318</v>
      </c>
      <c r="E45">
        <f>-0.25*(sigma^2*$A45^2-(rate-d)*$A45)*EurCall!F46-(-0.5*sigma^2*$A45^2-0.5*rate+1/dt)*EurCall!F45-0.25*(sigma^2*$A45^2+(rate-d)*$A45)*EurCall!F44</f>
        <v>-273.79699469360065</v>
      </c>
      <c r="F45">
        <f>-0.25*(sigma^2*$A45^2-(rate-d)*$A45)*EurCall!G46-(-0.5*sigma^2*$A45^2-0.5*rate+1/dt)*EurCall!G45-0.25*(sigma^2*$A45^2+(rate-d)*$A45)*EurCall!G44</f>
        <v>-270.21941736498661</v>
      </c>
      <c r="G45">
        <f>-0.25*(sigma^2*$A45^2-(rate-d)*$A45)*EurCall!H46-(-0.5*sigma^2*$A45^2-0.5*rate+1/dt)*EurCall!H45-0.25*(sigma^2*$A45^2+(rate-d)*$A45)*EurCall!H44</f>
        <v>-266.61490730049434</v>
      </c>
      <c r="H45">
        <f>-0.25*(sigma^2*$A45^2-(rate-d)*$A45)*EurCall!I46-(-0.5*sigma^2*$A45^2-0.5*rate+1/dt)*EurCall!I45-0.25*(sigma^2*$A45^2+(rate-d)*$A45)*EurCall!I44</f>
        <v>-262.98254818788786</v>
      </c>
      <c r="I45">
        <f>-0.25*(sigma^2*$A45^2-(rate-d)*$A45)*EurCall!J46-(-0.5*sigma^2*$A45^2-0.5*rate+1/dt)*EurCall!J45-0.25*(sigma^2*$A45^2+(rate-d)*$A45)*EurCall!J44</f>
        <v>-259.3213691463983</v>
      </c>
      <c r="J45">
        <f>-0.25*(sigma^2*$A45^2-(rate-d)*$A45)*EurCall!K46-(-0.5*sigma^2*$A45^2-0.5*rate+1/dt)*EurCall!K45-0.25*(sigma^2*$A45^2+(rate-d)*$A45)*EurCall!K44</f>
        <v>-255.63034003576865</v>
      </c>
      <c r="K45">
        <f>-0.25*(sigma^2*$A45^2-(rate-d)*$A45)*EurCall!L46-(-0.5*sigma^2*$A45^2-0.5*rate+1/dt)*EurCall!L45-0.25*(sigma^2*$A45^2+(rate-d)*$A45)*EurCall!L44</f>
        <v>-251.90836622824995</v>
      </c>
      <c r="L45">
        <f>-0.25*(sigma^2*$A45^2-(rate-d)*$A45)*EurCall!M46-(-0.5*sigma^2*$A45^2-0.5*rate+1/dt)*EurCall!M45-0.25*(sigma^2*$A45^2+(rate-d)*$A45)*EurCall!M44</f>
        <v>-248.15428276551711</v>
      </c>
      <c r="M45">
        <f>-0.25*(sigma^2*$A45^2-(rate-d)*$A45)*EurCall!N46-(-0.5*sigma^2*$A45^2-0.5*rate+1/dt)*EurCall!N45-0.25*(sigma^2*$A45^2+(rate-d)*$A45)*EurCall!N44</f>
        <v>-244.36684780859753</v>
      </c>
      <c r="N45">
        <f>-0.25*(sigma^2*$A45^2-(rate-d)*$A45)*EurCall!O46-(-0.5*sigma^2*$A45^2-0.5*rate+1/dt)*EurCall!O45-0.25*(sigma^2*$A45^2+(rate-d)*$A45)*EurCall!O44</f>
        <v>-240.54473527210962</v>
      </c>
      <c r="O45">
        <f>-0.25*(sigma^2*$A45^2-(rate-d)*$A45)*EurCall!P46-(-0.5*sigma^2*$A45^2-0.5*rate+1/dt)*EurCall!P45-0.25*(sigma^2*$A45^2+(rate-d)*$A45)*EurCall!P44</f>
        <v>-236.68652651369354</v>
      </c>
      <c r="P45">
        <f>-0.25*(sigma^2*$A45^2-(rate-d)*$A45)*EurCall!Q46-(-0.5*sigma^2*$A45^2-0.5*rate+1/dt)*EurCall!Q45-0.25*(sigma^2*$A45^2+(rate-d)*$A45)*EurCall!Q44</f>
        <v>-232.79070092458582</v>
      </c>
      <c r="Q45">
        <f>-0.25*(sigma^2*$A45^2-(rate-d)*$A45)*EurCall!R46-(-0.5*sigma^2*$A45^2-0.5*rate+1/dt)*EurCall!R45-0.25*(sigma^2*$A45^2+(rate-d)*$A45)*EurCall!R44</f>
        <v>-228.85562523672425</v>
      </c>
      <c r="R45">
        <f>-0.25*(sigma^2*$A45^2-(rate-d)*$A45)*EurCall!S46-(-0.5*sigma^2*$A45^2-0.5*rate+1/dt)*EurCall!S45-0.25*(sigma^2*$A45^2+(rate-d)*$A45)*EurCall!S44</f>
        <v>-224.87954132411264</v>
      </c>
      <c r="S45">
        <f>-0.25*(sigma^2*$A45^2-(rate-d)*$A45)*EurCall!T46-(-0.5*sigma^2*$A45^2-0.5*rate+1/dt)*EurCall!T45-0.25*(sigma^2*$A45^2+(rate-d)*$A45)*EurCall!T44</f>
        <v>-220.86055222959641</v>
      </c>
      <c r="T45">
        <f>-0.25*(sigma^2*$A45^2-(rate-d)*$A45)*EurCall!U46-(-0.5*sigma^2*$A45^2-0.5*rate+1/dt)*EurCall!U45-0.25*(sigma^2*$A45^2+(rate-d)*$A45)*EurCall!U44</f>
        <v>-216.79660609032015</v>
      </c>
      <c r="U45">
        <f>-0.25*(sigma^2*$A45^2-(rate-d)*$A45)*EurCall!V46-(-0.5*sigma^2*$A45^2-0.5*rate+1/dt)*EurCall!V45-0.25*(sigma^2*$A45^2+(rate-d)*$A45)*EurCall!V44</f>
        <v>-212.68547756291107</v>
      </c>
      <c r="V45">
        <f>-0.25*(sigma^2*$A45^2-(rate-d)*$A45)*EurCall!W46-(-0.5*sigma^2*$A45^2-0.5*rate+1/dt)*EurCall!W45-0.25*(sigma^2*$A45^2+(rate-d)*$A45)*EurCall!W44</f>
        <v>-208.52474625891858</v>
      </c>
      <c r="W45">
        <f>-0.25*(sigma^2*$A45^2-(rate-d)*$A45)*EurCall!X46-(-0.5*sigma^2*$A45^2-0.5*rate+1/dt)*EurCall!X45-0.25*(sigma^2*$A45^2+(rate-d)*$A45)*EurCall!X44</f>
        <v>-204.31177158713561</v>
      </c>
      <c r="X45">
        <f>-0.25*(sigma^2*$A45^2-(rate-d)*$A45)*EurCall!Y46-(-0.5*sigma^2*$A45^2-0.5*rate+1/dt)*EurCall!Y45-0.25*(sigma^2*$A45^2+(rate-d)*$A45)*EurCall!Y44</f>
        <v>-200.04366325550018</v>
      </c>
      <c r="Y45">
        <f>-0.25*(sigma^2*$A45^2-(rate-d)*$A45)*EurCall!Z46-(-0.5*sigma^2*$A45^2-0.5*rate+1/dt)*EurCall!Z45-0.25*(sigma^2*$A45^2+(rate-d)*$A45)*EurCall!Z44</f>
        <v>-195.71724650269456</v>
      </c>
      <c r="Z45">
        <f>-0.25*(sigma^2*$A45^2-(rate-d)*$A45)*EurCall!AA46-(-0.5*sigma^2*$A45^2-0.5*rate+1/dt)*EurCall!AA45-0.25*(sigma^2*$A45^2+(rate-d)*$A45)*EurCall!AA44</f>
        <v>-191.32902089704282</v>
      </c>
      <c r="AA45">
        <f>-0.25*(sigma^2*$A45^2-(rate-d)*$A45)*EurCall!AB46-(-0.5*sigma^2*$A45^2-0.5*rate+1/dt)*EurCall!AB45-0.25*(sigma^2*$A45^2+(rate-d)*$A45)*EurCall!AB44</f>
        <v>-186.87511124309589</v>
      </c>
      <c r="AB45">
        <f>-0.25*(sigma^2*$A45^2-(rate-d)*$A45)*EurCall!AC46-(-0.5*sigma^2*$A45^2-0.5*rate+1/dt)*EurCall!AC45-0.25*(sigma^2*$A45^2+(rate-d)*$A45)*EurCall!AC44</f>
        <v>-182.35120875500843</v>
      </c>
      <c r="AC45">
        <f>-0.25*(sigma^2*$A45^2-(rate-d)*$A45)*EurCall!AD46-(-0.5*sigma^2*$A45^2-0.5*rate+1/dt)*EurCall!AD45-0.25*(sigma^2*$A45^2+(rate-d)*$A45)*EurCall!AD44</f>
        <v>-177.7525001649696</v>
      </c>
      <c r="AD45">
        <f>-0.25*(sigma^2*$A45^2-(rate-d)*$A45)*EurCall!AE46-(-0.5*sigma^2*$A45^2-0.5*rate+1/dt)*EurCall!AE45-0.25*(sigma^2*$A45^2+(rate-d)*$A45)*EurCall!AE44</f>
        <v>-173.07358180095503</v>
      </c>
      <c r="AE45">
        <f>-0.25*(sigma^2*$A45^2-(rate-d)*$A45)*EurCall!AF46-(-0.5*sigma^2*$A45^2-0.5*rate+1/dt)*EurCall!AF45-0.25*(sigma^2*$A45^2+(rate-d)*$A45)*EurCall!AF44</f>
        <v>-168.30835484652945</v>
      </c>
      <c r="AF45">
        <f>-0.25*(sigma^2*$A45^2-(rate-d)*$A45)*EurCall!AG46-(-0.5*sigma^2*$A45^2-0.5*rate+1/dt)*EurCall!AG45-0.25*(sigma^2*$A45^2+(rate-d)*$A45)*EurCall!AG44</f>
        <v>-163.44989692759304</v>
      </c>
      <c r="AG45">
        <f>-0.25*(sigma^2*$A45^2-(rate-d)*$A45)*EurCall!AH46-(-0.5*sigma^2*$A45^2-0.5*rate+1/dt)*EurCall!AH45-0.25*(sigma^2*$A45^2+(rate-d)*$A45)*EurCall!AH44</f>
        <v>-158.49030377887362</v>
      </c>
      <c r="AH45">
        <f>-0.25*(sigma^2*$A45^2-(rate-d)*$A45)*EurCall!AI46-(-0.5*sigma^2*$A45^2-0.5*rate+1/dt)*EurCall!AI45-0.25*(sigma^2*$A45^2+(rate-d)*$A45)*EurCall!AI44</f>
        <v>-153.420492923029</v>
      </c>
      <c r="AI45">
        <f>-0.25*(sigma^2*$A45^2-(rate-d)*$A45)*EurCall!AJ46-(-0.5*sigma^2*$A45^2-0.5*rate+1/dt)*EurCall!AJ45-0.25*(sigma^2*$A45^2+(rate-d)*$A45)*EurCall!AJ44</f>
        <v>-148.22995890947618</v>
      </c>
      <c r="AJ45">
        <f>-0.25*(sigma^2*$A45^2-(rate-d)*$A45)*EurCall!AK46-(-0.5*sigma^2*$A45^2-0.5*rate+1/dt)*EurCall!AK45-0.25*(sigma^2*$A45^2+(rate-d)*$A45)*EurCall!AK44</f>
        <v>-142.90646652447714</v>
      </c>
      <c r="AK45">
        <f>-0.25*(sigma^2*$A45^2-(rate-d)*$A45)*EurCall!AL46-(-0.5*sigma^2*$A45^2-0.5*rate+1/dt)*EurCall!AL45-0.25*(sigma^2*$A45^2+(rate-d)*$A45)*EurCall!AL44</f>
        <v>-137.43566425263737</v>
      </c>
      <c r="AL45">
        <f>-0.25*(sigma^2*$A45^2-(rate-d)*$A45)*EurCall!AM46-(-0.5*sigma^2*$A45^2-0.5*rate+1/dt)*EurCall!AM45-0.25*(sigma^2*$A45^2+(rate-d)*$A45)*EurCall!AM44</f>
        <v>-131.80059481355923</v>
      </c>
      <c r="AM45">
        <f>-0.25*(sigma^2*$A45^2-(rate-d)*$A45)*EurCall!AN46-(-0.5*sigma^2*$A45^2-0.5*rate+1/dt)*EurCall!AN45-0.25*(sigma^2*$A45^2+(rate-d)*$A45)*EurCall!AN44</f>
        <v>-125.98107237440952</v>
      </c>
      <c r="AN45">
        <f>-0.25*(sigma^2*$A45^2-(rate-d)*$A45)*EurCall!AO46-(-0.5*sigma^2*$A45^2-0.5*rate+1/dt)*EurCall!AO45-0.25*(sigma^2*$A45^2+(rate-d)*$A45)*EurCall!AO44</f>
        <v>-119.95288645653082</v>
      </c>
      <c r="AO45">
        <f>-0.25*(sigma^2*$A45^2-(rate-d)*$A45)*EurCall!AP46-(-0.5*sigma^2*$A45^2-0.5*rate+1/dt)*EurCall!AP45-0.25*(sigma^2*$A45^2+(rate-d)*$A45)*EurCall!AP44</f>
        <v>-113.68677981399564</v>
      </c>
      <c r="AP45">
        <f>-0.25*(sigma^2*$A45^2-(rate-d)*$A45)*EurCall!AQ46-(-0.5*sigma^2*$A45^2-0.5*rate+1/dt)*EurCall!AQ45-0.25*(sigma^2*$A45^2+(rate-d)*$A45)*EurCall!AQ44</f>
        <v>-107.14713058883186</v>
      </c>
      <c r="AQ45">
        <f>-0.25*(sigma^2*$A45^2-(rate-d)*$A45)*EurCall!AR46-(-0.5*sigma^2*$A45^2-0.5*rate+1/dt)*EurCall!AR45-0.25*(sigma^2*$A45^2+(rate-d)*$A45)*EurCall!AR44</f>
        <v>-100.29024639007521</v>
      </c>
      <c r="AR45">
        <f>-0.25*(sigma^2*$A45^2-(rate-d)*$A45)*EurCall!AS46-(-0.5*sigma^2*$A45^2-0.5*rate+1/dt)*EurCall!AS45-0.25*(sigma^2*$A45^2+(rate-d)*$A45)*EurCall!AS44</f>
        <v>-93.062147639570185</v>
      </c>
      <c r="AS45">
        <f>-0.25*(sigma^2*$A45^2-(rate-d)*$A45)*EurCall!AT46-(-0.5*sigma^2*$A45^2-0.5*rate+1/dt)*EurCall!AT45-0.25*(sigma^2*$A45^2+(rate-d)*$A45)*EurCall!AT44</f>
        <v>-85.395676919551434</v>
      </c>
      <c r="AT45">
        <f>-0.25*(sigma^2*$A45^2-(rate-d)*$A45)*EurCall!AU46-(-0.5*sigma^2*$A45^2-0.5*rate+1/dt)*EurCall!AU45-0.25*(sigma^2*$A45^2+(rate-d)*$A45)*EurCall!AU44</f>
        <v>-77.206716542159114</v>
      </c>
      <c r="AU45">
        <f>-0.25*(sigma^2*$A45^2-(rate-d)*$A45)*EurCall!AV46-(-0.5*sigma^2*$A45^2-0.5*rate+1/dt)*EurCall!AV45-0.25*(sigma^2*$A45^2+(rate-d)*$A45)*EurCall!AV44</f>
        <v>-68.389223244752486</v>
      </c>
      <c r="AV45">
        <f>-0.25*(sigma^2*$A45^2-(rate-d)*$A45)*EurCall!AW46-(-0.5*sigma^2*$A45^2-0.5*rate+1/dt)*EurCall!AW45-0.25*(sigma^2*$A45^2+(rate-d)*$A45)*EurCall!AW44</f>
        <v>-58.808690138672432</v>
      </c>
      <c r="AW45">
        <f>-0.25*(sigma^2*$A45^2-(rate-d)*$A45)*EurCall!AX46-(-0.5*sigma^2*$A45^2-0.5*rate+1/dt)*EurCall!AX45-0.25*(sigma^2*$A45^2+(rate-d)*$A45)*EurCall!AX44</f>
        <v>-48.293512730230674</v>
      </c>
      <c r="AX45">
        <f>-0.25*(sigma^2*$A45^2-(rate-d)*$A45)*EurCall!AY46-(-0.5*sigma^2*$A45^2-0.5*rate+1/dt)*EurCall!AY45-0.25*(sigma^2*$A45^2+(rate-d)*$A45)*EurCall!AY44</f>
        <v>-36.623555609328974</v>
      </c>
      <c r="AY45">
        <f>-0.25*(sigma^2*$A45^2-(rate-d)*$A45)*EurCall!AZ46-(-0.5*sigma^2*$A45^2-0.5*rate+1/dt)*EurCall!AZ45-0.25*(sigma^2*$A45^2+(rate-d)*$A45)*EurCall!AZ44</f>
        <v>-23.51497233836993</v>
      </c>
      <c r="AZ45">
        <f>-0.25*(sigma^2*$A45^2-(rate-d)*$A45)*EurCall!BA46-(-0.5*sigma^2*$A45^2-0.5*rate+1/dt)*EurCall!BA45-0.25*(sigma^2*$A45^2+(rate-d)*$A45)*EurCall!BA44</f>
        <v>-8.6000000000000014</v>
      </c>
      <c r="BA45" s="6"/>
    </row>
    <row r="46" spans="1:53" x14ac:dyDescent="0.2">
      <c r="A46">
        <f t="shared" si="3"/>
        <v>19</v>
      </c>
      <c r="B46" s="3">
        <f t="shared" si="0"/>
        <v>38</v>
      </c>
      <c r="C46">
        <f>-0.25*(sigma^2*$A46^2-(rate-d)*$A46)*EurCall!D47-(-0.5*sigma^2*$A46^2-0.5*rate+1/dt)*EurCall!D46-0.25*(sigma^2*$A46^2+(rate-d)*$A46)*EurCall!D45</f>
        <v>-173.12172920067493</v>
      </c>
      <c r="D46">
        <f>-0.25*(sigma^2*$A46^2-(rate-d)*$A46)*EurCall!E47-(-0.5*sigma^2*$A46^2-0.5*rate+1/dt)*EurCall!E46-0.25*(sigma^2*$A46^2+(rate-d)*$A46)*EurCall!E45</f>
        <v>-169.98009567472491</v>
      </c>
      <c r="E46">
        <f>-0.25*(sigma^2*$A46^2-(rate-d)*$A46)*EurCall!F47-(-0.5*sigma^2*$A46^2-0.5*rate+1/dt)*EurCall!F46-0.25*(sigma^2*$A46^2+(rate-d)*$A46)*EurCall!F45</f>
        <v>-166.82096234729235</v>
      </c>
      <c r="F46">
        <f>-0.25*(sigma^2*$A46^2-(rate-d)*$A46)*EurCall!G47-(-0.5*sigma^2*$A46^2-0.5*rate+1/dt)*EurCall!G46-0.25*(sigma^2*$A46^2+(rate-d)*$A46)*EurCall!G45</f>
        <v>-163.64388138613555</v>
      </c>
      <c r="G46">
        <f>-0.25*(sigma^2*$A46^2-(rate-d)*$A46)*EurCall!H47-(-0.5*sigma^2*$A46^2-0.5*rate+1/dt)*EurCall!H46-0.25*(sigma^2*$A46^2+(rate-d)*$A46)*EurCall!H45</f>
        <v>-160.44838636687021</v>
      </c>
      <c r="H46">
        <f>-0.25*(sigma^2*$A46^2-(rate-d)*$A46)*EurCall!I47-(-0.5*sigma^2*$A46^2-0.5*rate+1/dt)*EurCall!I46-0.25*(sigma^2*$A46^2+(rate-d)*$A46)*EurCall!I45</f>
        <v>-157.23399134518681</v>
      </c>
      <c r="I46">
        <f>-0.25*(sigma^2*$A46^2-(rate-d)*$A46)*EurCall!J47-(-0.5*sigma^2*$A46^2-0.5*rate+1/dt)*EurCall!J46-0.25*(sigma^2*$A46^2+(rate-d)*$A46)*EurCall!J45</f>
        <v>-154.00018989664974</v>
      </c>
      <c r="J46">
        <f>-0.25*(sigma^2*$A46^2-(rate-d)*$A46)*EurCall!K47-(-0.5*sigma^2*$A46^2-0.5*rate+1/dt)*EurCall!K46-0.25*(sigma^2*$A46^2+(rate-d)*$A46)*EurCall!K45</f>
        <v>-150.7464541294402</v>
      </c>
      <c r="K46">
        <f>-0.25*(sigma^2*$A46^2-(rate-d)*$A46)*EurCall!L47-(-0.5*sigma^2*$A46^2-0.5*rate+1/dt)*EurCall!L46-0.25*(sigma^2*$A46^2+(rate-d)*$A46)*EurCall!L45</f>
        <v>-147.47223367795058</v>
      </c>
      <c r="L46">
        <f>-0.25*(sigma^2*$A46^2-(rate-d)*$A46)*EurCall!M47-(-0.5*sigma^2*$A46^2-0.5*rate+1/dt)*EurCall!M46-0.25*(sigma^2*$A46^2+(rate-d)*$A46)*EurCall!M45</f>
        <v>-144.17695468849132</v>
      </c>
      <c r="M46">
        <f>-0.25*(sigma^2*$A46^2-(rate-d)*$A46)*EurCall!N47-(-0.5*sigma^2*$A46^2-0.5*rate+1/dt)*EurCall!N46-0.25*(sigma^2*$A46^2+(rate-d)*$A46)*EurCall!N45</f>
        <v>-140.86001881277653</v>
      </c>
      <c r="N46">
        <f>-0.25*(sigma^2*$A46^2-(rate-d)*$A46)*EurCall!O47-(-0.5*sigma^2*$A46^2-0.5*rate+1/dt)*EurCall!O46-0.25*(sigma^2*$A46^2+(rate-d)*$A46)*EurCall!O45</f>
        <v>-137.52080223062748</v>
      </c>
      <c r="O46">
        <f>-0.25*(sigma^2*$A46^2-(rate-d)*$A46)*EurCall!P47-(-0.5*sigma^2*$A46^2-0.5*rate+1/dt)*EurCall!P46-0.25*(sigma^2*$A46^2+(rate-d)*$A46)*EurCall!P45</f>
        <v>-134.15865473088161</v>
      </c>
      <c r="P46">
        <f>-0.25*(sigma^2*$A46^2-(rate-d)*$A46)*EurCall!Q47-(-0.5*sigma^2*$A46^2-0.5*rate+1/dt)*EurCall!Q46-0.25*(sigma^2*$A46^2+(rate-d)*$A46)*EurCall!Q45</f>
        <v>-130.77289888936053</v>
      </c>
      <c r="Q46">
        <f>-0.25*(sigma^2*$A46^2-(rate-d)*$A46)*EurCall!R47-(-0.5*sigma^2*$A46^2-0.5*rate+1/dt)*EurCall!R46-0.25*(sigma^2*$A46^2+(rate-d)*$A46)*EurCall!R45</f>
        <v>-127.3628293956268</v>
      </c>
      <c r="R46">
        <f>-0.25*(sigma^2*$A46^2-(rate-d)*$A46)*EurCall!S47-(-0.5*sigma^2*$A46^2-0.5*rate+1/dt)*EurCall!S46-0.25*(sigma^2*$A46^2+(rate-d)*$A46)*EurCall!S45</f>
        <v>-123.92771259706241</v>
      </c>
      <c r="S46">
        <f>-0.25*(sigma^2*$A46^2-(rate-d)*$A46)*EurCall!T47-(-0.5*sigma^2*$A46^2-0.5*rate+1/dt)*EurCall!T46-0.25*(sigma^2*$A46^2+(rate-d)*$A46)*EurCall!T45</f>
        <v>-120.46678635072389</v>
      </c>
      <c r="T46">
        <f>-0.25*(sigma^2*$A46^2-(rate-d)*$A46)*EurCall!U47-(-0.5*sigma^2*$A46^2-0.5*rate+1/dt)*EurCall!U46-0.25*(sigma^2*$A46^2+(rate-d)*$A46)*EurCall!U45</f>
        <v>-116.97926030203118</v>
      </c>
      <c r="U46">
        <f>-0.25*(sigma^2*$A46^2-(rate-d)*$A46)*EurCall!V47-(-0.5*sigma^2*$A46^2-0.5*rate+1/dt)*EurCall!V46-0.25*(sigma^2*$A46^2+(rate-d)*$A46)*EurCall!V45</f>
        <v>-113.46431674667292</v>
      </c>
      <c r="V46">
        <f>-0.25*(sigma^2*$A46^2-(rate-d)*$A46)*EurCall!W47-(-0.5*sigma^2*$A46^2-0.5*rate+1/dt)*EurCall!W46-0.25*(sigma^2*$A46^2+(rate-d)*$A46)*EurCall!W45</f>
        <v>-109.9211122808418</v>
      </c>
      <c r="W46">
        <f>-0.25*(sigma^2*$A46^2-(rate-d)*$A46)*EurCall!X47-(-0.5*sigma^2*$A46^2-0.5*rate+1/dt)*EurCall!X46-0.25*(sigma^2*$A46^2+(rate-d)*$A46)*EurCall!X45</f>
        <v>-106.34878050856469</v>
      </c>
      <c r="X46">
        <f>-0.25*(sigma^2*$A46^2-(rate-d)*$A46)*EurCall!Y47-(-0.5*sigma^2*$A46^2-0.5*rate+1/dt)*EurCall!Y46-0.25*(sigma^2*$A46^2+(rate-d)*$A46)*EurCall!Y45</f>
        <v>-102.74643615808436</v>
      </c>
      <c r="Y46">
        <f>-0.25*(sigma^2*$A46^2-(rate-d)*$A46)*EurCall!Z47-(-0.5*sigma^2*$A46^2-0.5*rate+1/dt)*EurCall!Z46-0.25*(sigma^2*$A46^2+(rate-d)*$A46)*EurCall!Z45</f>
        <v>-99.113181068057273</v>
      </c>
      <c r="Z46">
        <f>-0.25*(sigma^2*$A46^2-(rate-d)*$A46)*EurCall!AA47-(-0.5*sigma^2*$A46^2-0.5*rate+1/dt)*EurCall!AA46-0.25*(sigma^2*$A46^2+(rate-d)*$A46)*EurCall!AA45</f>
        <v>-95.448112646746594</v>
      </c>
      <c r="AA46">
        <f>-0.25*(sigma^2*$A46^2-(rate-d)*$A46)*EurCall!AB47-(-0.5*sigma^2*$A46^2-0.5*rate+1/dt)*EurCall!AB46-0.25*(sigma^2*$A46^2+(rate-d)*$A46)*EurCall!AB45</f>
        <v>-91.750335593950439</v>
      </c>
      <c r="AB46">
        <f>-0.25*(sigma^2*$A46^2-(rate-d)*$A46)*EurCall!AC47-(-0.5*sigma^2*$A46^2-0.5*rate+1/dt)*EurCall!AC46-0.25*(sigma^2*$A46^2+(rate-d)*$A46)*EurCall!AC45</f>
        <v>-88.018977919994938</v>
      </c>
      <c r="AC46">
        <f>-0.25*(sigma^2*$A46^2-(rate-d)*$A46)*EurCall!AD47-(-0.5*sigma^2*$A46^2-0.5*rate+1/dt)*EurCall!AD46-0.25*(sigma^2*$A46^2+(rate-d)*$A46)*EurCall!AD45</f>
        <v>-84.253212617084571</v>
      </c>
      <c r="AD46">
        <f>-0.25*(sigma^2*$A46^2-(rate-d)*$A46)*EurCall!AE47-(-0.5*sigma^2*$A46^2-0.5*rate+1/dt)*EurCall!AE46-0.25*(sigma^2*$A46^2+(rate-d)*$A46)*EurCall!AE45</f>
        <v>-80.45228675986499</v>
      </c>
      <c r="AE46">
        <f>-0.25*(sigma^2*$A46^2-(rate-d)*$A46)*EurCall!AF47-(-0.5*sigma^2*$A46^2-0.5*rate+1/dt)*EurCall!AF46-0.25*(sigma^2*$A46^2+(rate-d)*$A46)*EurCall!AF45</f>
        <v>-76.615560366269051</v>
      </c>
      <c r="AF46">
        <f>-0.25*(sigma^2*$A46^2-(rate-d)*$A46)*EurCall!AG47-(-0.5*sigma^2*$A46^2-0.5*rate+1/dt)*EurCall!AG46-0.25*(sigma^2*$A46^2+(rate-d)*$A46)*EurCall!AG45</f>
        <v>-72.742558079022658</v>
      </c>
      <c r="AG46">
        <f>-0.25*(sigma^2*$A46^2-(rate-d)*$A46)*EurCall!AH47-(-0.5*sigma^2*$A46^2-0.5*rate+1/dt)*EurCall!AH46-0.25*(sigma^2*$A46^2+(rate-d)*$A46)*EurCall!AH45</f>
        <v>-68.833037688828568</v>
      </c>
      <c r="AH46">
        <f>-0.25*(sigma^2*$A46^2-(rate-d)*$A46)*EurCall!AI47-(-0.5*sigma^2*$A46^2-0.5*rate+1/dt)*EurCall!AI46-0.25*(sigma^2*$A46^2+(rate-d)*$A46)*EurCall!AI45</f>
        <v>-64.887080786844308</v>
      </c>
      <c r="AI46">
        <f>-0.25*(sigma^2*$A46^2-(rate-d)*$A46)*EurCall!AJ47-(-0.5*sigma^2*$A46^2-0.5*rate+1/dt)*EurCall!AJ46-0.25*(sigma^2*$A46^2+(rate-d)*$A46)*EurCall!AJ45</f>
        <v>-60.905212505725082</v>
      </c>
      <c r="AJ46">
        <f>-0.25*(sigma^2*$A46^2-(rate-d)*$A46)*EurCall!AK47-(-0.5*sigma^2*$A46^2-0.5*rate+1/dt)*EurCall!AK46-0.25*(sigma^2*$A46^2+(rate-d)*$A46)*EurCall!AK45</f>
        <v>-56.888559516954615</v>
      </c>
      <c r="AK46">
        <f>-0.25*(sigma^2*$A46^2-(rate-d)*$A46)*EurCall!AL47-(-0.5*sigma^2*$A46^2-0.5*rate+1/dt)*EurCall!AL46-0.25*(sigma^2*$A46^2+(rate-d)*$A46)*EurCall!AL45</f>
        <v>-52.839058372750628</v>
      </c>
      <c r="AL46">
        <f>-0.25*(sigma^2*$A46^2-(rate-d)*$A46)*EurCall!AM47-(-0.5*sigma^2*$A46^2-0.5*rate+1/dt)*EurCall!AM46-0.25*(sigma^2*$A46^2+(rate-d)*$A46)*EurCall!AM45</f>
        <v>-48.759730147045104</v>
      </c>
      <c r="AM46">
        <f>-0.25*(sigma^2*$A46^2-(rate-d)*$A46)*EurCall!AN47-(-0.5*sigma^2*$A46^2-0.5*rate+1/dt)*EurCall!AN46-0.25*(sigma^2*$A46^2+(rate-d)*$A46)*EurCall!AN45</f>
        <v>-44.655042453324299</v>
      </c>
      <c r="AN46">
        <f>-0.25*(sigma^2*$A46^2-(rate-d)*$A46)*EurCall!AO47-(-0.5*sigma^2*$A46^2-0.5*rate+1/dt)*EurCall!AO46-0.25*(sigma^2*$A46^2+(rate-d)*$A46)*EurCall!AO45</f>
        <v>-40.531386713189619</v>
      </c>
      <c r="AO46">
        <f>-0.25*(sigma^2*$A46^2-(rate-d)*$A46)*EurCall!AP47-(-0.5*sigma^2*$A46^2-0.5*rate+1/dt)*EurCall!AP46-0.25*(sigma^2*$A46^2+(rate-d)*$A46)*EurCall!AP45</f>
        <v>-36.397707573902338</v>
      </c>
      <c r="AP46">
        <f>-0.25*(sigma^2*$A46^2-(rate-d)*$A46)*EurCall!AQ47-(-0.5*sigma^2*$A46^2-0.5*rate+1/dt)*EurCall!AQ46-0.25*(sigma^2*$A46^2+(rate-d)*$A46)*EurCall!AQ45</f>
        <v>-32.266333369079376</v>
      </c>
      <c r="AQ46">
        <f>-0.25*(sigma^2*$A46^2-(rate-d)*$A46)*EurCall!AR47-(-0.5*sigma^2*$A46^2-0.5*rate+1/dt)*EurCall!AR46-0.25*(sigma^2*$A46^2+(rate-d)*$A46)*EurCall!AR45</f>
        <v>-28.154072479401407</v>
      </c>
      <c r="AR46">
        <f>-0.25*(sigma^2*$A46^2-(rate-d)*$A46)*EurCall!AS47-(-0.5*sigma^2*$A46^2-0.5*rate+1/dt)*EurCall!AS46-0.25*(sigma^2*$A46^2+(rate-d)*$A46)*EurCall!AS45</f>
        <v>-24.083661714082652</v>
      </c>
      <c r="AS46">
        <f>-0.25*(sigma^2*$A46^2-(rate-d)*$A46)*EurCall!AT47-(-0.5*sigma^2*$A46^2-0.5*rate+1/dt)*EurCall!AT46-0.25*(sigma^2*$A46^2+(rate-d)*$A46)*EurCall!AT45</f>
        <v>-20.085681190027856</v>
      </c>
      <c r="AT46">
        <f>-0.25*(sigma^2*$A46^2-(rate-d)*$A46)*EurCall!AU47-(-0.5*sigma^2*$A46^2-0.5*rate+1/dt)*EurCall!AU46-0.25*(sigma^2*$A46^2+(rate-d)*$A46)*EurCall!AU45</f>
        <v>-16.201088040913234</v>
      </c>
      <c r="AU46">
        <f>-0.25*(sigma^2*$A46^2-(rate-d)*$A46)*EurCall!AV47-(-0.5*sigma^2*$A46^2-0.5*rate+1/dt)*EurCall!AV46-0.25*(sigma^2*$A46^2+(rate-d)*$A46)*EurCall!AV45</f>
        <v>-12.484571880966863</v>
      </c>
      <c r="AV46">
        <f>-0.25*(sigma^2*$A46^2-(rate-d)*$A46)*EurCall!AW47-(-0.5*sigma^2*$A46^2-0.5*rate+1/dt)*EurCall!AW46-0.25*(sigma^2*$A46^2+(rate-d)*$A46)*EurCall!AW45</f>
        <v>-9.0090026396167069</v>
      </c>
      <c r="AW46">
        <f>-0.25*(sigma^2*$A46^2-(rate-d)*$A46)*EurCall!AX47-(-0.5*sigma^2*$A46^2-0.5*rate+1/dt)*EurCall!AX46-0.25*(sigma^2*$A46^2+(rate-d)*$A46)*EurCall!AX45</f>
        <v>-5.871332055608339</v>
      </c>
      <c r="AX46">
        <f>-0.25*(sigma^2*$A46^2-(rate-d)*$A46)*EurCall!AY47-(-0.5*sigma^2*$A46^2-0.5*rate+1/dt)*EurCall!AY46-0.25*(sigma^2*$A46^2+(rate-d)*$A46)*EurCall!AY45</f>
        <v>-3.2004317154119173</v>
      </c>
      <c r="AY46">
        <f>-0.25*(sigma^2*$A46^2-(rate-d)*$A46)*EurCall!AZ47-(-0.5*sigma^2*$A46^2-0.5*rate+1/dt)*EurCall!AZ46-0.25*(sigma^2*$A46^2+(rate-d)*$A46)*EurCall!AZ45</f>
        <v>-1.1675137795492943</v>
      </c>
      <c r="AZ46">
        <f>-0.25*(sigma^2*$A46^2-(rate-d)*$A46)*EurCall!BA47-(-0.5*sigma^2*$A46^2-0.5*rate+1/dt)*EurCall!BA46-0.25*(sigma^2*$A46^2+(rate-d)*$A46)*EurCall!BA45</f>
        <v>0</v>
      </c>
      <c r="BA46" s="6"/>
    </row>
    <row r="47" spans="1:53" x14ac:dyDescent="0.2">
      <c r="A47">
        <f t="shared" si="3"/>
        <v>18</v>
      </c>
      <c r="B47" s="3">
        <f t="shared" ref="B47:B65" si="4">Smin+dS*A47</f>
        <v>36</v>
      </c>
      <c r="C47">
        <f>-0.25*(sigma^2*$A47^2-(rate-d)*$A47)*EurCall!D48-(-0.5*sigma^2*$A47^2-0.5*rate+1/dt)*EurCall!D47-0.25*(sigma^2*$A47^2+(rate-d)*$A47)*EurCall!D46</f>
        <v>-95.57142236610251</v>
      </c>
      <c r="D47">
        <f>-0.25*(sigma^2*$A47^2-(rate-d)*$A47)*EurCall!E48-(-0.5*sigma^2*$A47^2-0.5*rate+1/dt)*EurCall!E47-0.25*(sigma^2*$A47^2+(rate-d)*$A47)*EurCall!E46</f>
        <v>-93.111865407007642</v>
      </c>
      <c r="E47">
        <f>-0.25*(sigma^2*$A47^2-(rate-d)*$A47)*EurCall!F48-(-0.5*sigma^2*$A47^2-0.5*rate+1/dt)*EurCall!F47-0.25*(sigma^2*$A47^2+(rate-d)*$A47)*EurCall!F46</f>
        <v>-90.650324403744989</v>
      </c>
      <c r="F47">
        <f>-0.25*(sigma^2*$A47^2-(rate-d)*$A47)*EurCall!G48-(-0.5*sigma^2*$A47^2-0.5*rate+1/dt)*EurCall!G47-0.25*(sigma^2*$A47^2+(rate-d)*$A47)*EurCall!G46</f>
        <v>-88.187055510491433</v>
      </c>
      <c r="G47">
        <f>-0.25*(sigma^2*$A47^2-(rate-d)*$A47)*EurCall!H48-(-0.5*sigma^2*$A47^2-0.5*rate+1/dt)*EurCall!H47-0.25*(sigma^2*$A47^2+(rate-d)*$A47)*EurCall!H46</f>
        <v>-85.722342553802676</v>
      </c>
      <c r="H47">
        <f>-0.25*(sigma^2*$A47^2-(rate-d)*$A47)*EurCall!I48-(-0.5*sigma^2*$A47^2-0.5*rate+1/dt)*EurCall!I47-0.25*(sigma^2*$A47^2+(rate-d)*$A47)*EurCall!I46</f>
        <v>-83.256499988604517</v>
      </c>
      <c r="I47">
        <f>-0.25*(sigma^2*$A47^2-(rate-d)*$A47)*EurCall!J48-(-0.5*sigma^2*$A47^2-0.5*rate+1/dt)*EurCall!J47-0.25*(sigma^2*$A47^2+(rate-d)*$A47)*EurCall!J46</f>
        <v>-80.789876203869895</v>
      </c>
      <c r="J47">
        <f>-0.25*(sigma^2*$A47^2-(rate-d)*$A47)*EurCall!K48-(-0.5*sigma^2*$A47^2-0.5*rate+1/dt)*EurCall!K47-0.25*(sigma^2*$A47^2+(rate-d)*$A47)*EurCall!K46</f>
        <v>-78.322857223367208</v>
      </c>
      <c r="K47">
        <f>-0.25*(sigma^2*$A47^2-(rate-d)*$A47)*EurCall!L48-(-0.5*sigma^2*$A47^2-0.5*rate+1/dt)*EurCall!L47-0.25*(sigma^2*$A47^2+(rate-d)*$A47)*EurCall!L46</f>
        <v>-75.855870853080717</v>
      </c>
      <c r="L47">
        <f>-0.25*(sigma^2*$A47^2-(rate-d)*$A47)*EurCall!M48-(-0.5*sigma^2*$A47^2-0.5*rate+1/dt)*EurCall!M47-0.25*(sigma^2*$A47^2+(rate-d)*$A47)*EurCall!M46</f>
        <v>-73.389391333959452</v>
      </c>
      <c r="M47">
        <f>-0.25*(sigma^2*$A47^2-(rate-d)*$A47)*EurCall!N48-(-0.5*sigma^2*$A47^2-0.5*rate+1/dt)*EurCall!N47-0.25*(sigma^2*$A47^2+(rate-d)*$A47)*EurCall!N46</f>
        <v>-70.92394456663969</v>
      </c>
      <c r="N47">
        <f>-0.25*(sigma^2*$A47^2-(rate-d)*$A47)*EurCall!O48-(-0.5*sigma^2*$A47^2-0.5*rate+1/dt)*EurCall!O47-0.25*(sigma^2*$A47^2+(rate-d)*$A47)*EurCall!O46</f>
        <v>-68.460113983805186</v>
      </c>
      <c r="O47">
        <f>-0.25*(sigma^2*$A47^2-(rate-d)*$A47)*EurCall!P48-(-0.5*sigma^2*$A47^2-0.5*rate+1/dt)*EurCall!P47-0.25*(sigma^2*$A47^2+(rate-d)*$A47)*EurCall!P46</f>
        <v>-65.998547155992</v>
      </c>
      <c r="P47">
        <f>-0.25*(sigma^2*$A47^2-(rate-d)*$A47)*EurCall!Q48-(-0.5*sigma^2*$A47^2-0.5*rate+1/dt)*EurCall!Q47-0.25*(sigma^2*$A47^2+(rate-d)*$A47)*EurCall!Q46</f>
        <v>-63.539963227997475</v>
      </c>
      <c r="Q47">
        <f>-0.25*(sigma^2*$A47^2-(rate-d)*$A47)*EurCall!R48-(-0.5*sigma^2*$A47^2-0.5*rate+1/dt)*EurCall!R47-0.25*(sigma^2*$A47^2+(rate-d)*$A47)*EurCall!R46</f>
        <v>-61.085161295679626</v>
      </c>
      <c r="R47">
        <f>-0.25*(sigma^2*$A47^2-(rate-d)*$A47)*EurCall!S48-(-0.5*sigma^2*$A47^2-0.5*rate+1/dt)*EurCall!S47-0.25*(sigma^2*$A47^2+(rate-d)*$A47)*EurCall!S46</f>
        <v>-58.635029846869521</v>
      </c>
      <c r="S47">
        <f>-0.25*(sigma^2*$A47^2-(rate-d)*$A47)*EurCall!T48-(-0.5*sigma^2*$A47^2-0.5*rate+1/dt)*EurCall!T47-0.25*(sigma^2*$A47^2+(rate-d)*$A47)*EurCall!T46</f>
        <v>-56.190557405342688</v>
      </c>
      <c r="T47">
        <f>-0.25*(sigma^2*$A47^2-(rate-d)*$A47)*EurCall!U48-(-0.5*sigma^2*$A47^2-0.5*rate+1/dt)*EurCall!U47-0.25*(sigma^2*$A47^2+(rate-d)*$A47)*EurCall!U46</f>
        <v>-53.752844533204978</v>
      </c>
      <c r="U47">
        <f>-0.25*(sigma^2*$A47^2-(rate-d)*$A47)*EurCall!V48-(-0.5*sigma^2*$A47^2-0.5*rate+1/dt)*EurCall!V47-0.25*(sigma^2*$A47^2+(rate-d)*$A47)*EurCall!V46</f>
        <v>-51.323117364417676</v>
      </c>
      <c r="V47">
        <f>-0.25*(sigma^2*$A47^2-(rate-d)*$A47)*EurCall!W48-(-0.5*sigma^2*$A47^2-0.5*rate+1/dt)*EurCall!W47-0.25*(sigma^2*$A47^2+(rate-d)*$A47)*EurCall!W46</f>
        <v>-48.902742860113655</v>
      </c>
      <c r="W47">
        <f>-0.25*(sigma^2*$A47^2-(rate-d)*$A47)*EurCall!X48-(-0.5*sigma^2*$A47^2-0.5*rate+1/dt)*EurCall!X47-0.25*(sigma^2*$A47^2+(rate-d)*$A47)*EurCall!X46</f>
        <v>-46.493245994180704</v>
      </c>
      <c r="X47">
        <f>-0.25*(sigma^2*$A47^2-(rate-d)*$A47)*EurCall!Y48-(-0.5*sigma^2*$A47^2-0.5*rate+1/dt)*EurCall!Y47-0.25*(sigma^2*$A47^2+(rate-d)*$A47)*EurCall!Y46</f>
        <v>-44.096329094291022</v>
      </c>
      <c r="Y47">
        <f>-0.25*(sigma^2*$A47^2-(rate-d)*$A47)*EurCall!Z48-(-0.5*sigma^2*$A47^2-0.5*rate+1/dt)*EurCall!Z47-0.25*(sigma^2*$A47^2+(rate-d)*$A47)*EurCall!Z46</f>
        <v>-41.713893577609142</v>
      </c>
      <c r="Z47">
        <f>-0.25*(sigma^2*$A47^2-(rate-d)*$A47)*EurCall!AA48-(-0.5*sigma^2*$A47^2-0.5*rate+1/dt)*EurCall!AA47-0.25*(sigma^2*$A47^2+(rate-d)*$A47)*EurCall!AA46</f>
        <v>-39.348064329584496</v>
      </c>
      <c r="AA47">
        <f>-0.25*(sigma^2*$A47^2-(rate-d)*$A47)*EurCall!AB48-(-0.5*sigma^2*$A47^2-0.5*rate+1/dt)*EurCall!AB47-0.25*(sigma^2*$A47^2+(rate-d)*$A47)*EurCall!AB46</f>
        <v>-37.001216975326273</v>
      </c>
      <c r="AB47">
        <f>-0.25*(sigma^2*$A47^2-(rate-d)*$A47)*EurCall!AC48-(-0.5*sigma^2*$A47^2-0.5*rate+1/dt)*EurCall!AC47-0.25*(sigma^2*$A47^2+(rate-d)*$A47)*EurCall!AC46</f>
        <v>-34.676008281527238</v>
      </c>
      <c r="AC47">
        <f>-0.25*(sigma^2*$A47^2-(rate-d)*$A47)*EurCall!AD48-(-0.5*sigma^2*$A47^2-0.5*rate+1/dt)*EurCall!AD47-0.25*(sigma^2*$A47^2+(rate-d)*$A47)*EurCall!AD46</f>
        <v>-32.375409896382024</v>
      </c>
      <c r="AD47">
        <f>-0.25*(sigma^2*$A47^2-(rate-d)*$A47)*EurCall!AE48-(-0.5*sigma^2*$A47^2-0.5*rate+1/dt)*EurCall!AE47-0.25*(sigma^2*$A47^2+(rate-d)*$A47)*EurCall!AE46</f>
        <v>-30.102745576569891</v>
      </c>
      <c r="AE47">
        <f>-0.25*(sigma^2*$A47^2-(rate-d)*$A47)*EurCall!AF48-(-0.5*sigma^2*$A47^2-0.5*rate+1/dt)*EurCall!AF47-0.25*(sigma^2*$A47^2+(rate-d)*$A47)*EurCall!AF46</f>
        <v>-27.86173195188524</v>
      </c>
      <c r="AF47">
        <f>-0.25*(sigma^2*$A47^2-(rate-d)*$A47)*EurCall!AG48-(-0.5*sigma^2*$A47^2-0.5*rate+1/dt)*EurCall!AG47-0.25*(sigma^2*$A47^2+(rate-d)*$A47)*EurCall!AG46</f>
        <v>-25.656522722640034</v>
      </c>
      <c r="AG47">
        <f>-0.25*(sigma^2*$A47^2-(rate-d)*$A47)*EurCall!AH48-(-0.5*sigma^2*$A47^2-0.5*rate+1/dt)*EurCall!AH47-0.25*(sigma^2*$A47^2+(rate-d)*$A47)*EurCall!AH46</f>
        <v>-23.491755949433006</v>
      </c>
      <c r="AH47">
        <f>-0.25*(sigma^2*$A47^2-(rate-d)*$A47)*EurCall!AI48-(-0.5*sigma^2*$A47^2-0.5*rate+1/dt)*EurCall!AI47-0.25*(sigma^2*$A47^2+(rate-d)*$A47)*EurCall!AI46</f>
        <v>-21.372603747753054</v>
      </c>
      <c r="AI47">
        <f>-0.25*(sigma^2*$A47^2-(rate-d)*$A47)*EurCall!AJ48-(-0.5*sigma^2*$A47^2-0.5*rate+1/dt)*EurCall!AJ47-0.25*(sigma^2*$A47^2+(rate-d)*$A47)*EurCall!AJ46</f>
        <v>-19.304823198244708</v>
      </c>
      <c r="AJ47">
        <f>-0.25*(sigma^2*$A47^2-(rate-d)*$A47)*EurCall!AK48-(-0.5*sigma^2*$A47^2-0.5*rate+1/dt)*EurCall!AK47-0.25*(sigma^2*$A47^2+(rate-d)*$A47)*EurCall!AK46</f>
        <v>-17.294806569041619</v>
      </c>
      <c r="AK47">
        <f>-0.25*(sigma^2*$A47^2-(rate-d)*$A47)*EurCall!AL48-(-0.5*sigma^2*$A47^2-0.5*rate+1/dt)*EurCall!AL47-0.25*(sigma^2*$A47^2+(rate-d)*$A47)*EurCall!AL46</f>
        <v>-15.349627940402026</v>
      </c>
      <c r="AL47">
        <f>-0.25*(sigma^2*$A47^2-(rate-d)*$A47)*EurCall!AM48-(-0.5*sigma^2*$A47^2-0.5*rate+1/dt)*EurCall!AM47-0.25*(sigma^2*$A47^2+(rate-d)*$A47)*EurCall!AM46</f>
        <v>-13.477081917112011</v>
      </c>
      <c r="AM47">
        <f>-0.25*(sigma^2*$A47^2-(rate-d)*$A47)*EurCall!AN48-(-0.5*sigma^2*$A47^2-0.5*rate+1/dt)*EurCall!AN47-0.25*(sigma^2*$A47^2+(rate-d)*$A47)*EurCall!AN46</f>
        <v>-11.685708166382812</v>
      </c>
      <c r="AN47">
        <f>-0.25*(sigma^2*$A47^2-(rate-d)*$A47)*EurCall!AO48-(-0.5*sigma^2*$A47^2-0.5*rate+1/dt)*EurCall!AO47-0.25*(sigma^2*$A47^2+(rate-d)*$A47)*EurCall!AO46</f>
        <v>-9.984792833371241</v>
      </c>
      <c r="AO47">
        <f>-0.25*(sigma^2*$A47^2-(rate-d)*$A47)*EurCall!AP48-(-0.5*sigma^2*$A47^2-0.5*rate+1/dt)*EurCall!AP47-0.25*(sigma^2*$A47^2+(rate-d)*$A47)*EurCall!AP46</f>
        <v>-8.3843342001459575</v>
      </c>
      <c r="AP47">
        <f>-0.25*(sigma^2*$A47^2-(rate-d)*$A47)*EurCall!AQ48-(-0.5*sigma^2*$A47^2-0.5*rate+1/dt)*EurCall!AQ47-0.25*(sigma^2*$A47^2+(rate-d)*$A47)*EurCall!AQ46</f>
        <v>-6.894954912605737</v>
      </c>
      <c r="AQ47">
        <f>-0.25*(sigma^2*$A47^2-(rate-d)*$A47)*EurCall!AR48-(-0.5*sigma^2*$A47^2-0.5*rate+1/dt)*EurCall!AR47-0.25*(sigma^2*$A47^2+(rate-d)*$A47)*EurCall!AR46</f>
        <v>-5.5277362261731202</v>
      </c>
      <c r="AR47">
        <f>-0.25*(sigma^2*$A47^2-(rate-d)*$A47)*EurCall!AS48-(-0.5*sigma^2*$A47^2-0.5*rate+1/dt)*EurCall!AS47-0.25*(sigma^2*$A47^2+(rate-d)*$A47)*EurCall!AS46</f>
        <v>-4.2939403720722016</v>
      </c>
      <c r="AS47">
        <f>-0.25*(sigma^2*$A47^2-(rate-d)*$A47)*EurCall!AT48-(-0.5*sigma^2*$A47^2-0.5*rate+1/dt)*EurCall!AT47-0.25*(sigma^2*$A47^2+(rate-d)*$A47)*EurCall!AT46</f>
        <v>-3.2045744557479905</v>
      </c>
      <c r="AT47">
        <f>-0.25*(sigma^2*$A47^2-(rate-d)*$A47)*EurCall!AU48-(-0.5*sigma^2*$A47^2-0.5*rate+1/dt)*EurCall!AU47-0.25*(sigma^2*$A47^2+(rate-d)*$A47)*EurCall!AU46</f>
        <v>-2.2697321013714697</v>
      </c>
      <c r="AU47">
        <f>-0.25*(sigma^2*$A47^2-(rate-d)*$A47)*EurCall!AV48-(-0.5*sigma^2*$A47^2-0.5*rate+1/dt)*EurCall!AV47-0.25*(sigma^2*$A47^2+(rate-d)*$A47)*EurCall!AV46</f>
        <v>-1.4976257808080973</v>
      </c>
      <c r="AV47">
        <f>-0.25*(sigma^2*$A47^2-(rate-d)*$A47)*EurCall!AW48-(-0.5*sigma^2*$A47^2-0.5*rate+1/dt)*EurCall!AW47-0.25*(sigma^2*$A47^2+(rate-d)*$A47)*EurCall!AW46</f>
        <v>-0.89319129612612147</v>
      </c>
      <c r="AW47">
        <f>-0.25*(sigma^2*$A47^2-(rate-d)*$A47)*EurCall!AX48-(-0.5*sigma^2*$A47^2-0.5*rate+1/dt)*EurCall!AX47-0.25*(sigma^2*$A47^2+(rate-d)*$A47)*EurCall!AX46</f>
        <v>-0.45610337059286987</v>
      </c>
      <c r="AX47">
        <f>-0.25*(sigma^2*$A47^2-(rate-d)*$A47)*EurCall!AY48-(-0.5*sigma^2*$A47^2-0.5*rate+1/dt)*EurCall!AY47-0.25*(sigma^2*$A47^2+(rate-d)*$A47)*EurCall!AY46</f>
        <v>-0.17798390067155023</v>
      </c>
      <c r="AY47">
        <f>-0.25*(sigma^2*$A47^2-(rate-d)*$A47)*EurCall!AZ48-(-0.5*sigma^2*$A47^2-0.5*rate+1/dt)*EurCall!AZ47-0.25*(sigma^2*$A47^2+(rate-d)*$A47)*EurCall!AZ46</f>
        <v>-3.8506946980714642E-2</v>
      </c>
      <c r="AZ47">
        <f>-0.25*(sigma^2*$A47^2-(rate-d)*$A47)*EurCall!BA48-(-0.5*sigma^2*$A47^2-0.5*rate+1/dt)*EurCall!BA47-0.25*(sigma^2*$A47^2+(rate-d)*$A47)*EurCall!BA46</f>
        <v>0</v>
      </c>
      <c r="BA47" s="6"/>
    </row>
    <row r="48" spans="1:53" x14ac:dyDescent="0.2">
      <c r="A48">
        <f t="shared" si="3"/>
        <v>17</v>
      </c>
      <c r="B48" s="3">
        <f t="shared" si="4"/>
        <v>34</v>
      </c>
      <c r="C48">
        <f>-0.25*(sigma^2*$A48^2-(rate-d)*$A48)*EurCall!D49-(-0.5*sigma^2*$A48^2-0.5*rate+1/dt)*EurCall!D48-0.25*(sigma^2*$A48^2+(rate-d)*$A48)*EurCall!D47</f>
        <v>-46.275386956362119</v>
      </c>
      <c r="D48">
        <f>-0.25*(sigma^2*$A48^2-(rate-d)*$A48)*EurCall!E49-(-0.5*sigma^2*$A48^2-0.5*rate+1/dt)*EurCall!E48-0.25*(sigma^2*$A48^2+(rate-d)*$A48)*EurCall!E47</f>
        <v>-44.632523481275172</v>
      </c>
      <c r="E48">
        <f>-0.25*(sigma^2*$A48^2-(rate-d)*$A48)*EurCall!F49-(-0.5*sigma^2*$A48^2-0.5*rate+1/dt)*EurCall!F48-0.25*(sigma^2*$A48^2+(rate-d)*$A48)*EurCall!F47</f>
        <v>-43.001901548012455</v>
      </c>
      <c r="F48">
        <f>-0.25*(sigma^2*$A48^2-(rate-d)*$A48)*EurCall!G49-(-0.5*sigma^2*$A48^2-0.5*rate+1/dt)*EurCall!G48-0.25*(sigma^2*$A48^2+(rate-d)*$A48)*EurCall!G47</f>
        <v>-41.384169516871488</v>
      </c>
      <c r="G48">
        <f>-0.25*(sigma^2*$A48^2-(rate-d)*$A48)*EurCall!H49-(-0.5*sigma^2*$A48^2-0.5*rate+1/dt)*EurCall!H48-0.25*(sigma^2*$A48^2+(rate-d)*$A48)*EurCall!H47</f>
        <v>-39.7800113768591</v>
      </c>
      <c r="H48">
        <f>-0.25*(sigma^2*$A48^2-(rate-d)*$A48)*EurCall!I49-(-0.5*sigma^2*$A48^2-0.5*rate+1/dt)*EurCall!I48-0.25*(sigma^2*$A48^2+(rate-d)*$A48)*EurCall!I47</f>
        <v>-38.190148792018668</v>
      </c>
      <c r="I48">
        <f>-0.25*(sigma^2*$A48^2-(rate-d)*$A48)*EurCall!J49-(-0.5*sigma^2*$A48^2-0.5*rate+1/dt)*EurCall!J48-0.25*(sigma^2*$A48^2+(rate-d)*$A48)*EurCall!J47</f>
        <v>-36.615343237484439</v>
      </c>
      <c r="J48">
        <f>-0.25*(sigma^2*$A48^2-(rate-d)*$A48)*EurCall!K49-(-0.5*sigma^2*$A48^2-0.5*rate+1/dt)*EurCall!K48-0.25*(sigma^2*$A48^2+(rate-d)*$A48)*EurCall!K47</f>
        <v>-35.056398220430225</v>
      </c>
      <c r="K48">
        <f>-0.25*(sigma^2*$A48^2-(rate-d)*$A48)*EurCall!L49-(-0.5*sigma^2*$A48^2-0.5*rate+1/dt)*EurCall!L48-0.25*(sigma^2*$A48^2+(rate-d)*$A48)*EurCall!L47</f>
        <v>-33.514161578352095</v>
      </c>
      <c r="L48">
        <f>-0.25*(sigma^2*$A48^2-(rate-d)*$A48)*EurCall!M49-(-0.5*sigma^2*$A48^2-0.5*rate+1/dt)*EurCall!M48-0.25*(sigma^2*$A48^2+(rate-d)*$A48)*EurCall!M47</f>
        <v>-31.989527843717827</v>
      </c>
      <c r="M48">
        <f>-0.25*(sigma^2*$A48^2-(rate-d)*$A48)*EurCall!N49-(-0.5*sigma^2*$A48^2-0.5*rate+1/dt)*EurCall!N48-0.25*(sigma^2*$A48^2+(rate-d)*$A48)*EurCall!N47</f>
        <v>-30.483440659792748</v>
      </c>
      <c r="N48">
        <f>-0.25*(sigma^2*$A48^2-(rate-d)*$A48)*EurCall!O49-(-0.5*sigma^2*$A48^2-0.5*rate+1/dt)*EurCall!O48-0.25*(sigma^2*$A48^2+(rate-d)*$A48)*EurCall!O47</f>
        <v>-28.996895227244242</v>
      </c>
      <c r="O48">
        <f>-0.25*(sigma^2*$A48^2-(rate-d)*$A48)*EurCall!P49-(-0.5*sigma^2*$A48^2-0.5*rate+1/dt)*EurCall!P48-0.25*(sigma^2*$A48^2+(rate-d)*$A48)*EurCall!P47</f>
        <v>-27.530940754742694</v>
      </c>
      <c r="P48">
        <f>-0.25*(sigma^2*$A48^2-(rate-d)*$A48)*EurCall!Q49-(-0.5*sigma^2*$A48^2-0.5*rate+1/dt)*EurCall!Q48-0.25*(sigma^2*$A48^2+(rate-d)*$A48)*EurCall!Q47</f>
        <v>-26.086682878985858</v>
      </c>
      <c r="Q48">
        <f>-0.25*(sigma^2*$A48^2-(rate-d)*$A48)*EurCall!R49-(-0.5*sigma^2*$A48^2-0.5*rate+1/dt)*EurCall!R48-0.25*(sigma^2*$A48^2+(rate-d)*$A48)*EurCall!R47</f>
        <v>-24.665286010110862</v>
      </c>
      <c r="R48">
        <f>-0.25*(sigma^2*$A48^2-(rate-d)*$A48)*EurCall!S49-(-0.5*sigma^2*$A48^2-0.5*rate+1/dt)*EurCall!S48-0.25*(sigma^2*$A48^2+(rate-d)*$A48)*EurCall!S47</f>
        <v>-23.267975547016064</v>
      </c>
      <c r="S48">
        <f>-0.25*(sigma^2*$A48^2-(rate-d)*$A48)*EurCall!T49-(-0.5*sigma^2*$A48^2-0.5*rate+1/dt)*EurCall!T48-0.25*(sigma^2*$A48^2+(rate-d)*$A48)*EurCall!T47</f>
        <v>-21.896039893339125</v>
      </c>
      <c r="T48">
        <f>-0.25*(sigma^2*$A48^2-(rate-d)*$A48)*EurCall!U49-(-0.5*sigma^2*$A48^2-0.5*rate+1/dt)*EurCall!U48-0.25*(sigma^2*$A48^2+(rate-d)*$A48)*EurCall!U47</f>
        <v>-20.550832188326424</v>
      </c>
      <c r="U48">
        <f>-0.25*(sigma^2*$A48^2-(rate-d)*$A48)*EurCall!V49-(-0.5*sigma^2*$A48^2-0.5*rate+1/dt)*EurCall!V48-0.25*(sigma^2*$A48^2+(rate-d)*$A48)*EurCall!V47</f>
        <v>-19.233771647128812</v>
      </c>
      <c r="V48">
        <f>-0.25*(sigma^2*$A48^2-(rate-d)*$A48)*EurCall!W49-(-0.5*sigma^2*$A48^2-0.5*rate+1/dt)*EurCall!W48-0.25*(sigma^2*$A48^2+(rate-d)*$A48)*EurCall!W47</f>
        <v>-17.94634438166727</v>
      </c>
      <c r="W48">
        <f>-0.25*(sigma^2*$A48^2-(rate-d)*$A48)*EurCall!X49-(-0.5*sigma^2*$A48^2-0.5*rate+1/dt)*EurCall!X48-0.25*(sigma^2*$A48^2+(rate-d)*$A48)*EurCall!X47</f>
        <v>-16.690103545583352</v>
      </c>
      <c r="X48">
        <f>-0.25*(sigma^2*$A48^2-(rate-d)*$A48)*EurCall!Y49-(-0.5*sigma^2*$A48^2-0.5*rate+1/dt)*EurCall!Y48-0.25*(sigma^2*$A48^2+(rate-d)*$A48)*EurCall!Y47</f>
        <v>-15.466668614342716</v>
      </c>
      <c r="Y48">
        <f>-0.25*(sigma^2*$A48^2-(rate-d)*$A48)*EurCall!Z49-(-0.5*sigma^2*$A48^2-0.5*rate+1/dt)*EurCall!Z48-0.25*(sigma^2*$A48^2+(rate-d)*$A48)*EurCall!Z47</f>
        <v>-14.277723573704776</v>
      </c>
      <c r="Z48">
        <f>-0.25*(sigma^2*$A48^2-(rate-d)*$A48)*EurCall!AA49-(-0.5*sigma^2*$A48^2-0.5*rate+1/dt)*EurCall!AA48-0.25*(sigma^2*$A48^2+(rate-d)*$A48)*EurCall!AA47</f>
        <v>-13.125013745935988</v>
      </c>
      <c r="AA48">
        <f>-0.25*(sigma^2*$A48^2-(rate-d)*$A48)*EurCall!AB49-(-0.5*sigma^2*$A48^2-0.5*rate+1/dt)*EurCall!AB48-0.25*(sigma^2*$A48^2+(rate-d)*$A48)*EurCall!AB47</f>
        <v>-12.010340932833035</v>
      </c>
      <c r="AB48">
        <f>-0.25*(sigma^2*$A48^2-(rate-d)*$A48)*EurCall!AC49-(-0.5*sigma^2*$A48^2-0.5*rate+1/dt)*EurCall!AC48-0.25*(sigma^2*$A48^2+(rate-d)*$A48)*EurCall!AC47</f>
        <v>-10.935556497494014</v>
      </c>
      <c r="AC48">
        <f>-0.25*(sigma^2*$A48^2-(rate-d)*$A48)*EurCall!AD49-(-0.5*sigma^2*$A48^2-0.5*rate+1/dt)*EurCall!AD48-0.25*(sigma^2*$A48^2+(rate-d)*$A48)*EurCall!AD47</f>
        <v>-9.9025519427624396</v>
      </c>
      <c r="AD48">
        <f>-0.25*(sigma^2*$A48^2-(rate-d)*$A48)*EurCall!AE49-(-0.5*sigma^2*$A48^2-0.5*rate+1/dt)*EurCall!AE48-0.25*(sigma^2*$A48^2+(rate-d)*$A48)*EurCall!AE47</f>
        <v>-8.91324647374854</v>
      </c>
      <c r="AE48">
        <f>-0.25*(sigma^2*$A48^2-(rate-d)*$A48)*EurCall!AF49-(-0.5*sigma^2*$A48^2-0.5*rate+1/dt)*EurCall!AF48-0.25*(sigma^2*$A48^2+(rate-d)*$A48)*EurCall!AF47</f>
        <v>-7.969570955873432</v>
      </c>
      <c r="AF48">
        <f>-0.25*(sigma^2*$A48^2-(rate-d)*$A48)*EurCall!AG49-(-0.5*sigma^2*$A48^2-0.5*rate+1/dt)*EurCall!AG48-0.25*(sigma^2*$A48^2+(rate-d)*$A48)*EurCall!AG47</f>
        <v>-7.0734476005932176</v>
      </c>
      <c r="AG48">
        <f>-0.25*(sigma^2*$A48^2-(rate-d)*$A48)*EurCall!AH49-(-0.5*sigma^2*$A48^2-0.5*rate+1/dt)*EurCall!AH48-0.25*(sigma^2*$A48^2+(rate-d)*$A48)*EurCall!AH47</f>
        <v>-6.226764631979357</v>
      </c>
      <c r="AH48">
        <f>-0.25*(sigma^2*$A48^2-(rate-d)*$A48)*EurCall!AI49-(-0.5*sigma^2*$A48^2-0.5*rate+1/dt)*EurCall!AI48-0.25*(sigma^2*$A48^2+(rate-d)*$A48)*EurCall!AI47</f>
        <v>-5.4313451145070051</v>
      </c>
      <c r="AI48">
        <f>-0.25*(sigma^2*$A48^2-(rate-d)*$A48)*EurCall!AJ49-(-0.5*sigma^2*$A48^2-0.5*rate+1/dt)*EurCall!AJ48-0.25*(sigma^2*$A48^2+(rate-d)*$A48)*EurCall!AJ47</f>
        <v>-4.6889090647393461</v>
      </c>
      <c r="AJ48">
        <f>-0.25*(sigma^2*$A48^2-(rate-d)*$A48)*EurCall!AK49-(-0.5*sigma^2*$A48^2-0.5*rate+1/dt)*EurCall!AK48-0.25*(sigma^2*$A48^2+(rate-d)*$A48)*EurCall!AK47</f>
        <v>-4.0010279405593172</v>
      </c>
      <c r="AK48">
        <f>-0.25*(sigma^2*$A48^2-(rate-d)*$A48)*EurCall!AL49-(-0.5*sigma^2*$A48^2-0.5*rate+1/dt)*EurCall!AL48-0.25*(sigma^2*$A48^2+(rate-d)*$A48)*EurCall!AL47</f>
        <v>-3.3690706209127566</v>
      </c>
      <c r="AL48">
        <f>-0.25*(sigma^2*$A48^2-(rate-d)*$A48)*EurCall!AM49-(-0.5*sigma^2*$A48^2-0.5*rate+1/dt)*EurCall!AM48-0.25*(sigma^2*$A48^2+(rate-d)*$A48)*EurCall!AM47</f>
        <v>-2.7941400851260099</v>
      </c>
      <c r="AM48">
        <f>-0.25*(sigma^2*$A48^2-(rate-d)*$A48)*EurCall!AN49-(-0.5*sigma^2*$A48^2-0.5*rate+1/dt)*EurCall!AN48-0.25*(sigma^2*$A48^2+(rate-d)*$A48)*EurCall!AN47</f>
        <v>-2.2770002142594321</v>
      </c>
      <c r="AN48">
        <f>-0.25*(sigma^2*$A48^2-(rate-d)*$A48)*EurCall!AO49-(-0.5*sigma^2*$A48^2-0.5*rate+1/dt)*EurCall!AO48-0.25*(sigma^2*$A48^2+(rate-d)*$A48)*EurCall!AO47</f>
        <v>-1.817992524828776</v>
      </c>
      <c r="AO48">
        <f>-0.25*(sigma^2*$A48^2-(rate-d)*$A48)*EurCall!AP49-(-0.5*sigma^2*$A48^2-0.5*rate+1/dt)*EurCall!AP48-0.25*(sigma^2*$A48^2+(rate-d)*$A48)*EurCall!AP47</f>
        <v>-1.4169432876400543</v>
      </c>
      <c r="AP48">
        <f>-0.25*(sigma^2*$A48^2-(rate-d)*$A48)*EurCall!AQ49-(-0.5*sigma^2*$A48^2-0.5*rate+1/dt)*EurCall!AQ48-0.25*(sigma^2*$A48^2+(rate-d)*$A48)*EurCall!AQ47</f>
        <v>-1.0730624928884751</v>
      </c>
      <c r="AQ48">
        <f>-0.25*(sigma^2*$A48^2-(rate-d)*$A48)*EurCall!AR49-(-0.5*sigma^2*$A48^2-0.5*rate+1/dt)*EurCall!AR48-0.25*(sigma^2*$A48^2+(rate-d)*$A48)*EurCall!AR47</f>
        <v>-0.78483765140260409</v>
      </c>
      <c r="AR48">
        <f>-0.25*(sigma^2*$A48^2-(rate-d)*$A48)*EurCall!AS49-(-0.5*sigma^2*$A48^2-0.5*rate+1/dt)*EurCall!AS48-0.25*(sigma^2*$A48^2+(rate-d)*$A48)*EurCall!AS47</f>
        <v>-0.54992768379594381</v>
      </c>
      <c r="AS48">
        <f>-0.25*(sigma^2*$A48^2-(rate-d)*$A48)*EurCall!AT49-(-0.5*sigma^2*$A48^2-0.5*rate+1/dt)*EurCall!AT48-0.25*(sigma^2*$A48^2+(rate-d)*$A48)*EurCall!AT47</f>
        <v>-0.36506543677737296</v>
      </c>
      <c r="AT48">
        <f>-0.25*(sigma^2*$A48^2-(rate-d)*$A48)*EurCall!AU49-(-0.5*sigma^2*$A48^2-0.5*rate+1/dt)*EurCall!AU48-0.25*(sigma^2*$A48^2+(rate-d)*$A48)*EurCall!AU47</f>
        <v>-0.22598207968611073</v>
      </c>
      <c r="AU48">
        <f>-0.25*(sigma^2*$A48^2-(rate-d)*$A48)*EurCall!AV49-(-0.5*sigma^2*$A48^2-0.5*rate+1/dt)*EurCall!AV48-0.25*(sigma^2*$A48^2+(rate-d)*$A48)*EurCall!AV47</f>
        <v>-0.12737332217486197</v>
      </c>
      <c r="AV48">
        <f>-0.25*(sigma^2*$A48^2-(rate-d)*$A48)*EurCall!AW49-(-0.5*sigma^2*$A48^2-0.5*rate+1/dt)*EurCall!AW48-0.25*(sigma^2*$A48^2+(rate-d)*$A48)*EurCall!AW47</f>
        <v>-6.293680300730646E-2</v>
      </c>
      <c r="AW48">
        <f>-0.25*(sigma^2*$A48^2-(rate-d)*$A48)*EurCall!AX49-(-0.5*sigma^2*$A48^2-0.5*rate+1/dt)*EurCall!AX48-0.25*(sigma^2*$A48^2+(rate-d)*$A48)*EurCall!AX47</f>
        <v>-2.5523147641139159E-2</v>
      </c>
      <c r="AX48">
        <f>-0.25*(sigma^2*$A48^2-(rate-d)*$A48)*EurCall!AY49-(-0.5*sigma^2*$A48^2-0.5*rate+1/dt)*EurCall!AY48-0.25*(sigma^2*$A48^2+(rate-d)*$A48)*EurCall!AY47</f>
        <v>-7.4614623865506486E-3</v>
      </c>
      <c r="AY48">
        <f>-0.25*(sigma^2*$A48^2-(rate-d)*$A48)*EurCall!AZ49-(-0.5*sigma^2*$A48^2-0.5*rate+1/dt)*EurCall!AZ48-0.25*(sigma^2*$A48^2+(rate-d)*$A48)*EurCall!AZ47</f>
        <v>-1.1453052854856829E-3</v>
      </c>
      <c r="AZ48">
        <f>-0.25*(sigma^2*$A48^2-(rate-d)*$A48)*EurCall!BA49-(-0.5*sigma^2*$A48^2-0.5*rate+1/dt)*EurCall!BA48-0.25*(sigma^2*$A48^2+(rate-d)*$A48)*EurCall!BA47</f>
        <v>0</v>
      </c>
      <c r="BA48" s="6"/>
    </row>
    <row r="49" spans="1:53" x14ac:dyDescent="0.2">
      <c r="A49">
        <f t="shared" si="3"/>
        <v>16</v>
      </c>
      <c r="B49" s="3">
        <f t="shared" si="4"/>
        <v>32</v>
      </c>
      <c r="C49">
        <f>-0.25*(sigma^2*$A49^2-(rate-d)*$A49)*EurCall!D50-(-0.5*sigma^2*$A49^2-0.5*rate+1/dt)*EurCall!D49-0.25*(sigma^2*$A49^2+(rate-d)*$A49)*EurCall!D48</f>
        <v>-19.252067969257951</v>
      </c>
      <c r="D49">
        <f>-0.25*(sigma^2*$A49^2-(rate-d)*$A49)*EurCall!E50-(-0.5*sigma^2*$A49^2-0.5*rate+1/dt)*EurCall!E49-0.25*(sigma^2*$A49^2+(rate-d)*$A49)*EurCall!E48</f>
        <v>-18.338963190110743</v>
      </c>
      <c r="E49">
        <f>-0.25*(sigma^2*$A49^2-(rate-d)*$A49)*EurCall!F50-(-0.5*sigma^2*$A49^2-0.5*rate+1/dt)*EurCall!F49-0.25*(sigma^2*$A49^2+(rate-d)*$A49)*EurCall!F48</f>
        <v>-17.44324394143193</v>
      </c>
      <c r="F49">
        <f>-0.25*(sigma^2*$A49^2-(rate-d)*$A49)*EurCall!G50-(-0.5*sigma^2*$A49^2-0.5*rate+1/dt)*EurCall!G49-0.25*(sigma^2*$A49^2+(rate-d)*$A49)*EurCall!G48</f>
        <v>-16.565376996252283</v>
      </c>
      <c r="G49">
        <f>-0.25*(sigma^2*$A49^2-(rate-d)*$A49)*EurCall!H50-(-0.5*sigma^2*$A49^2-0.5*rate+1/dt)*EurCall!H49-0.25*(sigma^2*$A49^2+(rate-d)*$A49)*EurCall!H48</f>
        <v>-15.705836696957919</v>
      </c>
      <c r="H49">
        <f>-0.25*(sigma^2*$A49^2-(rate-d)*$A49)*EurCall!I50-(-0.5*sigma^2*$A49^2-0.5*rate+1/dt)*EurCall!I49-0.25*(sigma^2*$A49^2+(rate-d)*$A49)*EurCall!I48</f>
        <v>-14.865104202226963</v>
      </c>
      <c r="I49">
        <f>-0.25*(sigma^2*$A49^2-(rate-d)*$A49)*EurCall!J50-(-0.5*sigma^2*$A49^2-0.5*rate+1/dt)*EurCall!J49-0.25*(sigma^2*$A49^2+(rate-d)*$A49)*EurCall!J48</f>
        <v>-14.043666583164068</v>
      </c>
      <c r="J49">
        <f>-0.25*(sigma^2*$A49^2-(rate-d)*$A49)*EurCall!K50-(-0.5*sigma^2*$A49^2-0.5*rate+1/dt)*EurCall!K49-0.25*(sigma^2*$A49^2+(rate-d)*$A49)*EurCall!K48</f>
        <v>-13.242015749756129</v>
      </c>
      <c r="K49">
        <f>-0.25*(sigma^2*$A49^2-(rate-d)*$A49)*EurCall!L50-(-0.5*sigma^2*$A49^2-0.5*rate+1/dt)*EurCall!L49-0.25*(sigma^2*$A49^2+(rate-d)*$A49)*EurCall!L48</f>
        <v>-12.460647186983703</v>
      </c>
      <c r="L49">
        <f>-0.25*(sigma^2*$A49^2-(rate-d)*$A49)*EurCall!M50-(-0.5*sigma^2*$A49^2-0.5*rate+1/dt)*EurCall!M49-0.25*(sigma^2*$A49^2+(rate-d)*$A49)*EurCall!M48</f>
        <v>-11.700058478067975</v>
      </c>
      <c r="M49">
        <f>-0.25*(sigma^2*$A49^2-(rate-d)*$A49)*EurCall!N50-(-0.5*sigma^2*$A49^2-0.5*rate+1/dt)*EurCall!N49-0.25*(sigma^2*$A49^2+(rate-d)*$A49)*EurCall!N48</f>
        <v>-10.960747590440503</v>
      </c>
      <c r="N49">
        <f>-0.25*(sigma^2*$A49^2-(rate-d)*$A49)*EurCall!O50-(-0.5*sigma^2*$A49^2-0.5*rate+1/dt)*EurCall!O49-0.25*(sigma^2*$A49^2+(rate-d)*$A49)*EurCall!O48</f>
        <v>-10.243210898131304</v>
      </c>
      <c r="O49">
        <f>-0.25*(sigma^2*$A49^2-(rate-d)*$A49)*EurCall!P50-(-0.5*sigma^2*$A49^2-0.5*rate+1/dt)*EurCall!P49-0.25*(sigma^2*$A49^2+(rate-d)*$A49)*EurCall!P48</f>
        <v>-9.5479409124328321</v>
      </c>
      <c r="P49">
        <f>-0.25*(sigma^2*$A49^2-(rate-d)*$A49)*EurCall!Q50-(-0.5*sigma^2*$A49^2-0.5*rate+1/dt)*EurCall!Q49-0.25*(sigma^2*$A49^2+(rate-d)*$A49)*EurCall!Q48</f>
        <v>-8.8754236909827</v>
      </c>
      <c r="Q49">
        <f>-0.25*(sigma^2*$A49^2-(rate-d)*$A49)*EurCall!R50-(-0.5*sigma^2*$A49^2-0.5*rate+1/dt)*EurCall!R49-0.25*(sigma^2*$A49^2+(rate-d)*$A49)*EurCall!R48</f>
        <v>-8.2261358939080207</v>
      </c>
      <c r="R49">
        <f>-0.25*(sigma^2*$A49^2-(rate-d)*$A49)*EurCall!S50-(-0.5*sigma^2*$A49^2-0.5*rate+1/dt)*EurCall!S49-0.25*(sigma^2*$A49^2+(rate-d)*$A49)*EurCall!S48</f>
        <v>-7.6005414545056276</v>
      </c>
      <c r="S49">
        <f>-0.25*(sigma^2*$A49^2-(rate-d)*$A49)*EurCall!T50-(-0.5*sigma^2*$A49^2-0.5*rate+1/dt)*EurCall!T49-0.25*(sigma^2*$A49^2+(rate-d)*$A49)*EurCall!T48</f>
        <v>-6.9990878312439611</v>
      </c>
      <c r="T49">
        <f>-0.25*(sigma^2*$A49^2-(rate-d)*$A49)*EurCall!U50-(-0.5*sigma^2*$A49^2-0.5*rate+1/dt)*EurCall!U49-0.25*(sigma^2*$A49^2+(rate-d)*$A49)*EurCall!U48</f>
        <v>-6.4222018078505609</v>
      </c>
      <c r="U49">
        <f>-0.25*(sigma^2*$A49^2-(rate-d)*$A49)*EurCall!V50-(-0.5*sigma^2*$A49^2-0.5*rate+1/dt)*EurCall!V49-0.25*(sigma^2*$A49^2+(rate-d)*$A49)*EurCall!V48</f>
        <v>-5.8702848091259821</v>
      </c>
      <c r="V49">
        <f>-0.25*(sigma^2*$A49^2-(rate-d)*$A49)*EurCall!W50-(-0.5*sigma^2*$A49^2-0.5*rate+1/dt)*EurCall!W49-0.25*(sigma^2*$A49^2+(rate-d)*$A49)*EurCall!W48</f>
        <v>-5.3437077021864541</v>
      </c>
      <c r="W49">
        <f>-0.25*(sigma^2*$A49^2-(rate-d)*$A49)*EurCall!X50-(-0.5*sigma^2*$A49^2-0.5*rate+1/dt)*EurCall!X49-0.25*(sigma^2*$A49^2+(rate-d)*$A49)*EurCall!X48</f>
        <v>-4.8428050564330114</v>
      </c>
      <c r="X49">
        <f>-0.25*(sigma^2*$A49^2-(rate-d)*$A49)*EurCall!Y50-(-0.5*sigma^2*$A49^2-0.5*rate+1/dt)*EurCall!Y49-0.25*(sigma^2*$A49^2+(rate-d)*$A49)*EurCall!Y48</f>
        <v>-4.367868841096624</v>
      </c>
      <c r="Y49">
        <f>-0.25*(sigma^2*$A49^2-(rate-d)*$A49)*EurCall!Z50-(-0.5*sigma^2*$A49^2-0.5*rate+1/dt)*EurCall!Z49-0.25*(sigma^2*$A49^2+(rate-d)*$A49)*EurCall!Z48</f>
        <v>-3.9191415472235418</v>
      </c>
      <c r="Z49">
        <f>-0.25*(sigma^2*$A49^2-(rate-d)*$A49)*EurCall!AA50-(-0.5*sigma^2*$A49^2-0.5*rate+1/dt)*EurCall!AA49-0.25*(sigma^2*$A49^2+(rate-d)*$A49)*EurCall!AA48</f>
        <v>-3.49680873204316</v>
      </c>
      <c r="AA49">
        <f>-0.25*(sigma^2*$A49^2-(rate-d)*$A49)*EurCall!AB50-(-0.5*sigma^2*$A49^2-0.5*rate+1/dt)*EurCall!AB49-0.25*(sigma^2*$A49^2+(rate-d)*$A49)*EurCall!AB48</f>
        <v>-3.1009909985067119</v>
      </c>
      <c r="AB49">
        <f>-0.25*(sigma^2*$A49^2-(rate-d)*$A49)*EurCall!AC50-(-0.5*sigma^2*$A49^2-0.5*rate+1/dt)*EurCall!AC49-0.25*(sigma^2*$A49^2+(rate-d)*$A49)*EurCall!AC48</f>
        <v>-2.7317354422135662</v>
      </c>
      <c r="AC49">
        <f>-0.25*(sigma^2*$A49^2-(rate-d)*$A49)*EurCall!AD50-(-0.5*sigma^2*$A49^2-0.5*rate+1/dt)*EurCall!AD49-0.25*(sigma^2*$A49^2+(rate-d)*$A49)*EurCall!AD48</f>
        <v>-2.3890066228804576</v>
      </c>
      <c r="AD49">
        <f>-0.25*(sigma^2*$A49^2-(rate-d)*$A49)*EurCall!AE50-(-0.5*sigma^2*$A49^2-0.5*rate+1/dt)*EurCall!AE49-0.25*(sigma^2*$A49^2+(rate-d)*$A49)*EurCall!AE48</f>
        <v>-2.0726771489923745</v>
      </c>
      <c r="AE49">
        <f>-0.25*(sigma^2*$A49^2-(rate-d)*$A49)*EurCall!AF50-(-0.5*sigma^2*$A49^2-0.5*rate+1/dt)*EurCall!AF49-0.25*(sigma^2*$A49^2+(rate-d)*$A49)*EurCall!AF48</f>
        <v>-1.7825180034263135</v>
      </c>
      <c r="AF49">
        <f>-0.25*(sigma^2*$A49^2-(rate-d)*$A49)*EurCall!AG50-(-0.5*sigma^2*$A49^2-0.5*rate+1/dt)*EurCall!AG49-0.25*(sigma^2*$A49^2+(rate-d)*$A49)*EurCall!AG48</f>
        <v>-1.5181887858377086</v>
      </c>
      <c r="AG49">
        <f>-0.25*(sigma^2*$A49^2-(rate-d)*$A49)*EurCall!AH50-(-0.5*sigma^2*$A49^2-0.5*rate+1/dt)*EurCall!AH49-0.25*(sigma^2*$A49^2+(rate-d)*$A49)*EurCall!AH48</f>
        <v>-1.2792281056093653</v>
      </c>
      <c r="AH49">
        <f>-0.25*(sigma^2*$A49^2-(rate-d)*$A49)*EurCall!AI50-(-0.5*sigma^2*$A49^2-0.5*rate+1/dt)*EurCall!AI49-0.25*(sigma^2*$A49^2+(rate-d)*$A49)*EurCall!AI48</f>
        <v>-1.0650444282315437</v>
      </c>
      <c r="AI49">
        <f>-0.25*(sigma^2*$A49^2-(rate-d)*$A49)*EurCall!AJ50-(-0.5*sigma^2*$A49^2-0.5*rate+1/dt)*EurCall!AJ49-0.25*(sigma^2*$A49^2+(rate-d)*$A49)*EurCall!AJ48</f>
        <v>-0.87490775887440431</v>
      </c>
      <c r="AJ49">
        <f>-0.25*(sigma^2*$A49^2-(rate-d)*$A49)*EurCall!AK50-(-0.5*sigma^2*$A49^2-0.5*rate+1/dt)*EurCall!AK49-0.25*(sigma^2*$A49^2+(rate-d)*$A49)*EurCall!AK48</f>
        <v>-0.70794263986284056</v>
      </c>
      <c r="AK49">
        <f>-0.25*(sigma^2*$A49^2-(rate-d)*$A49)*EurCall!AL50-(-0.5*sigma^2*$A49^2-0.5*rate+1/dt)*EurCall!AL49-0.25*(sigma^2*$A49^2+(rate-d)*$A49)*EurCall!AL48</f>
        <v>-0.56312304310054273</v>
      </c>
      <c r="AL49">
        <f>-0.25*(sigma^2*$A49^2-(rate-d)*$A49)*EurCall!AM50-(-0.5*sigma^2*$A49^2-0.5*rate+1/dt)*EurCall!AM49-0.25*(sigma^2*$A49^2+(rate-d)*$A49)*EurCall!AM48</f>
        <v>-0.43926985210942238</v>
      </c>
      <c r="AM49">
        <f>-0.25*(sigma^2*$A49^2-(rate-d)*$A49)*EurCall!AN50-(-0.5*sigma^2*$A49^2-0.5*rate+1/dt)*EurCall!AN49-0.25*(sigma^2*$A49^2+(rate-d)*$A49)*EurCall!AN48</f>
        <v>-0.33505174694027628</v>
      </c>
      <c r="AN49">
        <f>-0.25*(sigma^2*$A49^2-(rate-d)*$A49)*EurCall!AO50-(-0.5*sigma^2*$A49^2-0.5*rate+1/dt)*EurCall!AO49-0.25*(sigma^2*$A49^2+(rate-d)*$A49)*EurCall!AO48</f>
        <v>-0.24899042115900077</v>
      </c>
      <c r="AO49">
        <f>-0.25*(sigma^2*$A49^2-(rate-d)*$A49)*EurCall!AP50-(-0.5*sigma^2*$A49^2-0.5*rate+1/dt)*EurCall!AP49-0.25*(sigma^2*$A49^2+(rate-d)*$A49)*EurCall!AP48</f>
        <v>-0.17947116096795282</v>
      </c>
      <c r="AP49">
        <f>-0.25*(sigma^2*$A49^2-(rate-d)*$A49)*EurCall!AQ50-(-0.5*sigma^2*$A49^2-0.5*rate+1/dt)*EurCall!AQ49-0.25*(sigma^2*$A49^2+(rate-d)*$A49)*EurCall!AQ48</f>
        <v>-0.12475988283645352</v>
      </c>
      <c r="AQ49">
        <f>-0.25*(sigma^2*$A49^2-(rate-d)*$A49)*EurCall!AR50-(-0.5*sigma^2*$A49^2-0.5*rate+1/dt)*EurCall!AR49-0.25*(sigma^2*$A49^2+(rate-d)*$A49)*EurCall!AR48</f>
        <v>-8.3027728343344695E-2</v>
      </c>
      <c r="AR49">
        <f>-0.25*(sigma^2*$A49^2-(rate-d)*$A49)*EurCall!AS50-(-0.5*sigma^2*$A49^2-0.5*rate+1/dt)*EurCall!AS49-0.25*(sigma^2*$A49^2+(rate-d)*$A49)*EurCall!AS48</f>
        <v>-5.2384209678688141E-2</v>
      </c>
      <c r="AS49">
        <f>-0.25*(sigma^2*$A49^2-(rate-d)*$A49)*EurCall!AT50-(-0.5*sigma^2*$A49^2-0.5*rate+1/dt)*EurCall!AT49-0.25*(sigma^2*$A49^2+(rate-d)*$A49)*EurCall!AT48</f>
        <v>-3.0919622918482607E-2</v>
      </c>
      <c r="AT49">
        <f>-0.25*(sigma^2*$A49^2-(rate-d)*$A49)*EurCall!AU50-(-0.5*sigma^2*$A49^2-0.5*rate+1/dt)*EurCall!AU49-0.25*(sigma^2*$A49^2+(rate-d)*$A49)*EurCall!AU48</f>
        <v>-1.6756907494557115E-2</v>
      </c>
      <c r="AU49">
        <f>-0.25*(sigma^2*$A49^2-(rate-d)*$A49)*EurCall!AV50-(-0.5*sigma^2*$A49^2-0.5*rate+1/dt)*EurCall!AV49-0.25*(sigma^2*$A49^2+(rate-d)*$A49)*EurCall!AV48</f>
        <v>-8.1121993298766681E-3</v>
      </c>
      <c r="AV49">
        <f>-0.25*(sigma^2*$A49^2-(rate-d)*$A49)*EurCall!AW50-(-0.5*sigma^2*$A49^2-0.5*rate+1/dt)*EurCall!AW49-0.25*(sigma^2*$A49^2+(rate-d)*$A49)*EurCall!AW48</f>
        <v>-3.361818547098978E-3</v>
      </c>
      <c r="AW49">
        <f>-0.25*(sigma^2*$A49^2-(rate-d)*$A49)*EurCall!AX50-(-0.5*sigma^2*$A49^2-0.5*rate+1/dt)*EurCall!AX49-0.25*(sigma^2*$A49^2+(rate-d)*$A49)*EurCall!AX48</f>
        <v>-1.1110934274629696E-3</v>
      </c>
      <c r="AX49">
        <f>-0.25*(sigma^2*$A49^2-(rate-d)*$A49)*EurCall!AY50-(-0.5*sigma^2*$A49^2-0.5*rate+1/dt)*EurCall!AY49-0.25*(sigma^2*$A49^2+(rate-d)*$A49)*EurCall!AY48</f>
        <v>-2.5689199687361526E-4</v>
      </c>
      <c r="AY49">
        <f>-0.25*(sigma^2*$A49^2-(rate-d)*$A49)*EurCall!AZ50-(-0.5*sigma^2*$A49^2-0.5*rate+1/dt)*EurCall!AZ49-0.25*(sigma^2*$A49^2+(rate-d)*$A49)*EurCall!AZ48</f>
        <v>-3.0513853090151869E-5</v>
      </c>
      <c r="AZ49">
        <f>-0.25*(sigma^2*$A49^2-(rate-d)*$A49)*EurCall!BA50-(-0.5*sigma^2*$A49^2-0.5*rate+1/dt)*EurCall!BA49-0.25*(sigma^2*$A49^2+(rate-d)*$A49)*EurCall!BA48</f>
        <v>0</v>
      </c>
      <c r="BA49" s="6"/>
    </row>
    <row r="50" spans="1:53" x14ac:dyDescent="0.2">
      <c r="A50">
        <f t="shared" si="3"/>
        <v>15</v>
      </c>
      <c r="B50" s="3">
        <f t="shared" si="4"/>
        <v>30</v>
      </c>
      <c r="C50">
        <f>-0.25*(sigma^2*$A50^2-(rate-d)*$A50)*EurCall!D51-(-0.5*sigma^2*$A50^2-0.5*rate+1/dt)*EurCall!D50-0.25*(sigma^2*$A50^2+(rate-d)*$A50)*EurCall!D49</f>
        <v>-6.7504993794309023</v>
      </c>
      <c r="D50">
        <f>-0.25*(sigma^2*$A50^2-(rate-d)*$A50)*EurCall!E51-(-0.5*sigma^2*$A50^2-0.5*rate+1/dt)*EurCall!E50-0.25*(sigma^2*$A50^2+(rate-d)*$A50)*EurCall!E49</f>
        <v>-6.336629568881774</v>
      </c>
      <c r="E50">
        <f>-0.25*(sigma^2*$A50^2-(rate-d)*$A50)*EurCall!F51-(-0.5*sigma^2*$A50^2-0.5*rate+1/dt)*EurCall!F50-0.25*(sigma^2*$A50^2+(rate-d)*$A50)*EurCall!F49</f>
        <v>-5.9366038420322402</v>
      </c>
      <c r="F50">
        <f>-0.25*(sigma^2*$A50^2-(rate-d)*$A50)*EurCall!G51-(-0.5*sigma^2*$A50^2-0.5*rate+1/dt)*EurCall!G50-0.25*(sigma^2*$A50^2+(rate-d)*$A50)*EurCall!G49</f>
        <v>-5.5505053671761013</v>
      </c>
      <c r="G50">
        <f>-0.25*(sigma^2*$A50^2-(rate-d)*$A50)*EurCall!H51-(-0.5*sigma^2*$A50^2-0.5*rate+1/dt)*EurCall!H50-0.25*(sigma^2*$A50^2+(rate-d)*$A50)*EurCall!H49</f>
        <v>-5.1784058168857667</v>
      </c>
      <c r="H50">
        <f>-0.25*(sigma^2*$A50^2-(rate-d)*$A50)*EurCall!I51-(-0.5*sigma^2*$A50^2-0.5*rate+1/dt)*EurCall!I50-0.25*(sigma^2*$A50^2+(rate-d)*$A50)*EurCall!I49</f>
        <v>-4.8203642827004884</v>
      </c>
      <c r="I50">
        <f>-0.25*(sigma^2*$A50^2-(rate-d)*$A50)*EurCall!J51-(-0.5*sigma^2*$A50^2-0.5*rate+1/dt)*EurCall!J50-0.25*(sigma^2*$A50^2+(rate-d)*$A50)*EurCall!J49</f>
        <v>-4.4764261347326073</v>
      </c>
      <c r="J50">
        <f>-0.25*(sigma^2*$A50^2-(rate-d)*$A50)*EurCall!K51-(-0.5*sigma^2*$A50^2-0.5*rate+1/dt)*EurCall!K50-0.25*(sigma^2*$A50^2+(rate-d)*$A50)*EurCall!K49</f>
        <v>-4.1466218278415896</v>
      </c>
      <c r="K50">
        <f>-0.25*(sigma^2*$A50^2-(rate-d)*$A50)*EurCall!L51-(-0.5*sigma^2*$A50^2-0.5*rate+1/dt)*EurCall!L50-0.25*(sigma^2*$A50^2+(rate-d)*$A50)*EurCall!L49</f>
        <v>-3.8309656570128903</v>
      </c>
      <c r="L50">
        <f>-0.25*(sigma^2*$A50^2-(rate-d)*$A50)*EurCall!M51-(-0.5*sigma^2*$A50^2-0.5*rate+1/dt)*EurCall!M50-0.25*(sigma^2*$A50^2+(rate-d)*$A50)*EurCall!M49</f>
        <v>-3.5294544657427918</v>
      </c>
      <c r="M50">
        <f>-0.25*(sigma^2*$A50^2-(rate-d)*$A50)*EurCall!N51-(-0.5*sigma^2*$A50^2-0.5*rate+1/dt)*EurCall!N50-0.25*(sigma^2*$A50^2+(rate-d)*$A50)*EurCall!N49</f>
        <v>-3.2420663125918883</v>
      </c>
      <c r="N50">
        <f>-0.25*(sigma^2*$A50^2-(rate-d)*$A50)*EurCall!O51-(-0.5*sigma^2*$A50^2-0.5*rate+1/dt)*EurCall!O50-0.25*(sigma^2*$A50^2+(rate-d)*$A50)*EurCall!O49</f>
        <v>-2.9687591026499383</v>
      </c>
      <c r="O50">
        <f>-0.25*(sigma^2*$A50^2-(rate-d)*$A50)*EurCall!P51-(-0.5*sigma^2*$A50^2-0.5*rate+1/dt)*EurCall!P50-0.25*(sigma^2*$A50^2+(rate-d)*$A50)*EurCall!P49</f>
        <v>-2.7094691924746601</v>
      </c>
      <c r="P50">
        <f>-0.25*(sigma^2*$A50^2-(rate-d)*$A50)*EurCall!Q51-(-0.5*sigma^2*$A50^2-0.5*rate+1/dt)*EurCall!Q50-0.25*(sigma^2*$A50^2+(rate-d)*$A50)*EurCall!Q49</f>
        <v>-2.464109979147469</v>
      </c>
      <c r="Q50">
        <f>-0.25*(sigma^2*$A50^2-(rate-d)*$A50)*EurCall!R51-(-0.5*sigma^2*$A50^2-0.5*rate+1/dt)*EurCall!R50-0.25*(sigma^2*$A50^2+(rate-d)*$A50)*EurCall!R49</f>
        <v>-2.2325704864492537</v>
      </c>
      <c r="R50">
        <f>-0.25*(sigma^2*$A50^2-(rate-d)*$A50)*EurCall!S51-(-0.5*sigma^2*$A50^2-0.5*rate+1/dt)*EurCall!S50-0.25*(sigma^2*$A50^2+(rate-d)*$A50)*EurCall!S49</f>
        <v>-2.0147139638154945</v>
      </c>
      <c r="S50">
        <f>-0.25*(sigma^2*$A50^2-(rate-d)*$A50)*EurCall!T51-(-0.5*sigma^2*$A50^2-0.5*rate+1/dt)*EurCall!T50-0.25*(sigma^2*$A50^2+(rate-d)*$A50)*EurCall!T49</f>
        <v>-1.8103765166942527</v>
      </c>
      <c r="T50">
        <f>-0.25*(sigma^2*$A50^2-(rate-d)*$A50)*EurCall!U51-(-0.5*sigma^2*$A50^2-0.5*rate+1/dt)*EurCall!U50-0.25*(sigma^2*$A50^2+(rate-d)*$A50)*EurCall!U49</f>
        <v>-1.6193657902080627</v>
      </c>
      <c r="U50">
        <f>-0.25*(sigma^2*$A50^2-(rate-d)*$A50)*EurCall!V51-(-0.5*sigma^2*$A50^2-0.5*rate+1/dt)*EurCall!V50-0.25*(sigma^2*$A50^2+(rate-d)*$A50)*EurCall!V49</f>
        <v>-1.4414597316076463</v>
      </c>
      <c r="V50">
        <f>-0.25*(sigma^2*$A50^2-(rate-d)*$A50)*EurCall!W51-(-0.5*sigma^2*$A50^2-0.5*rate+1/dt)*EurCall!W50-0.25*(sigma^2*$A50^2+(rate-d)*$A50)*EurCall!W49</f>
        <v>-1.2764054608849316</v>
      </c>
      <c r="W50">
        <f>-0.25*(sigma^2*$A50^2-(rate-d)*$A50)*EurCall!X51-(-0.5*sigma^2*$A50^2-0.5*rate+1/dt)*EurCall!X50-0.25*(sigma^2*$A50^2+(rate-d)*$A50)*EurCall!X49</f>
        <v>-1.1239182830516672</v>
      </c>
      <c r="X50">
        <f>-0.25*(sigma^2*$A50^2-(rate-d)*$A50)*EurCall!Y51-(-0.5*sigma^2*$A50^2-0.5*rate+1/dt)*EurCall!Y50-0.25*(sigma^2*$A50^2+(rate-d)*$A50)*EurCall!Y49</f>
        <v>-0.98368087993254638</v>
      </c>
      <c r="Y50">
        <f>-0.25*(sigma^2*$A50^2-(rate-d)*$A50)*EurCall!Z51-(-0.5*sigma^2*$A50^2-0.5*rate+1/dt)*EurCall!Z50-0.25*(sigma^2*$A50^2+(rate-d)*$A50)*EurCall!Z49</f>
        <v>-0.85534272378474785</v>
      </c>
      <c r="Z50">
        <f>-0.25*(sigma^2*$A50^2-(rate-d)*$A50)*EurCall!AA51-(-0.5*sigma^2*$A50^2-0.5*rate+1/dt)*EurCall!AA50-0.25*(sigma^2*$A50^2+(rate-d)*$A50)*EurCall!AA49</f>
        <v>-0.73851975952026849</v>
      </c>
      <c r="AA50">
        <f>-0.25*(sigma^2*$A50^2-(rate-d)*$A50)*EurCall!AB51-(-0.5*sigma^2*$A50^2-0.5*rate+1/dt)*EurCall!AB50-0.25*(sigma^2*$A50^2+(rate-d)*$A50)*EurCall!AB49</f>
        <v>-0.6327944066105099</v>
      </c>
      <c r="AB50">
        <f>-0.25*(sigma^2*$A50^2-(rate-d)*$A50)*EurCall!AC51-(-0.5*sigma^2*$A50^2-0.5*rate+1/dt)*EurCall!AC50-0.25*(sigma^2*$A50^2+(rate-d)*$A50)*EurCall!AC49</f>
        <v>-0.53771593567751097</v>
      </c>
      <c r="AC50">
        <f>-0.25*(sigma^2*$A50^2-(rate-d)*$A50)*EurCall!AD51-(-0.5*sigma^2*$A50^2-0.5*rate+1/dt)*EurCall!AD50-0.25*(sigma^2*$A50^2+(rate-d)*$A50)*EurCall!AD49</f>
        <v>-0.45280127804102871</v>
      </c>
      <c r="AD50">
        <f>-0.25*(sigma^2*$A50^2-(rate-d)*$A50)*EurCall!AE51-(-0.5*sigma^2*$A50^2-0.5*rate+1/dt)*EurCall!AE50-0.25*(sigma^2*$A50^2+(rate-d)*$A50)*EurCall!AE49</f>
        <v>-0.37753632873595666</v>
      </c>
      <c r="AE50">
        <f>-0.25*(sigma^2*$A50^2-(rate-d)*$A50)*EurCall!AF51-(-0.5*sigma^2*$A50^2-0.5*rate+1/dt)*EurCall!AF50-0.25*(sigma^2*$A50^2+(rate-d)*$A50)*EurCall!AF49</f>
        <v>-0.31137780429028106</v>
      </c>
      <c r="AF50">
        <f>-0.25*(sigma^2*$A50^2-(rate-d)*$A50)*EurCall!AG51-(-0.5*sigma^2*$A50^2-0.5*rate+1/dt)*EurCall!AG50-0.25*(sigma^2*$A50^2+(rate-d)*$A50)*EurCall!AG49</f>
        <v>-0.25375571530609115</v>
      </c>
      <c r="AG50">
        <f>-0.25*(sigma^2*$A50^2-(rate-d)*$A50)*EurCall!AH51-(-0.5*sigma^2*$A50^2-0.5*rate+1/dt)*EurCall!AH50-0.25*(sigma^2*$A50^2+(rate-d)*$A50)*EurCall!AH49</f>
        <v>-0.20407650994545209</v>
      </c>
      <c r="AH50">
        <f>-0.25*(sigma^2*$A50^2-(rate-d)*$A50)*EurCall!AI51-(-0.5*sigma^2*$A50^2-0.5*rate+1/dt)*EurCall!AI50-0.25*(sigma^2*$A50^2+(rate-d)*$A50)*EurCall!AI49</f>
        <v>-0.161726936994636</v>
      </c>
      <c r="AI50">
        <f>-0.25*(sigma^2*$A50^2-(rate-d)*$A50)*EurCall!AJ51-(-0.5*sigma^2*$A50^2-0.5*rate+1/dt)*EurCall!AJ50-0.25*(sigma^2*$A50^2+(rate-d)*$A50)*EurCall!AJ49</f>
        <v>-0.12607866534147938</v>
      </c>
      <c r="AJ50">
        <f>-0.25*(sigma^2*$A50^2-(rate-d)*$A50)*EurCall!AK51-(-0.5*sigma^2*$A50^2-0.5*rate+1/dt)*EurCall!AK50-0.25*(sigma^2*$A50^2+(rate-d)*$A50)*EurCall!AK49</f>
        <v>-9.649367940720148E-2</v>
      </c>
      <c r="AK50">
        <f>-0.25*(sigma^2*$A50^2-(rate-d)*$A50)*EurCall!AL51-(-0.5*sigma^2*$A50^2-0.5*rate+1/dt)*EurCall!AL50-0.25*(sigma^2*$A50^2+(rate-d)*$A50)*EurCall!AL49</f>
        <v>-7.2330446183054037E-2</v>
      </c>
      <c r="AL50">
        <f>-0.25*(sigma^2*$A50^2-(rate-d)*$A50)*EurCall!AM51-(-0.5*sigma^2*$A50^2-0.5*rate+1/dt)*EurCall!AM50-0.25*(sigma^2*$A50^2+(rate-d)*$A50)*EurCall!AM49</f>
        <v>-5.2950817840571013E-2</v>
      </c>
      <c r="AM50">
        <f>-0.25*(sigma^2*$A50^2-(rate-d)*$A50)*EurCall!AN51-(-0.5*sigma^2*$A50^2-0.5*rate+1/dt)*EurCall!AN50-0.25*(sigma^2*$A50^2+(rate-d)*$A50)*EurCall!AN49</f>
        <v>-3.772759325482565E-2</v>
      </c>
      <c r="AN50">
        <f>-0.25*(sigma^2*$A50^2-(rate-d)*$A50)*EurCall!AO51-(-0.5*sigma^2*$A50^2-0.5*rate+1/dt)*EurCall!AO50-0.25*(sigma^2*$A50^2+(rate-d)*$A50)*EurCall!AO49</f>
        <v>-2.605261122441967E-2</v>
      </c>
      <c r="AO50">
        <f>-0.25*(sigma^2*$A50^2-(rate-d)*$A50)*EurCall!AP51-(-0.5*sigma^2*$A50^2-0.5*rate+1/dt)*EurCall!AP50-0.25*(sigma^2*$A50^2+(rate-d)*$A50)*EurCall!AP49</f>
        <v>-1.7345187114323386E-2</v>
      </c>
      <c r="AP50">
        <f>-0.25*(sigma^2*$A50^2-(rate-d)*$A50)*EurCall!AQ51-(-0.5*sigma^2*$A50^2-0.5*rate+1/dt)*EurCall!AQ50-0.25*(sigma^2*$A50^2+(rate-d)*$A50)*EurCall!AQ49</f>
        <v>-1.1060633257547586E-2</v>
      </c>
      <c r="AQ50">
        <f>-0.25*(sigma^2*$A50^2-(rate-d)*$A50)*EurCall!AR51-(-0.5*sigma^2*$A50^2-0.5*rate+1/dt)*EurCall!AR50-0.25*(sigma^2*$A50^2+(rate-d)*$A50)*EurCall!AR49</f>
        <v>-6.6985231527205572E-3</v>
      </c>
      <c r="AR50">
        <f>-0.25*(sigma^2*$A50^2-(rate-d)*$A50)*EurCall!AS51-(-0.5*sigma^2*$A50^2-0.5*rate+1/dt)*EurCall!AS50-0.25*(sigma^2*$A50^2+(rate-d)*$A50)*EurCall!AS49</f>
        <v>-3.8102737107229179E-3</v>
      </c>
      <c r="AS50">
        <f>-0.25*(sigma^2*$A50^2-(rate-d)*$A50)*EurCall!AT51-(-0.5*sigma^2*$A50^2-0.5*rate+1/dt)*EurCall!AT50-0.25*(sigma^2*$A50^2+(rate-d)*$A50)*EurCall!AT49</f>
        <v>-2.0055350352662571E-3</v>
      </c>
      <c r="AT50">
        <f>-0.25*(sigma^2*$A50^2-(rate-d)*$A50)*EurCall!AU51-(-0.5*sigma^2*$A50^2-0.5*rate+1/dt)*EurCall!AU50-0.25*(sigma^2*$A50^2+(rate-d)*$A50)*EurCall!AU49</f>
        <v>-9.5680458626359031E-4</v>
      </c>
      <c r="AU50">
        <f>-0.25*(sigma^2*$A50^2-(rate-d)*$A50)*EurCall!AV51-(-0.5*sigma^2*$A50^2-0.5*rate+1/dt)*EurCall!AV50-0.25*(sigma^2*$A50^2+(rate-d)*$A50)*EurCall!AV49</f>
        <v>-4.0163998406189173E-4</v>
      </c>
      <c r="AV50">
        <f>-0.25*(sigma^2*$A50^2-(rate-d)*$A50)*EurCall!AW51-(-0.5*sigma^2*$A50^2-0.5*rate+1/dt)*EurCall!AW50-0.25*(sigma^2*$A50^2+(rate-d)*$A50)*EurCall!AW49</f>
        <v>-1.4185994443891367E-4</v>
      </c>
      <c r="AW50">
        <f>-0.25*(sigma^2*$A50^2-(rate-d)*$A50)*EurCall!AX51-(-0.5*sigma^2*$A50^2-0.5*rate+1/dt)*EurCall!AX50-0.25*(sigma^2*$A50^2+(rate-d)*$A50)*EurCall!AX49</f>
        <v>-3.9237821486605435E-5</v>
      </c>
      <c r="AX50">
        <f>-0.25*(sigma^2*$A50^2-(rate-d)*$A50)*EurCall!AY51-(-0.5*sigma^2*$A50^2-0.5*rate+1/dt)*EurCall!AY50-0.25*(sigma^2*$A50^2+(rate-d)*$A50)*EurCall!AY49</f>
        <v>-7.4690391760556083E-6</v>
      </c>
      <c r="AY50">
        <f>-0.25*(sigma^2*$A50^2-(rate-d)*$A50)*EurCall!AZ51-(-0.5*sigma^2*$A50^2-0.5*rate+1/dt)*EurCall!AZ50-0.25*(sigma^2*$A50^2+(rate-d)*$A50)*EurCall!AZ49</f>
        <v>-7.2278149549830291E-7</v>
      </c>
      <c r="AZ50">
        <f>-0.25*(sigma^2*$A50^2-(rate-d)*$A50)*EurCall!BA51-(-0.5*sigma^2*$A50^2-0.5*rate+1/dt)*EurCall!BA50-0.25*(sigma^2*$A50^2+(rate-d)*$A50)*EurCall!BA49</f>
        <v>0</v>
      </c>
      <c r="BA50" s="6"/>
    </row>
    <row r="51" spans="1:53" x14ac:dyDescent="0.2">
      <c r="A51">
        <f t="shared" si="3"/>
        <v>14</v>
      </c>
      <c r="B51" s="3">
        <f t="shared" si="4"/>
        <v>28</v>
      </c>
      <c r="C51">
        <f>-0.25*(sigma^2*$A51^2-(rate-d)*$A51)*EurCall!D52-(-0.5*sigma^2*$A51^2-0.5*rate+1/dt)*EurCall!D51-0.25*(sigma^2*$A51^2+(rate-d)*$A51)*EurCall!D50</f>
        <v>-1.960186882726642</v>
      </c>
      <c r="D51">
        <f>-0.25*(sigma^2*$A51^2-(rate-d)*$A51)*EurCall!E52-(-0.5*sigma^2*$A51^2-0.5*rate+1/dt)*EurCall!E51-0.25*(sigma^2*$A51^2+(rate-d)*$A51)*EurCall!E50</f>
        <v>-1.8096269796594118</v>
      </c>
      <c r="E51">
        <f>-0.25*(sigma^2*$A51^2-(rate-d)*$A51)*EurCall!F52-(-0.5*sigma^2*$A51^2-0.5*rate+1/dt)*EurCall!F51-0.25*(sigma^2*$A51^2+(rate-d)*$A51)*EurCall!F50</f>
        <v>-1.6665988898841566</v>
      </c>
      <c r="F51">
        <f>-0.25*(sigma^2*$A51^2-(rate-d)*$A51)*EurCall!G52-(-0.5*sigma^2*$A51^2-0.5*rate+1/dt)*EurCall!G51-0.25*(sigma^2*$A51^2+(rate-d)*$A51)*EurCall!G50</f>
        <v>-1.5309889533549563</v>
      </c>
      <c r="G51">
        <f>-0.25*(sigma^2*$A51^2-(rate-d)*$A51)*EurCall!H52-(-0.5*sigma^2*$A51^2-0.5*rate+1/dt)*EurCall!H51-0.25*(sigma^2*$A51^2+(rate-d)*$A51)*EurCall!H50</f>
        <v>-1.4026746526393774</v>
      </c>
      <c r="H51">
        <f>-0.25*(sigma^2*$A51^2-(rate-d)*$A51)*EurCall!I52-(-0.5*sigma^2*$A51^2-0.5*rate+1/dt)*EurCall!I51-0.25*(sigma^2*$A51^2+(rate-d)*$A51)*EurCall!I50</f>
        <v>-1.2815244802845702</v>
      </c>
      <c r="I51">
        <f>-0.25*(sigma^2*$A51^2-(rate-d)*$A51)*EurCall!J52-(-0.5*sigma^2*$A51^2-0.5*rate+1/dt)*EurCall!J51-0.25*(sigma^2*$A51^2+(rate-d)*$A51)*EurCall!J50</f>
        <v>-1.1673978376992364</v>
      </c>
      <c r="J51">
        <f>-0.25*(sigma^2*$A51^2-(rate-d)*$A51)*EurCall!K52-(-0.5*sigma^2*$A51^2-0.5*rate+1/dt)*EurCall!K51-0.25*(sigma^2*$A51^2+(rate-d)*$A51)*EurCall!K50</f>
        <v>-1.0601449699972201</v>
      </c>
      <c r="K51">
        <f>-0.25*(sigma^2*$A51^2-(rate-d)*$A51)*EurCall!L52-(-0.5*sigma^2*$A51^2-0.5*rate+1/dt)*EurCall!L51-0.25*(sigma^2*$A51^2+(rate-d)*$A51)*EurCall!L50</f>
        <v>-0.95960694152357251</v>
      </c>
      <c r="L51">
        <f>-0.25*(sigma^2*$A51^2-(rate-d)*$A51)*EurCall!M52-(-0.5*sigma^2*$A51^2-0.5*rate+1/dt)*EurCall!M51-0.25*(sigma^2*$A51^2+(rate-d)*$A51)*EurCall!M50</f>
        <v>-0.86561565703950116</v>
      </c>
      <c r="M51">
        <f>-0.25*(sigma^2*$A51^2-(rate-d)*$A51)*EurCall!N52-(-0.5*sigma^2*$A51^2-0.5*rate+1/dt)*EurCall!N51-0.25*(sigma^2*$A51^2+(rate-d)*$A51)*EurCall!N50</f>
        <v>-0.77799393376937087</v>
      </c>
      <c r="N51">
        <f>-0.25*(sigma^2*$A51^2-(rate-d)*$A51)*EurCall!O52-(-0.5*sigma^2*$A51^2-0.5*rate+1/dt)*EurCall!O51-0.25*(sigma^2*$A51^2+(rate-d)*$A51)*EurCall!O50</f>
        <v>-0.69655562969990559</v>
      </c>
      <c r="O51">
        <f>-0.25*(sigma^2*$A51^2-(rate-d)*$A51)*EurCall!P52-(-0.5*sigma^2*$A51^2-0.5*rate+1/dt)*EurCall!P51-0.25*(sigma^2*$A51^2+(rate-d)*$A51)*EurCall!P50</f>
        <v>-0.62110583365615213</v>
      </c>
      <c r="P51">
        <f>-0.25*(sigma^2*$A51^2-(rate-d)*$A51)*EurCall!Q52-(-0.5*sigma^2*$A51^2-0.5*rate+1/dt)*EurCall!Q51-0.25*(sigma^2*$A51^2+(rate-d)*$A51)*EurCall!Q50</f>
        <v>-0.55144112274575374</v>
      </c>
      <c r="Q51">
        <f>-0.25*(sigma^2*$A51^2-(rate-d)*$A51)*EurCall!R52-(-0.5*sigma^2*$A51^2-0.5*rate+1/dt)*EurCall!R51-0.25*(sigma^2*$A51^2+(rate-d)*$A51)*EurCall!R50</f>
        <v>-0.48734989274569479</v>
      </c>
      <c r="R51">
        <f>-0.25*(sigma^2*$A51^2-(rate-d)*$A51)*EurCall!S52-(-0.5*sigma^2*$A51^2-0.5*rate+1/dt)*EurCall!S51-0.25*(sigma^2*$A51^2+(rate-d)*$A51)*EurCall!S50</f>
        <v>-0.42861276688466265</v>
      </c>
      <c r="S51">
        <f>-0.25*(sigma^2*$A51^2-(rate-d)*$A51)*EurCall!T52-(-0.5*sigma^2*$A51^2-0.5*rate+1/dt)*EurCall!T51-0.25*(sigma^2*$A51^2+(rate-d)*$A51)*EurCall!T50</f>
        <v>-0.37500308822798961</v>
      </c>
      <c r="T51">
        <f>-0.25*(sigma^2*$A51^2-(rate-d)*$A51)*EurCall!U52-(-0.5*sigma^2*$A51^2-0.5*rate+1/dt)*EurCall!U51-0.25*(sigma^2*$A51^2+(rate-d)*$A51)*EurCall!U50</f>
        <v>-0.32628750047696775</v>
      </c>
      <c r="U51">
        <f>-0.25*(sigma^2*$A51^2-(rate-d)*$A51)*EurCall!V52-(-0.5*sigma^2*$A51^2-0.5*rate+1/dt)*EurCall!V51-0.25*(sigma^2*$A51^2+(rate-d)*$A51)*EurCall!V50</f>
        <v>-0.28222662142419053</v>
      </c>
      <c r="V51">
        <f>-0.25*(sigma^2*$A51^2-(rate-d)*$A51)*EurCall!W52-(-0.5*sigma^2*$A51^2-0.5*rate+1/dt)*EurCall!W51-0.25*(sigma^2*$A51^2+(rate-d)*$A51)*EurCall!W50</f>
        <v>-0.2425758125336053</v>
      </c>
      <c r="W51">
        <f>-0.25*(sigma^2*$A51^2-(rate-d)*$A51)*EurCall!X52-(-0.5*sigma^2*$A51^2-0.5*rate+1/dt)*EurCall!X51-0.25*(sigma^2*$A51^2+(rate-d)*$A51)*EurCall!X50</f>
        <v>-0.20708604710888531</v>
      </c>
      <c r="X51">
        <f>-0.25*(sigma^2*$A51^2-(rate-d)*$A51)*EurCall!Y52-(-0.5*sigma^2*$A51^2-0.5*rate+1/dt)*EurCall!Y51-0.25*(sigma^2*$A51^2+(rate-d)*$A51)*EurCall!Y50</f>
        <v>-0.17550487824653627</v>
      </c>
      <c r="Y51">
        <f>-0.25*(sigma^2*$A51^2-(rate-d)*$A51)*EurCall!Z52-(-0.5*sigma^2*$A51^2-0.5*rate+1/dt)*EurCall!Z51-0.25*(sigma^2*$A51^2+(rate-d)*$A51)*EurCall!Z50</f>
        <v>-0.14757750621112881</v>
      </c>
      <c r="Z51">
        <f>-0.25*(sigma^2*$A51^2-(rate-d)*$A51)*EurCall!AA52-(-0.5*sigma^2*$A51^2-0.5*rate+1/dt)*EurCall!AA51-0.25*(sigma^2*$A51^2+(rate-d)*$A51)*EurCall!AA50</f>
        <v>-0.123047942991134</v>
      </c>
      <c r="AA51">
        <f>-0.25*(sigma^2*$A51^2-(rate-d)*$A51)*EurCall!AB52-(-0.5*sigma^2*$A51^2-0.5*rate+1/dt)*EurCall!AB51-0.25*(sigma^2*$A51^2+(rate-d)*$A51)*EurCall!AB50</f>
        <v>-0.10166026957052184</v>
      </c>
      <c r="AB51">
        <f>-0.25*(sigma^2*$A51^2-(rate-d)*$A51)*EurCall!AC52-(-0.5*sigma^2*$A51^2-0.5*rate+1/dt)*EurCall!AC51-0.25*(sigma^2*$A51^2+(rate-d)*$A51)*EurCall!AC50</f>
        <v>-8.3159978864999554E-2</v>
      </c>
      <c r="AC51">
        <f>-0.25*(sigma^2*$A51^2-(rate-d)*$A51)*EurCall!AD52-(-0.5*sigma^2*$A51^2-0.5*rate+1/dt)*EurCall!AD51-0.25*(sigma^2*$A51^2+(rate-d)*$A51)*EurCall!AD50</f>
        <v>-6.7295394313032747E-2</v>
      </c>
      <c r="AD51">
        <f>-0.25*(sigma^2*$A51^2-(rate-d)*$A51)*EurCall!AE52-(-0.5*sigma^2*$A51^2-0.5*rate+1/dt)*EurCall!AE51-0.25*(sigma^2*$A51^2+(rate-d)*$A51)*EurCall!AE50</f>
        <v>-5.3819150784101287E-2</v>
      </c>
      <c r="AE51">
        <f>-0.25*(sigma^2*$A51^2-(rate-d)*$A51)*EurCall!AF52-(-0.5*sigma^2*$A51^2-0.5*rate+1/dt)*EurCall!AF51-0.25*(sigma^2*$A51^2+(rate-d)*$A51)*EurCall!AF50</f>
        <v>-4.2489720791284151E-2</v>
      </c>
      <c r="AF51">
        <f>-0.25*(sigma^2*$A51^2-(rate-d)*$A51)*EurCall!AG52-(-0.5*sigma^2*$A51^2-0.5*rate+1/dt)*EurCall!AG51-0.25*(sigma^2*$A51^2+(rate-d)*$A51)*EurCall!AG50</f>
        <v>-3.3072965017160422E-2</v>
      </c>
      <c r="AG51">
        <f>-0.25*(sigma^2*$A51^2-(rate-d)*$A51)*EurCall!AH52-(-0.5*sigma^2*$A51^2-0.5*rate+1/dt)*EurCall!AH51-0.25*(sigma^2*$A51^2+(rate-d)*$A51)*EurCall!AH50</f>
        <v>-2.5343681956611117E-2</v>
      </c>
      <c r="AH51">
        <f>-0.25*(sigma^2*$A51^2-(rate-d)*$A51)*EurCall!AI52-(-0.5*sigma^2*$A51^2-0.5*rate+1/dt)*EurCall!AI51-0.25*(sigma^2*$A51^2+(rate-d)*$A51)*EurCall!AI50</f>
        <v>-1.908712716139329E-2</v>
      </c>
      <c r="AI51">
        <f>-0.25*(sigma^2*$A51^2-(rate-d)*$A51)*EurCall!AJ52-(-0.5*sigma^2*$A51^2-0.5*rate+1/dt)*EurCall!AJ51-0.25*(sigma^2*$A51^2+(rate-d)*$A51)*EurCall!AJ50</f>
        <v>-1.4100468300849898E-2</v>
      </c>
      <c r="AJ51">
        <f>-0.25*(sigma^2*$A51^2-(rate-d)*$A51)*EurCall!AK52-(-0.5*sigma^2*$A51^2-0.5*rate+1/dt)*EurCall!AK51-0.25*(sigma^2*$A51^2+(rate-d)*$A51)*EurCall!AK50</f>
        <v>-1.0194138249587141E-2</v>
      </c>
      <c r="AK51">
        <f>-0.25*(sigma^2*$A51^2-(rate-d)*$A51)*EurCall!AL52-(-0.5*sigma^2*$A51^2-0.5*rate+1/dt)*EurCall!AL51-0.25*(sigma^2*$A51^2+(rate-d)*$A51)*EurCall!AL50</f>
        <v>-7.1930449623780488E-3</v>
      </c>
      <c r="AL51">
        <f>-0.25*(sigma^2*$A51^2-(rate-d)*$A51)*EurCall!AM52-(-0.5*sigma^2*$A51^2-0.5*rate+1/dt)*EurCall!AM51-0.25*(sigma^2*$A51^2+(rate-d)*$A51)*EurCall!AM50</f>
        <v>-4.9375943614051107E-3</v>
      </c>
      <c r="AM51">
        <f>-0.25*(sigma^2*$A51^2-(rate-d)*$A51)*EurCall!AN52-(-0.5*sigma^2*$A51^2-0.5*rate+1/dt)*EurCall!AN51-0.25*(sigma^2*$A51^2+(rate-d)*$A51)*EurCall!AN50</f>
        <v>-3.2844812873251759E-3</v>
      </c>
      <c r="AN51">
        <f>-0.25*(sigma^2*$A51^2-(rate-d)*$A51)*EurCall!AO52-(-0.5*sigma^2*$A51^2-0.5*rate+1/dt)*EurCall!AO51-0.25*(sigma^2*$A51^2+(rate-d)*$A51)*EurCall!AO50</f>
        <v>-2.1072042859433338E-3</v>
      </c>
      <c r="AO51">
        <f>-0.25*(sigma^2*$A51^2-(rate-d)*$A51)*EurCall!AP52-(-0.5*sigma^2*$A51^2-0.5*rate+1/dt)*EurCall!AP51-0.25*(sigma^2*$A51^2+(rate-d)*$A51)*EurCall!AP50</f>
        <v>-1.2962632300688194E-3</v>
      </c>
      <c r="AP51">
        <f>-0.25*(sigma^2*$A51^2-(rate-d)*$A51)*EurCall!AQ52-(-0.5*sigma^2*$A51^2-0.5*rate+1/dt)*EurCall!AQ51-0.25*(sigma^2*$A51^2+(rate-d)*$A51)*EurCall!AQ50</f>
        <v>-7.5900518783216875E-4</v>
      </c>
      <c r="AQ51">
        <f>-0.25*(sigma^2*$A51^2-(rate-d)*$A51)*EurCall!AR52-(-0.5*sigma^2*$A51^2-0.5*rate+1/dt)*EurCall!AR51-0.25*(sigma^2*$A51^2+(rate-d)*$A51)*EurCall!AR50</f>
        <v>-4.1909424486748356E-4</v>
      </c>
      <c r="AR51">
        <f>-0.25*(sigma^2*$A51^2-(rate-d)*$A51)*EurCall!AS52-(-0.5*sigma^2*$A51^2-0.5*rate+1/dt)*EurCall!AS51-0.25*(sigma^2*$A51^2+(rate-d)*$A51)*EurCall!AS50</f>
        <v>-2.1559582260484515E-4</v>
      </c>
      <c r="AS51">
        <f>-0.25*(sigma^2*$A51^2-(rate-d)*$A51)*EurCall!AT52-(-0.5*sigma^2*$A51^2-0.5*rate+1/dt)*EurCall!AT51-0.25*(sigma^2*$A51^2+(rate-d)*$A51)*EurCall!AT50</f>
        <v>-1.0168589937017012E-4</v>
      </c>
      <c r="AT51">
        <f>-0.25*(sigma^2*$A51^2-(rate-d)*$A51)*EurCall!AU52-(-0.5*sigma^2*$A51^2-0.5*rate+1/dt)*EurCall!AU51-0.25*(sigma^2*$A51^2+(rate-d)*$A51)*EurCall!AU50</f>
        <v>-4.3020576443940051E-5</v>
      </c>
      <c r="AU51">
        <f>-0.25*(sigma^2*$A51^2-(rate-d)*$A51)*EurCall!AV52-(-0.5*sigma^2*$A51^2-0.5*rate+1/dt)*EurCall!AV51-0.25*(sigma^2*$A51^2+(rate-d)*$A51)*EurCall!AV50</f>
        <v>-1.5831143689722059E-5</v>
      </c>
      <c r="AV51">
        <f>-0.25*(sigma^2*$A51^2-(rate-d)*$A51)*EurCall!AW52-(-0.5*sigma^2*$A51^2-0.5*rate+1/dt)*EurCall!AW51-0.25*(sigma^2*$A51^2+(rate-d)*$A51)*EurCall!AW50</f>
        <v>-4.8426305778011977E-6</v>
      </c>
      <c r="AW51">
        <f>-0.25*(sigma^2*$A51^2-(rate-d)*$A51)*EurCall!AX52-(-0.5*sigma^2*$A51^2-0.5*rate+1/dt)*EurCall!AX51-0.25*(sigma^2*$A51^2+(rate-d)*$A51)*EurCall!AX50</f>
        <v>-1.1465239074344262E-6</v>
      </c>
      <c r="AX51">
        <f>-0.25*(sigma^2*$A51^2-(rate-d)*$A51)*EurCall!AY52-(-0.5*sigma^2*$A51^2-0.5*rate+1/dt)*EurCall!AY51-0.25*(sigma^2*$A51^2+(rate-d)*$A51)*EurCall!AY50</f>
        <v>-1.8502405493047878E-7</v>
      </c>
      <c r="AY51">
        <f>-0.25*(sigma^2*$A51^2-(rate-d)*$A51)*EurCall!AZ52-(-0.5*sigma^2*$A51^2-0.5*rate+1/dt)*EurCall!AZ51-0.25*(sigma^2*$A51^2+(rate-d)*$A51)*EurCall!AZ50</f>
        <v>-1.5093000647754124E-8</v>
      </c>
      <c r="AZ51">
        <f>-0.25*(sigma^2*$A51^2-(rate-d)*$A51)*EurCall!BA52-(-0.5*sigma^2*$A51^2-0.5*rate+1/dt)*EurCall!BA51-0.25*(sigma^2*$A51^2+(rate-d)*$A51)*EurCall!BA50</f>
        <v>0</v>
      </c>
      <c r="BA51" s="6"/>
    </row>
    <row r="52" spans="1:53" x14ac:dyDescent="0.2">
      <c r="A52">
        <f t="shared" si="3"/>
        <v>13</v>
      </c>
      <c r="B52" s="3">
        <f t="shared" si="4"/>
        <v>26</v>
      </c>
      <c r="C52">
        <f>-0.25*(sigma^2*$A52^2-(rate-d)*$A52)*EurCall!D53-(-0.5*sigma^2*$A52^2-0.5*rate+1/dt)*EurCall!D52-0.25*(sigma^2*$A52^2+(rate-d)*$A52)*EurCall!D51</f>
        <v>-0.4638919264777579</v>
      </c>
      <c r="D52">
        <f>-0.25*(sigma^2*$A52^2-(rate-d)*$A52)*EurCall!E53-(-0.5*sigma^2*$A52^2-0.5*rate+1/dt)*EurCall!E52-0.25*(sigma^2*$A52^2+(rate-d)*$A52)*EurCall!E51</f>
        <v>-0.42049964227048919</v>
      </c>
      <c r="E52">
        <f>-0.25*(sigma^2*$A52^2-(rate-d)*$A52)*EurCall!F53-(-0.5*sigma^2*$A52^2-0.5*rate+1/dt)*EurCall!F52-0.25*(sigma^2*$A52^2+(rate-d)*$A52)*EurCall!F51</f>
        <v>-0.38006302089475436</v>
      </c>
      <c r="F52">
        <f>-0.25*(sigma^2*$A52^2-(rate-d)*$A52)*EurCall!G53-(-0.5*sigma^2*$A52^2-0.5*rate+1/dt)*EurCall!G52-0.25*(sigma^2*$A52^2+(rate-d)*$A52)*EurCall!G51</f>
        <v>-0.3424733503809127</v>
      </c>
      <c r="G52">
        <f>-0.25*(sigma^2*$A52^2-(rate-d)*$A52)*EurCall!H53-(-0.5*sigma^2*$A52^2-0.5*rate+1/dt)*EurCall!H52-0.25*(sigma^2*$A52^2+(rate-d)*$A52)*EurCall!H51</f>
        <v>-0.3076203900883786</v>
      </c>
      <c r="H52">
        <f>-0.25*(sigma^2*$A52^2-(rate-d)*$A52)*EurCall!I53-(-0.5*sigma^2*$A52^2-0.5*rate+1/dt)*EurCall!I52-0.25*(sigma^2*$A52^2+(rate-d)*$A52)*EurCall!I51</f>
        <v>-0.27539257815627127</v>
      </c>
      <c r="I52">
        <f>-0.25*(sigma^2*$A52^2-(rate-d)*$A52)*EurCall!J53-(-0.5*sigma^2*$A52^2-0.5*rate+1/dt)*EurCall!J52-0.25*(sigma^2*$A52^2+(rate-d)*$A52)*EurCall!J51</f>
        <v>-0.24567725540921148</v>
      </c>
      <c r="J52">
        <f>-0.25*(sigma^2*$A52^2-(rate-d)*$A52)*EurCall!K53-(-0.5*sigma^2*$A52^2-0.5*rate+1/dt)*EurCall!K52-0.25*(sigma^2*$A52^2+(rate-d)*$A52)*EurCall!K51</f>
        <v>-0.21836090562885721</v>
      </c>
      <c r="K52">
        <f>-0.25*(sigma^2*$A52^2-(rate-d)*$A52)*EurCall!L53-(-0.5*sigma^2*$A52^2-0.5*rate+1/dt)*EurCall!L52-0.25*(sigma^2*$A52^2+(rate-d)*$A52)*EurCall!L51</f>
        <v>-0.19332941193552336</v>
      </c>
      <c r="L52">
        <f>-0.25*(sigma^2*$A52^2-(rate-d)*$A52)*EurCall!M53-(-0.5*sigma^2*$A52^2-0.5*rate+1/dt)*EurCall!M52-0.25*(sigma^2*$A52^2+(rate-d)*$A52)*EurCall!M51</f>
        <v>-0.17046832883672478</v>
      </c>
      <c r="M52">
        <f>-0.25*(sigma^2*$A52^2-(rate-d)*$A52)*EurCall!N53-(-0.5*sigma^2*$A52^2-0.5*rate+1/dt)*EurCall!N52-0.25*(sigma^2*$A52^2+(rate-d)*$A52)*EurCall!N51</f>
        <v>-0.1496631692900374</v>
      </c>
      <c r="N52">
        <f>-0.25*(sigma^2*$A52^2-(rate-d)*$A52)*EurCall!O53-(-0.5*sigma^2*$A52^2-0.5*rate+1/dt)*EurCall!O52-0.25*(sigma^2*$A52^2+(rate-d)*$A52)*EurCall!O51</f>
        <v>-0.13079970589591111</v>
      </c>
      <c r="O52">
        <f>-0.25*(sigma^2*$A52^2-(rate-d)*$A52)*EurCall!P53-(-0.5*sigma^2*$A52^2-0.5*rate+1/dt)*EurCall!P52-0.25*(sigma^2*$A52^2+(rate-d)*$A52)*EurCall!P51</f>
        <v>-0.11376428508202935</v>
      </c>
      <c r="P52">
        <f>-0.25*(sigma^2*$A52^2-(rate-d)*$A52)*EurCall!Q53-(-0.5*sigma^2*$A52^2-0.5*rate+1/dt)*EurCall!Q52-0.25*(sigma^2*$A52^2+(rate-d)*$A52)*EurCall!Q51</f>
        <v>-9.8444152865035425E-2</v>
      </c>
      <c r="Q52">
        <f>-0.25*(sigma^2*$A52^2-(rate-d)*$A52)*EurCall!R53-(-0.5*sigma^2*$A52^2-0.5*rate+1/dt)*EurCall!R52-0.25*(sigma^2*$A52^2+(rate-d)*$A52)*EurCall!R51</f>
        <v>-8.4727790479101228E-2</v>
      </c>
      <c r="R52">
        <f>-0.25*(sigma^2*$A52^2-(rate-d)*$A52)*EurCall!S53-(-0.5*sigma^2*$A52^2-0.5*rate+1/dt)*EurCall!S52-0.25*(sigma^2*$A52^2+(rate-d)*$A52)*EurCall!S51</f>
        <v>-7.2505257845822971E-2</v>
      </c>
      <c r="S52">
        <f>-0.25*(sigma^2*$A52^2-(rate-d)*$A52)*EurCall!T53-(-0.5*sigma^2*$A52^2-0.5*rate+1/dt)*EurCall!T52-0.25*(sigma^2*$A52^2+(rate-d)*$A52)*EurCall!T51</f>
        <v>-6.1668542529103546E-2</v>
      </c>
      <c r="T52">
        <f>-0.25*(sigma^2*$A52^2-(rate-d)*$A52)*EurCall!U53-(-0.5*sigma^2*$A52^2-0.5*rate+1/dt)*EurCall!U52-0.25*(sigma^2*$A52^2+(rate-d)*$A52)*EurCall!U51</f>
        <v>-5.2111911475889741E-2</v>
      </c>
      <c r="U52">
        <f>-0.25*(sigma^2*$A52^2-(rate-d)*$A52)*EurCall!V53-(-0.5*sigma^2*$A52^2-0.5*rate+1/dt)*EurCall!V52-0.25*(sigma^2*$A52^2+(rate-d)*$A52)*EurCall!V51</f>
        <v>-4.3732262493946197E-2</v>
      </c>
      <c r="V52">
        <f>-0.25*(sigma^2*$A52^2-(rate-d)*$A52)*EurCall!W53-(-0.5*sigma^2*$A52^2-0.5*rate+1/dt)*EurCall!W52-0.25*(sigma^2*$A52^2+(rate-d)*$A52)*EurCall!W51</f>
        <v>-3.6429472067722651E-2</v>
      </c>
      <c r="W52">
        <f>-0.25*(sigma^2*$A52^2-(rate-d)*$A52)*EurCall!X53-(-0.5*sigma^2*$A52^2-0.5*rate+1/dt)*EurCall!X52-0.25*(sigma^2*$A52^2+(rate-d)*$A52)*EurCall!X51</f>
        <v>-3.0106735770801439E-2</v>
      </c>
      <c r="X52">
        <f>-0.25*(sigma^2*$A52^2-(rate-d)*$A52)*EurCall!Y53-(-0.5*sigma^2*$A52^2-0.5*rate+1/dt)*EurCall!Y52-0.25*(sigma^2*$A52^2+(rate-d)*$A52)*EurCall!Y51</f>
        <v>-2.4670897208098529E-2</v>
      </c>
      <c r="Y52">
        <f>-0.25*(sigma^2*$A52^2-(rate-d)*$A52)*EurCall!Z53-(-0.5*sigma^2*$A52^2-0.5*rate+1/dt)*EurCall!Z52-0.25*(sigma^2*$A52^2+(rate-d)*$A52)*EurCall!Z51</f>
        <v>-2.0032761124469434E-2</v>
      </c>
      <c r="Z52">
        <f>-0.25*(sigma^2*$A52^2-(rate-d)*$A52)*EurCall!AA53-(-0.5*sigma^2*$A52^2-0.5*rate+1/dt)*EurCall!AA52-0.25*(sigma^2*$A52^2+(rate-d)*$A52)*EurCall!AA51</f>
        <v>-1.6107386062120928E-2</v>
      </c>
      <c r="AA52">
        <f>-0.25*(sigma^2*$A52^2-(rate-d)*$A52)*EurCall!AB53-(-0.5*sigma^2*$A52^2-0.5*rate+1/dt)*EurCall!AB52-0.25*(sigma^2*$A52^2+(rate-d)*$A52)*EurCall!AB51</f>
        <v>-1.2814351752717511E-2</v>
      </c>
      <c r="AB52">
        <f>-0.25*(sigma^2*$A52^2-(rate-d)*$A52)*EurCall!AC53-(-0.5*sigma^2*$A52^2-0.5*rate+1/dt)*EurCall!AC52-0.25*(sigma^2*$A52^2+(rate-d)*$A52)*EurCall!AC51</f>
        <v>-1.0077996308730023E-2</v>
      </c>
      <c r="AC52">
        <f>-0.25*(sigma^2*$A52^2-(rate-d)*$A52)*EurCall!AD53-(-0.5*sigma^2*$A52^2-0.5*rate+1/dt)*EurCall!AD52-0.25*(sigma^2*$A52^2+(rate-d)*$A52)*EurCall!AD51</f>
        <v>-7.8276182516573926E-3</v>
      </c>
      <c r="AD52">
        <f>-0.25*(sigma^2*$A52^2-(rate-d)*$A52)*EurCall!AE53-(-0.5*sigma^2*$A52^2-0.5*rate+1/dt)*EurCall!AE52-0.25*(sigma^2*$A52^2+(rate-d)*$A52)*EurCall!AE51</f>
        <v>-5.9976385030662306E-3</v>
      </c>
      <c r="AE52">
        <f>-0.25*(sigma^2*$A52^2-(rate-d)*$A52)*EurCall!AF53-(-0.5*sigma^2*$A52^2-0.5*rate+1/dt)*EurCall!AF52-0.25*(sigma^2*$A52^2+(rate-d)*$A52)*EurCall!AF51</f>
        <v>-4.5277176898195172E-3</v>
      </c>
      <c r="AF52">
        <f>-0.25*(sigma^2*$A52^2-(rate-d)*$A52)*EurCall!AG53-(-0.5*sigma^2*$A52^2-0.5*rate+1/dt)*EurCall!AG52-0.25*(sigma^2*$A52^2+(rate-d)*$A52)*EurCall!AG51</f>
        <v>-3.3628244996666643E-3</v>
      </c>
      <c r="AG52">
        <f>-0.25*(sigma^2*$A52^2-(rate-d)*$A52)*EurCall!AH53-(-0.5*sigma^2*$A52^2-0.5*rate+1/dt)*EurCall!AH52-0.25*(sigma^2*$A52^2+(rate-d)*$A52)*EurCall!AH51</f>
        <v>-2.4532513891784642E-3</v>
      </c>
      <c r="AH52">
        <f>-0.25*(sigma^2*$A52^2-(rate-d)*$A52)*EurCall!AI53-(-0.5*sigma^2*$A52^2-0.5*rate+1/dt)*EurCall!AI52-0.25*(sigma^2*$A52^2+(rate-d)*$A52)*EurCall!AI51</f>
        <v>-1.7545747124836281E-3</v>
      </c>
      <c r="AI52">
        <f>-0.25*(sigma^2*$A52^2-(rate-d)*$A52)*EurCall!AJ53-(-0.5*sigma^2*$A52^2-0.5*rate+1/dt)*EurCall!AJ52-0.25*(sigma^2*$A52^2+(rate-d)*$A52)*EurCall!AJ51</f>
        <v>-1.2275573222758451E-3</v>
      </c>
      <c r="AJ52">
        <f>-0.25*(sigma^2*$A52^2-(rate-d)*$A52)*EurCall!AK53-(-0.5*sigma^2*$A52^2-0.5*rate+1/dt)*EurCall!AK52-0.25*(sigma^2*$A52^2+(rate-d)*$A52)*EurCall!AK51</f>
        <v>-8.379929039323931E-4</v>
      </c>
      <c r="AK52">
        <f>-0.25*(sigma^2*$A52^2-(rate-d)*$A52)*EurCall!AL53-(-0.5*sigma^2*$A52^2-0.5*rate+1/dt)*EurCall!AL52-0.25*(sigma^2*$A52^2+(rate-d)*$A52)*EurCall!AL51</f>
        <v>-5.5649274024891459E-4</v>
      </c>
      <c r="AL52">
        <f>-0.25*(sigma^2*$A52^2-(rate-d)*$A52)*EurCall!AM53-(-0.5*sigma^2*$A52^2-0.5*rate+1/dt)*EurCall!AM52-0.25*(sigma^2*$A52^2+(rate-d)*$A52)*EurCall!AM51</f>
        <v>-3.5821725687733795E-4</v>
      </c>
      <c r="AM52">
        <f>-0.25*(sigma^2*$A52^2-(rate-d)*$A52)*EurCall!AN53-(-0.5*sigma^2*$A52^2-0.5*rate+1/dt)*EurCall!AN52-0.25*(sigma^2*$A52^2+(rate-d)*$A52)*EurCall!AN51</f>
        <v>-2.2255653938969461E-4</v>
      </c>
      <c r="AN52">
        <f>-0.25*(sigma^2*$A52^2-(rate-d)*$A52)*EurCall!AO53-(-0.5*sigma^2*$A52^2-0.5*rate+1/dt)*EurCall!AO52-0.25*(sigma^2*$A52^2+(rate-d)*$A52)*EurCall!AO51</f>
        <v>-1.3276599354315218E-4</v>
      </c>
      <c r="AO52">
        <f>-0.25*(sigma^2*$A52^2-(rate-d)*$A52)*EurCall!AP53-(-0.5*sigma^2*$A52^2-0.5*rate+1/dt)*EurCall!AP52-0.25*(sigma^2*$A52^2+(rate-d)*$A52)*EurCall!AP51</f>
        <v>-7.5565366815134662E-5</v>
      </c>
      <c r="AP52">
        <f>-0.25*(sigma^2*$A52^2-(rate-d)*$A52)*EurCall!AQ53-(-0.5*sigma^2*$A52^2-0.5*rate+1/dt)*EurCall!AQ52-0.25*(sigma^2*$A52^2+(rate-d)*$A52)*EurCall!AQ51</f>
        <v>-4.0711357421410716E-5</v>
      </c>
      <c r="AQ52">
        <f>-0.25*(sigma^2*$A52^2-(rate-d)*$A52)*EurCall!AR53-(-0.5*sigma^2*$A52^2-0.5*rate+1/dt)*EurCall!AR52-0.25*(sigma^2*$A52^2+(rate-d)*$A52)*EurCall!AR51</f>
        <v>-2.0555868493030594E-5</v>
      </c>
      <c r="AR52">
        <f>-0.25*(sigma^2*$A52^2-(rate-d)*$A52)*EurCall!AS53-(-0.5*sigma^2*$A52^2-0.5*rate+1/dt)*EurCall!AS52-0.25*(sigma^2*$A52^2+(rate-d)*$A52)*EurCall!AS51</f>
        <v>-9.6034452825110751E-6</v>
      </c>
      <c r="AS52">
        <f>-0.25*(sigma^2*$A52^2-(rate-d)*$A52)*EurCall!AT53-(-0.5*sigma^2*$A52^2-0.5*rate+1/dt)*EurCall!AT52-0.25*(sigma^2*$A52^2+(rate-d)*$A52)*EurCall!AT51</f>
        <v>-4.0823527016602041E-6</v>
      </c>
      <c r="AT52">
        <f>-0.25*(sigma^2*$A52^2-(rate-d)*$A52)*EurCall!AU53-(-0.5*sigma^2*$A52^2-0.5*rate+1/dt)*EurCall!AU52-0.25*(sigma^2*$A52^2+(rate-d)*$A52)*EurCall!AU51</f>
        <v>-1.5438720806086619E-6</v>
      </c>
      <c r="AU52">
        <f>-0.25*(sigma^2*$A52^2-(rate-d)*$A52)*EurCall!AV53-(-0.5*sigma^2*$A52^2-0.5*rate+1/dt)*EurCall!AV52-0.25*(sigma^2*$A52^2+(rate-d)*$A52)*EurCall!AV51</f>
        <v>-5.0347211565903599E-7</v>
      </c>
      <c r="AV52">
        <f>-0.25*(sigma^2*$A52^2-(rate-d)*$A52)*EurCall!AW53-(-0.5*sigma^2*$A52^2-0.5*rate+1/dt)*EurCall!AW52-0.25*(sigma^2*$A52^2+(rate-d)*$A52)*EurCall!AW51</f>
        <v>-1.3531342837227649E-7</v>
      </c>
      <c r="AW52">
        <f>-0.25*(sigma^2*$A52^2-(rate-d)*$A52)*EurCall!AX53-(-0.5*sigma^2*$A52^2-0.5*rate+1/dt)*EurCall!AX52-0.25*(sigma^2*$A52^2+(rate-d)*$A52)*EurCall!AX51</f>
        <v>-2.7929540188492874E-8</v>
      </c>
      <c r="AX52">
        <f>-0.25*(sigma^2*$A52^2-(rate-d)*$A52)*EurCall!AY53-(-0.5*sigma^2*$A52^2-0.5*rate+1/dt)*EurCall!AY52-0.25*(sigma^2*$A52^2+(rate-d)*$A52)*EurCall!AY51</f>
        <v>-3.9059248181542317E-9</v>
      </c>
      <c r="AY52">
        <f>-0.25*(sigma^2*$A52^2-(rate-d)*$A52)*EurCall!AZ53-(-0.5*sigma^2*$A52^2-0.5*rate+1/dt)*EurCall!AZ52-0.25*(sigma^2*$A52^2+(rate-d)*$A52)*EurCall!AZ51</f>
        <v>-2.7518405869937043E-10</v>
      </c>
      <c r="AZ52">
        <f>-0.25*(sigma^2*$A52^2-(rate-d)*$A52)*EurCall!BA53-(-0.5*sigma^2*$A52^2-0.5*rate+1/dt)*EurCall!BA52-0.25*(sigma^2*$A52^2+(rate-d)*$A52)*EurCall!BA51</f>
        <v>0</v>
      </c>
      <c r="BA52" s="6"/>
    </row>
    <row r="53" spans="1:53" x14ac:dyDescent="0.2">
      <c r="A53">
        <f t="shared" si="3"/>
        <v>12</v>
      </c>
      <c r="B53" s="3">
        <f t="shared" si="4"/>
        <v>24</v>
      </c>
      <c r="C53">
        <f>-0.25*(sigma^2*$A53^2-(rate-d)*$A53)*EurCall!D54-(-0.5*sigma^2*$A53^2-0.5*rate+1/dt)*EurCall!D53-0.25*(sigma^2*$A53^2+(rate-d)*$A53)*EurCall!D52</f>
        <v>-8.8142942719184006E-2</v>
      </c>
      <c r="D53">
        <f>-0.25*(sigma^2*$A53^2-(rate-d)*$A53)*EurCall!E54-(-0.5*sigma^2*$A53^2-0.5*rate+1/dt)*EurCall!E53-0.25*(sigma^2*$A53^2+(rate-d)*$A53)*EurCall!E52</f>
        <v>-7.8348388090633395E-2</v>
      </c>
      <c r="E53">
        <f>-0.25*(sigma^2*$A53^2-(rate-d)*$A53)*EurCall!F54-(-0.5*sigma^2*$A53^2-0.5*rate+1/dt)*EurCall!F53-0.25*(sigma^2*$A53^2+(rate-d)*$A53)*EurCall!F52</f>
        <v>-6.9407501459422261E-2</v>
      </c>
      <c r="F53">
        <f>-0.25*(sigma^2*$A53^2-(rate-d)*$A53)*EurCall!G54-(-0.5*sigma^2*$A53^2-0.5*rate+1/dt)*EurCall!G53-0.25*(sigma^2*$A53^2+(rate-d)*$A53)*EurCall!G52</f>
        <v>-6.1270085783693959E-2</v>
      </c>
      <c r="G53">
        <f>-0.25*(sigma^2*$A53^2-(rate-d)*$A53)*EurCall!H54-(-0.5*sigma^2*$A53^2-0.5*rate+1/dt)*EurCall!H53-0.25*(sigma^2*$A53^2+(rate-d)*$A53)*EurCall!H52</f>
        <v>-5.3886962346322148E-2</v>
      </c>
      <c r="H53">
        <f>-0.25*(sigma^2*$A53^2-(rate-d)*$A53)*EurCall!I54-(-0.5*sigma^2*$A53^2-0.5*rate+1/dt)*EurCall!I53-0.25*(sigma^2*$A53^2+(rate-d)*$A53)*EurCall!I52</f>
        <v>-4.7210060639189207E-2</v>
      </c>
      <c r="I53">
        <f>-0.25*(sigma^2*$A53^2-(rate-d)*$A53)*EurCall!J54-(-0.5*sigma^2*$A53^2-0.5*rate+1/dt)*EurCall!J53-0.25*(sigma^2*$A53^2+(rate-d)*$A53)*EurCall!J52</f>
        <v>-4.1192506427562989E-2</v>
      </c>
      <c r="J53">
        <f>-0.25*(sigma^2*$A53^2-(rate-d)*$A53)*EurCall!K54-(-0.5*sigma^2*$A53^2-0.5*rate+1/dt)*EurCall!K53-0.25*(sigma^2*$A53^2+(rate-d)*$A53)*EurCall!K52</f>
        <v>-3.5788707396795329E-2</v>
      </c>
      <c r="K53">
        <f>-0.25*(sigma^2*$A53^2-(rate-d)*$A53)*EurCall!L54-(-0.5*sigma^2*$A53^2-0.5*rate+1/dt)*EurCall!L53-0.25*(sigma^2*$A53^2+(rate-d)*$A53)*EurCall!L52</f>
        <v>-3.0954435754527439E-2</v>
      </c>
      <c r="L53">
        <f>-0.25*(sigma^2*$A53^2-(rate-d)*$A53)*EurCall!M54-(-0.5*sigma^2*$A53^2-0.5*rate+1/dt)*EurCall!M53-0.25*(sigma^2*$A53^2+(rate-d)*$A53)*EurCall!M52</f>
        <v>-2.6646907136327176E-2</v>
      </c>
      <c r="M53">
        <f>-0.25*(sigma^2*$A53^2-(rate-d)*$A53)*EurCall!N54-(-0.5*sigma^2*$A53^2-0.5*rate+1/dt)*EurCall!N53-0.25*(sigma^2*$A53^2+(rate-d)*$A53)*EurCall!N52</f>
        <v>-2.2824855142113645E-2</v>
      </c>
      <c r="N53">
        <f>-0.25*(sigma^2*$A53^2-(rate-d)*$A53)*EurCall!O54-(-0.5*sigma^2*$A53^2-0.5*rate+1/dt)*EurCall!O53-0.25*(sigma^2*$A53^2+(rate-d)*$A53)*EurCall!O52</f>
        <v>-1.9448600815829595E-2</v>
      </c>
      <c r="O53">
        <f>-0.25*(sigma^2*$A53^2-(rate-d)*$A53)*EurCall!P54-(-0.5*sigma^2*$A53^2-0.5*rate+1/dt)*EurCall!P53-0.25*(sigma^2*$A53^2+(rate-d)*$A53)*EurCall!P52</f>
        <v>-1.6480116372653366E-2</v>
      </c>
      <c r="P53">
        <f>-0.25*(sigma^2*$A53^2-(rate-d)*$A53)*EurCall!Q54-(-0.5*sigma^2*$A53^2-0.5*rate+1/dt)*EurCall!Q53-0.25*(sigma^2*$A53^2+(rate-d)*$A53)*EurCall!Q52</f>
        <v>-1.3883082477708069E-2</v>
      </c>
      <c r="Q53">
        <f>-0.25*(sigma^2*$A53^2-(rate-d)*$A53)*EurCall!R54-(-0.5*sigma^2*$A53^2-0.5*rate+1/dt)*EurCall!R53-0.25*(sigma^2*$A53^2+(rate-d)*$A53)*EurCall!R52</f>
        <v>-1.1622938388875887E-2</v>
      </c>
      <c r="R53">
        <f>-0.25*(sigma^2*$A53^2-(rate-d)*$A53)*EurCall!S54-(-0.5*sigma^2*$A53^2-0.5*rate+1/dt)*EurCall!S53-0.25*(sigma^2*$A53^2+(rate-d)*$A53)*EurCall!S52</f>
        <v>-9.6669242951326357E-3</v>
      </c>
      <c r="S53">
        <f>-0.25*(sigma^2*$A53^2-(rate-d)*$A53)*EurCall!T54-(-0.5*sigma^2*$A53^2-0.5*rate+1/dt)*EurCall!T53-0.25*(sigma^2*$A53^2+(rate-d)*$A53)*EurCall!T52</f>
        <v>-7.9841152119516524E-3</v>
      </c>
      <c r="T53">
        <f>-0.25*(sigma^2*$A53^2-(rate-d)*$A53)*EurCall!U54-(-0.5*sigma^2*$A53^2-0.5*rate+1/dt)*EurCall!U53-0.25*(sigma^2*$A53^2+(rate-d)*$A53)*EurCall!U52</f>
        <v>-6.5454458379226674E-3</v>
      </c>
      <c r="U53">
        <f>-0.25*(sigma^2*$A53^2-(rate-d)*$A53)*EurCall!V54-(-0.5*sigma^2*$A53^2-0.5*rate+1/dt)*EurCall!V53-0.25*(sigma^2*$A53^2+(rate-d)*$A53)*EurCall!V52</f>
        <v>-5.3237258328537032E-3</v>
      </c>
      <c r="V53">
        <f>-0.25*(sigma^2*$A53^2-(rate-d)*$A53)*EurCall!W54-(-0.5*sigma^2*$A53^2-0.5*rate+1/dt)*EurCall!W53-0.25*(sigma^2*$A53^2+(rate-d)*$A53)*EurCall!W52</f>
        <v>-4.2936450482163662E-3</v>
      </c>
      <c r="W53">
        <f>-0.25*(sigma^2*$A53^2-(rate-d)*$A53)*EurCall!X54-(-0.5*sigma^2*$A53^2-0.5*rate+1/dt)*EurCall!X53-0.25*(sigma^2*$A53^2+(rate-d)*$A53)*EurCall!X52</f>
        <v>-3.4317683266278229E-3</v>
      </c>
      <c r="X53">
        <f>-0.25*(sigma^2*$A53^2-(rate-d)*$A53)*EurCall!Y54-(-0.5*sigma^2*$A53^2-0.5*rate+1/dt)*EurCall!Y53-0.25*(sigma^2*$A53^2+(rate-d)*$A53)*EurCall!Y52</f>
        <v>-2.7165195886694978E-3</v>
      </c>
      <c r="Y53">
        <f>-0.25*(sigma^2*$A53^2-(rate-d)*$A53)*EurCall!Z54-(-0.5*sigma^2*$A53^2-0.5*rate+1/dt)*EurCall!Z53-0.25*(sigma^2*$A53^2+(rate-d)*$A53)*EurCall!Z52</f>
        <v>-2.1281550429469382E-3</v>
      </c>
      <c r="Z53">
        <f>-0.25*(sigma^2*$A53^2-(rate-d)*$A53)*EurCall!AA54-(-0.5*sigma^2*$A53^2-0.5*rate+1/dt)*EurCall!AA53-0.25*(sigma^2*$A53^2+(rate-d)*$A53)*EurCall!AA52</f>
        <v>-1.6487254887309036E-3</v>
      </c>
      <c r="AA53">
        <f>-0.25*(sigma^2*$A53^2-(rate-d)*$A53)*EurCall!AB54-(-0.5*sigma^2*$A53^2-0.5*rate+1/dt)*EurCall!AB53-0.25*(sigma^2*$A53^2+(rate-d)*$A53)*EurCall!AB52</f>
        <v>-1.2620278291413563E-3</v>
      </c>
      <c r="AB53">
        <f>-0.25*(sigma^2*$A53^2-(rate-d)*$A53)*EurCall!AC54-(-0.5*sigma^2*$A53^2-0.5*rate+1/dt)*EurCall!AC53-0.25*(sigma^2*$A53^2+(rate-d)*$A53)*EurCall!AC52</f>
        <v>-9.5354607542524363E-4</v>
      </c>
      <c r="AC53">
        <f>-0.25*(sigma^2*$A53^2-(rate-d)*$A53)*EurCall!AD54-(-0.5*sigma^2*$A53^2-0.5*rate+1/dt)*EurCall!AD53-0.25*(sigma^2*$A53^2+(rate-d)*$A53)*EurCall!AD52</f>
        <v>-7.1038229754667639E-4</v>
      </c>
      <c r="AD53">
        <f>-0.25*(sigma^2*$A53^2-(rate-d)*$A53)*EurCall!AE54-(-0.5*sigma^2*$A53^2-0.5*rate+1/dt)*EurCall!AE53-0.25*(sigma^2*$A53^2+(rate-d)*$A53)*EurCall!AE52</f>
        <v>-5.2117816039711157E-4</v>
      </c>
      <c r="AE53">
        <f>-0.25*(sigma^2*$A53^2-(rate-d)*$A53)*EurCall!AF54-(-0.5*sigma^2*$A53^2-0.5*rate+1/dt)*EurCall!AF53-0.25*(sigma^2*$A53^2+(rate-d)*$A53)*EurCall!AF52</f>
        <v>-3.7602787492730088E-4</v>
      </c>
      <c r="AF53">
        <f>-0.25*(sigma^2*$A53^2-(rate-d)*$A53)*EurCall!AG54-(-0.5*sigma^2*$A53^2-0.5*rate+1/dt)*EurCall!AG53-0.25*(sigma^2*$A53^2+(rate-d)*$A53)*EurCall!AG52</f>
        <v>-2.6638358494901775E-4</v>
      </c>
      <c r="AG53">
        <f>-0.25*(sigma^2*$A53^2-(rate-d)*$A53)*EurCall!AH54-(-0.5*sigma^2*$A53^2-0.5*rate+1/dt)*EurCall!AH53-0.25*(sigma^2*$A53^2+(rate-d)*$A53)*EurCall!AH52</f>
        <v>-1.8495439780851945E-4</v>
      </c>
      <c r="AH53">
        <f>-0.25*(sigma^2*$A53^2-(rate-d)*$A53)*EurCall!AI54-(-0.5*sigma^2*$A53^2-0.5*rate+1/dt)*EurCall!AI53-0.25*(sigma^2*$A53^2+(rate-d)*$A53)*EurCall!AI52</f>
        <v>-1.2560044413995823E-4</v>
      </c>
      <c r="AI53">
        <f>-0.25*(sigma^2*$A53^2-(rate-d)*$A53)*EurCall!AJ54-(-0.5*sigma^2*$A53^2-0.5*rate+1/dt)*EurCall!AJ53-0.25*(sigma^2*$A53^2+(rate-d)*$A53)*EurCall!AJ52</f>
        <v>-8.3223511030380961E-5</v>
      </c>
      <c r="AJ53">
        <f>-0.25*(sigma^2*$A53^2-(rate-d)*$A53)*EurCall!AK54-(-0.5*sigma^2*$A53^2-0.5*rate+1/dt)*EurCall!AK53-0.25*(sigma^2*$A53^2+(rate-d)*$A53)*EurCall!AK52</f>
        <v>-5.365592585353746E-5</v>
      </c>
      <c r="AK53">
        <f>-0.25*(sigma^2*$A53^2-(rate-d)*$A53)*EurCall!AL54-(-0.5*sigma^2*$A53^2-0.5*rate+1/dt)*EurCall!AL53-0.25*(sigma^2*$A53^2+(rate-d)*$A53)*EurCall!AL52</f>
        <v>-3.3549465752971387E-5</v>
      </c>
      <c r="AL53">
        <f>-0.25*(sigma^2*$A53^2-(rate-d)*$A53)*EurCall!AM54-(-0.5*sigma^2*$A53^2-0.5*rate+1/dt)*EurCall!AM53-0.25*(sigma^2*$A53^2+(rate-d)*$A53)*EurCall!AM52</f>
        <v>-2.0266120887115119E-5</v>
      </c>
      <c r="AM53">
        <f>-0.25*(sigma^2*$A53^2-(rate-d)*$A53)*EurCall!AN54-(-0.5*sigma^2*$A53^2-0.5*rate+1/dt)*EurCall!AN53-0.25*(sigma^2*$A53^2+(rate-d)*$A53)*EurCall!AN52</f>
        <v>-1.1772538763937403E-5</v>
      </c>
      <c r="AN53">
        <f>-0.25*(sigma^2*$A53^2-(rate-d)*$A53)*EurCall!AO54-(-0.5*sigma^2*$A53^2-0.5*rate+1/dt)*EurCall!AO53-0.25*(sigma^2*$A53^2+(rate-d)*$A53)*EurCall!AO52</f>
        <v>-6.5399136401470951E-6</v>
      </c>
      <c r="AO53">
        <f>-0.25*(sigma^2*$A53^2-(rate-d)*$A53)*EurCall!AP54-(-0.5*sigma^2*$A53^2-0.5*rate+1/dt)*EurCall!AP53-0.25*(sigma^2*$A53^2+(rate-d)*$A53)*EurCall!AP52</f>
        <v>-3.4509518719589528E-6</v>
      </c>
      <c r="AP53">
        <f>-0.25*(sigma^2*$A53^2-(rate-d)*$A53)*EurCall!AQ54-(-0.5*sigma^2*$A53^2-0.5*rate+1/dt)*EurCall!AQ53-0.25*(sigma^2*$A53^2+(rate-d)*$A53)*EurCall!AQ52</f>
        <v>-1.7153366067365664E-6</v>
      </c>
      <c r="AQ53">
        <f>-0.25*(sigma^2*$A53^2-(rate-d)*$A53)*EurCall!AR54-(-0.5*sigma^2*$A53^2-0.5*rate+1/dt)*EurCall!AR53-0.25*(sigma^2*$A53^2+(rate-d)*$A53)*EurCall!AR52</f>
        <v>-7.9483233467551436E-7</v>
      </c>
      <c r="AR53">
        <f>-0.25*(sigma^2*$A53^2-(rate-d)*$A53)*EurCall!AS54-(-0.5*sigma^2*$A53^2-0.5*rate+1/dt)*EurCall!AS53-0.25*(sigma^2*$A53^2+(rate-d)*$A53)*EurCall!AS52</f>
        <v>-3.3881571964479784E-7</v>
      </c>
      <c r="AS53">
        <f>-0.25*(sigma^2*$A53^2-(rate-d)*$A53)*EurCall!AT54-(-0.5*sigma^2*$A53^2-0.5*rate+1/dt)*EurCall!AT53-0.25*(sigma^2*$A53^2+(rate-d)*$A53)*EurCall!AT52</f>
        <v>-1.3060454002546893E-7</v>
      </c>
      <c r="AT53">
        <f>-0.25*(sigma^2*$A53^2-(rate-d)*$A53)*EurCall!AU54-(-0.5*sigma^2*$A53^2-0.5*rate+1/dt)*EurCall!AU53-0.25*(sigma^2*$A53^2+(rate-d)*$A53)*EurCall!AU52</f>
        <v>-4.450027809710989E-8</v>
      </c>
      <c r="AU53">
        <f>-0.25*(sigma^2*$A53^2-(rate-d)*$A53)*EurCall!AV54-(-0.5*sigma^2*$A53^2-0.5*rate+1/dt)*EurCall!AV53-0.25*(sigma^2*$A53^2+(rate-d)*$A53)*EurCall!AV52</f>
        <v>-1.298985720877541E-8</v>
      </c>
      <c r="AV53">
        <f>-0.25*(sigma^2*$A53^2-(rate-d)*$A53)*EurCall!AW54-(-0.5*sigma^2*$A53^2-0.5*rate+1/dt)*EurCall!AW53-0.25*(sigma^2*$A53^2+(rate-d)*$A53)*EurCall!AW52</f>
        <v>-3.1057545245799198E-9</v>
      </c>
      <c r="AW53">
        <f>-0.25*(sigma^2*$A53^2-(rate-d)*$A53)*EurCall!AX54-(-0.5*sigma^2*$A53^2-0.5*rate+1/dt)*EurCall!AX53-0.25*(sigma^2*$A53^2+(rate-d)*$A53)*EurCall!AX52</f>
        <v>-5.6724647972012935E-10</v>
      </c>
      <c r="AX53">
        <f>-0.25*(sigma^2*$A53^2-(rate-d)*$A53)*EurCall!AY54-(-0.5*sigma^2*$A53^2-0.5*rate+1/dt)*EurCall!AY53-0.25*(sigma^2*$A53^2+(rate-d)*$A53)*EurCall!AY52</f>
        <v>-6.9919840469835474E-11</v>
      </c>
      <c r="AY53">
        <f>-0.25*(sigma^2*$A53^2-(rate-d)*$A53)*EurCall!AZ54-(-0.5*sigma^2*$A53^2-0.5*rate+1/dt)*EurCall!AZ53-0.25*(sigma^2*$A53^2+(rate-d)*$A53)*EurCall!AZ52</f>
        <v>-4.3326348397104946E-12</v>
      </c>
      <c r="AZ53">
        <f>-0.25*(sigma^2*$A53^2-(rate-d)*$A53)*EurCall!BA54-(-0.5*sigma^2*$A53^2-0.5*rate+1/dt)*EurCall!BA53-0.25*(sigma^2*$A53^2+(rate-d)*$A53)*EurCall!BA52</f>
        <v>0</v>
      </c>
      <c r="BA53" s="6"/>
    </row>
    <row r="54" spans="1:53" x14ac:dyDescent="0.2">
      <c r="A54">
        <f t="shared" si="3"/>
        <v>11</v>
      </c>
      <c r="B54" s="3">
        <f t="shared" si="4"/>
        <v>22</v>
      </c>
      <c r="C54">
        <f>-0.25*(sigma^2*$A54^2-(rate-d)*$A54)*EurCall!D55-(-0.5*sigma^2*$A54^2-0.5*rate+1/dt)*EurCall!D54-0.25*(sigma^2*$A54^2+(rate-d)*$A54)*EurCall!D53</f>
        <v>-1.3249220679124367E-2</v>
      </c>
      <c r="D54">
        <f>-0.25*(sigma^2*$A54^2-(rate-d)*$A54)*EurCall!E55-(-0.5*sigma^2*$A54^2-0.5*rate+1/dt)*EurCall!E54-0.25*(sigma^2*$A54^2+(rate-d)*$A54)*EurCall!E53</f>
        <v>-1.1537203241089537E-2</v>
      </c>
      <c r="E54">
        <f>-0.25*(sigma^2*$A54^2-(rate-d)*$A54)*EurCall!F55-(-0.5*sigma^2*$A54^2-0.5*rate+1/dt)*EurCall!F54-0.25*(sigma^2*$A54^2+(rate-d)*$A54)*EurCall!F53</f>
        <v>-1.0007866111355405E-2</v>
      </c>
      <c r="F54">
        <f>-0.25*(sigma^2*$A54^2-(rate-d)*$A54)*EurCall!G55-(-0.5*sigma^2*$A54^2-0.5*rate+1/dt)*EurCall!G54-0.25*(sigma^2*$A54^2+(rate-d)*$A54)*EurCall!G53</f>
        <v>-8.6464394312759998E-3</v>
      </c>
      <c r="G54">
        <f>-0.25*(sigma^2*$A54^2-(rate-d)*$A54)*EurCall!H55-(-0.5*sigma^2*$A54^2-0.5*rate+1/dt)*EurCall!H54-0.25*(sigma^2*$A54^2+(rate-d)*$A54)*EurCall!H53</f>
        <v>-7.438873453863095E-3</v>
      </c>
      <c r="H54">
        <f>-0.25*(sigma^2*$A54^2-(rate-d)*$A54)*EurCall!I55-(-0.5*sigma^2*$A54^2-0.5*rate+1/dt)*EurCall!I54-0.25*(sigma^2*$A54^2+(rate-d)*$A54)*EurCall!I53</f>
        <v>-6.3718400737545564E-3</v>
      </c>
      <c r="I54">
        <f>-0.25*(sigma^2*$A54^2-(rate-d)*$A54)*EurCall!J55-(-0.5*sigma^2*$A54^2-0.5*rate+1/dt)*EurCall!J54-0.25*(sigma^2*$A54^2+(rate-d)*$A54)*EurCall!J53</f>
        <v>-5.4327321094109178E-3</v>
      </c>
      <c r="J54">
        <f>-0.25*(sigma^2*$A54^2-(rate-d)*$A54)*EurCall!K55-(-0.5*sigma^2*$A54^2-0.5*rate+1/dt)*EurCall!K54-0.25*(sigma^2*$A54^2+(rate-d)*$A54)*EurCall!K53</f>
        <v>-4.6096602905708441E-3</v>
      </c>
      <c r="K54">
        <f>-0.25*(sigma^2*$A54^2-(rate-d)*$A54)*EurCall!L55-(-0.5*sigma^2*$A54^2-0.5*rate+1/dt)*EurCall!L54-0.25*(sigma^2*$A54^2+(rate-d)*$A54)*EurCall!L53</f>
        <v>-3.8914479180333678E-3</v>
      </c>
      <c r="L54">
        <f>-0.25*(sigma^2*$A54^2-(rate-d)*$A54)*EurCall!M55-(-0.5*sigma^2*$A54^2-0.5*rate+1/dt)*EurCall!M54-0.25*(sigma^2*$A54^2+(rate-d)*$A54)*EurCall!M53</f>
        <v>-3.2676231782929844E-3</v>
      </c>
      <c r="M54">
        <f>-0.25*(sigma^2*$A54^2-(rate-d)*$A54)*EurCall!N55-(-0.5*sigma^2*$A54^2-0.5*rate+1/dt)*EurCall!N54-0.25*(sigma^2*$A54^2+(rate-d)*$A54)*EurCall!N53</f>
        <v>-2.7284091123902501E-3</v>
      </c>
      <c r="N54">
        <f>-0.25*(sigma^2*$A54^2-(rate-d)*$A54)*EurCall!O55-(-0.5*sigma^2*$A54^2-0.5*rate+1/dt)*EurCall!O54-0.25*(sigma^2*$A54^2+(rate-d)*$A54)*EurCall!O53</f>
        <v>-2.2647112564850554E-3</v>
      </c>
      <c r="O54">
        <f>-0.25*(sigma^2*$A54^2-(rate-d)*$A54)*EurCall!P55-(-0.5*sigma^2*$A54^2-0.5*rate+1/dt)*EurCall!P54-0.25*(sigma^2*$A54^2+(rate-d)*$A54)*EurCall!P53</f>
        <v>-1.868102991010416E-3</v>
      </c>
      <c r="P54">
        <f>-0.25*(sigma^2*$A54^2-(rate-d)*$A54)*EurCall!Q55-(-0.5*sigma^2*$A54^2-0.5*rate+1/dt)*EurCall!Q54-0.25*(sigma^2*$A54^2+(rate-d)*$A54)*EurCall!Q53</f>
        <v>-1.530808655685E-3</v>
      </c>
      <c r="Q54">
        <f>-0.25*(sigma^2*$A54^2-(rate-d)*$A54)*EurCall!R55-(-0.5*sigma^2*$A54^2-0.5*rate+1/dt)*EurCall!R54-0.25*(sigma^2*$A54^2+(rate-d)*$A54)*EurCall!R53</f>
        <v>-1.2456845089783347E-3</v>
      </c>
      <c r="R54">
        <f>-0.25*(sigma^2*$A54^2-(rate-d)*$A54)*EurCall!S55-(-0.5*sigma^2*$A54^2-0.5*rate+1/dt)*EurCall!S54-0.25*(sigma^2*$A54^2+(rate-d)*$A54)*EurCall!S53</f>
        <v>-1.0061976326188077E-3</v>
      </c>
      <c r="S54">
        <f>-0.25*(sigma^2*$A54^2-(rate-d)*$A54)*EurCall!T55-(-0.5*sigma^2*$A54^2-0.5*rate+1/dt)*EurCall!T54-0.25*(sigma^2*$A54^2+(rate-d)*$A54)*EurCall!T53</f>
        <v>-8.0640290415310396E-4</v>
      </c>
      <c r="T54">
        <f>-0.25*(sigma^2*$A54^2-(rate-d)*$A54)*EurCall!U55-(-0.5*sigma^2*$A54^2-0.5*rate+1/dt)*EurCall!U54-0.25*(sigma^2*$A54^2+(rate-d)*$A54)*EurCall!U53</f>
        <v>-6.4091818310368963E-4</v>
      </c>
      <c r="U54">
        <f>-0.25*(sigma^2*$A54^2-(rate-d)*$A54)*EurCall!V55-(-0.5*sigma^2*$A54^2-0.5*rate+1/dt)*EurCall!V54-0.25*(sigma^2*$A54^2+(rate-d)*$A54)*EurCall!V53</f>
        <v>-5.0489787857986124E-4</v>
      </c>
      <c r="V54">
        <f>-0.25*(sigma^2*$A54^2-(rate-d)*$A54)*EurCall!W55-(-0.5*sigma^2*$A54^2-0.5*rate+1/dt)*EurCall!W54-0.25*(sigma^2*$A54^2+(rate-d)*$A54)*EurCall!W53</f>
        <v>-3.9400508788363148E-4</v>
      </c>
      <c r="W54">
        <f>-0.25*(sigma^2*$A54^2-(rate-d)*$A54)*EurCall!X55-(-0.5*sigma^2*$A54^2-0.5*rate+1/dt)*EurCall!X54-0.25*(sigma^2*$A54^2+(rate-d)*$A54)*EurCall!X53</f>
        <v>-3.0438251627659338E-4</v>
      </c>
      <c r="X54">
        <f>-0.25*(sigma^2*$A54^2-(rate-d)*$A54)*EurCall!Y55-(-0.5*sigma^2*$A54^2-0.5*rate+1/dt)*EurCall!Y54-0.25*(sigma^2*$A54^2+(rate-d)*$A54)*EurCall!Y53</f>
        <v>-2.3262240715966442E-4</v>
      </c>
      <c r="Y54">
        <f>-0.25*(sigma^2*$A54^2-(rate-d)*$A54)*EurCall!Z55-(-0.5*sigma^2*$A54^2-0.5*rate+1/dt)*EurCall!Z54-0.25*(sigma^2*$A54^2+(rate-d)*$A54)*EurCall!Z53</f>
        <v>-1.7573572895116259E-4</v>
      </c>
      <c r="Z54">
        <f>-0.25*(sigma^2*$A54^2-(rate-d)*$A54)*EurCall!AA55-(-0.5*sigma^2*$A54^2-0.5*rate+1/dt)*EurCall!AA54-0.25*(sigma^2*$A54^2+(rate-d)*$A54)*EurCall!AA53</f>
        <v>-1.3112087938975018E-4</v>
      </c>
      <c r="AA54">
        <f>-0.25*(sigma^2*$A54^2-(rate-d)*$A54)*EurCall!AB55-(-0.5*sigma^2*$A54^2-0.5*rate+1/dt)*EurCall!AB54-0.25*(sigma^2*$A54^2+(rate-d)*$A54)*EurCall!AB53</f>
        <v>-9.6532179280667829E-5</v>
      </c>
      <c r="AB54">
        <f>-0.25*(sigma^2*$A54^2-(rate-d)*$A54)*EurCall!AC55-(-0.5*sigma^2*$A54^2-0.5*rate+1/dt)*EurCall!AC54-0.25*(sigma^2*$A54^2+(rate-d)*$A54)*EurCall!AC53</f>
        <v>-7.0048435286807119E-5</v>
      </c>
      <c r="AC54">
        <f>-0.25*(sigma^2*$A54^2-(rate-d)*$A54)*EurCall!AD55-(-0.5*sigma^2*$A54^2-0.5*rate+1/dt)*EurCall!AD54-0.25*(sigma^2*$A54^2+(rate-d)*$A54)*EurCall!AD53</f>
        <v>-5.0041854695239697E-5</v>
      </c>
      <c r="AD54">
        <f>-0.25*(sigma^2*$A54^2-(rate-d)*$A54)*EurCall!AE55-(-0.5*sigma^2*$A54^2-0.5*rate+1/dt)*EurCall!AE54-0.25*(sigma^2*$A54^2+(rate-d)*$A54)*EurCall!AE53</f>
        <v>-3.5147593654452474E-5</v>
      </c>
      <c r="AE54">
        <f>-0.25*(sigma^2*$A54^2-(rate-d)*$A54)*EurCall!AF55-(-0.5*sigma^2*$A54^2-0.5*rate+1/dt)*EurCall!AF54-0.25*(sigma^2*$A54^2+(rate-d)*$A54)*EurCall!AF53</f>
        <v>-2.4234213726645433E-5</v>
      </c>
      <c r="AF54">
        <f>-0.25*(sigma^2*$A54^2-(rate-d)*$A54)*EurCall!AG55-(-0.5*sigma^2*$A54^2-0.5*rate+1/dt)*EurCall!AG54-0.25*(sigma^2*$A54^2+(rate-d)*$A54)*EurCall!AG53</f>
        <v>-1.6375309369215462E-5</v>
      </c>
      <c r="AG54">
        <f>-0.25*(sigma^2*$A54^2-(rate-d)*$A54)*EurCall!AH55-(-0.5*sigma^2*$A54^2-0.5*rate+1/dt)*EurCall!AH54-0.25*(sigma^2*$A54^2+(rate-d)*$A54)*EurCall!AH53</f>
        <v>-1.0822550904715398E-5</v>
      </c>
      <c r="AH54">
        <f>-0.25*(sigma^2*$A54^2-(rate-d)*$A54)*EurCall!AI55-(-0.5*sigma^2*$A54^2-0.5*rate+1/dt)*EurCall!AI54-0.25*(sigma^2*$A54^2+(rate-d)*$A54)*EurCall!AI53</f>
        <v>-6.9803635663962465E-6</v>
      </c>
      <c r="AI54">
        <f>-0.25*(sigma^2*$A54^2-(rate-d)*$A54)*EurCall!AJ55-(-0.5*sigma^2*$A54^2-0.5*rate+1/dt)*EurCall!AJ54-0.25*(sigma^2*$A54^2+(rate-d)*$A54)*EurCall!AJ53</f>
        <v>-4.382433412227371E-6</v>
      </c>
      <c r="AJ54">
        <f>-0.25*(sigma^2*$A54^2-(rate-d)*$A54)*EurCall!AK55-(-0.5*sigma^2*$A54^2-0.5*rate+1/dt)*EurCall!AK54-0.25*(sigma^2*$A54^2+(rate-d)*$A54)*EurCall!AK53</f>
        <v>-2.6701956030139469E-6</v>
      </c>
      <c r="AK54">
        <f>-0.25*(sigma^2*$A54^2-(rate-d)*$A54)*EurCall!AL55-(-0.5*sigma^2*$A54^2-0.5*rate+1/dt)*EurCall!AL54-0.25*(sigma^2*$A54^2+(rate-d)*$A54)*EurCall!AL53</f>
        <v>-1.5734203158971482E-6</v>
      </c>
      <c r="AL54">
        <f>-0.25*(sigma^2*$A54^2-(rate-d)*$A54)*EurCall!AM55-(-0.5*sigma^2*$A54^2-0.5*rate+1/dt)*EurCall!AM54-0.25*(sigma^2*$A54^2+(rate-d)*$A54)*EurCall!AM53</f>
        <v>-8.9296727437955424E-7</v>
      </c>
      <c r="AM54">
        <f>-0.25*(sigma^2*$A54^2-(rate-d)*$A54)*EurCall!AN55-(-0.5*sigma^2*$A54^2-0.5*rate+1/dt)*EurCall!AN54-0.25*(sigma^2*$A54^2+(rate-d)*$A54)*EurCall!AN53</f>
        <v>-4.8573268573267487E-7</v>
      </c>
      <c r="AN54">
        <f>-0.25*(sigma^2*$A54^2-(rate-d)*$A54)*EurCall!AO55-(-0.5*sigma^2*$A54^2-0.5*rate+1/dt)*EurCall!AO54-0.25*(sigma^2*$A54^2+(rate-d)*$A54)*EurCall!AO53</f>
        <v>-2.517637616519285E-7</v>
      </c>
      <c r="AO54">
        <f>-0.25*(sigma^2*$A54^2-(rate-d)*$A54)*EurCall!AP55-(-0.5*sigma^2*$A54^2-0.5*rate+1/dt)*EurCall!AP54-0.25*(sigma^2*$A54^2+(rate-d)*$A54)*EurCall!AP53</f>
        <v>-1.2346772931474437E-7</v>
      </c>
      <c r="AP54">
        <f>-0.25*(sigma^2*$A54^2-(rate-d)*$A54)*EurCall!AQ55-(-0.5*sigma^2*$A54^2-0.5*rate+1/dt)*EurCall!AQ54-0.25*(sigma^2*$A54^2+(rate-d)*$A54)*EurCall!AQ53</f>
        <v>-5.6796343732106989E-8</v>
      </c>
      <c r="AQ54">
        <f>-0.25*(sigma^2*$A54^2-(rate-d)*$A54)*EurCall!AR55-(-0.5*sigma^2*$A54^2-0.5*rate+1/dt)*EurCall!AR54-0.25*(sigma^2*$A54^2+(rate-d)*$A54)*EurCall!AR53</f>
        <v>-2.4245596124560137E-8</v>
      </c>
      <c r="AR54">
        <f>-0.25*(sigma^2*$A54^2-(rate-d)*$A54)*EurCall!AS55-(-0.5*sigma^2*$A54^2-0.5*rate+1/dt)*EurCall!AS54-0.25*(sigma^2*$A54^2+(rate-d)*$A54)*EurCall!AS53</f>
        <v>-9.4758521026155012E-9</v>
      </c>
      <c r="AS54">
        <f>-0.25*(sigma^2*$A54^2-(rate-d)*$A54)*EurCall!AT55-(-0.5*sigma^2*$A54^2-0.5*rate+1/dt)*EurCall!AT54-0.25*(sigma^2*$A54^2+(rate-d)*$A54)*EurCall!AT53</f>
        <v>-3.3322298147582704E-9</v>
      </c>
      <c r="AT54">
        <f>-0.25*(sigma^2*$A54^2-(rate-d)*$A54)*EurCall!AU55-(-0.5*sigma^2*$A54^2-0.5*rate+1/dt)*EurCall!AU54-0.25*(sigma^2*$A54^2+(rate-d)*$A54)*EurCall!AU53</f>
        <v>-1.0305212146403739E-9</v>
      </c>
      <c r="AU54">
        <f>-0.25*(sigma^2*$A54^2-(rate-d)*$A54)*EurCall!AV55-(-0.5*sigma^2*$A54^2-0.5*rate+1/dt)*EurCall!AV54-0.25*(sigma^2*$A54^2+(rate-d)*$A54)*EurCall!AV53</f>
        <v>-2.7168880115542092E-10</v>
      </c>
      <c r="AV54">
        <f>-0.25*(sigma^2*$A54^2-(rate-d)*$A54)*EurCall!AW55-(-0.5*sigma^2*$A54^2-0.5*rate+1/dt)*EurCall!AW54-0.25*(sigma^2*$A54^2+(rate-d)*$A54)*EurCall!AW53</f>
        <v>-5.8404240818031909E-11</v>
      </c>
      <c r="AW54">
        <f>-0.25*(sigma^2*$A54^2-(rate-d)*$A54)*EurCall!AX55-(-0.5*sigma^2*$A54^2-0.5*rate+1/dt)*EurCall!AX54-0.25*(sigma^2*$A54^2+(rate-d)*$A54)*EurCall!AX53</f>
        <v>-9.5547592182956918E-12</v>
      </c>
      <c r="AX54">
        <f>-0.25*(sigma^2*$A54^2-(rate-d)*$A54)*EurCall!AY55-(-0.5*sigma^2*$A54^2-0.5*rate+1/dt)*EurCall!AY54-0.25*(sigma^2*$A54^2+(rate-d)*$A54)*EurCall!AY53</f>
        <v>-1.0520709514393513E-12</v>
      </c>
      <c r="AY54">
        <f>-0.25*(sigma^2*$A54^2-(rate-d)*$A54)*EurCall!AZ55-(-0.5*sigma^2*$A54^2-0.5*rate+1/dt)*EurCall!AZ54-0.25*(sigma^2*$A54^2+(rate-d)*$A54)*EurCall!AZ53</f>
        <v>-5.81557631958456E-14</v>
      </c>
      <c r="AZ54">
        <f>-0.25*(sigma^2*$A54^2-(rate-d)*$A54)*EurCall!BA55-(-0.5*sigma^2*$A54^2-0.5*rate+1/dt)*EurCall!BA54-0.25*(sigma^2*$A54^2+(rate-d)*$A54)*EurCall!BA53</f>
        <v>0</v>
      </c>
      <c r="BA54" s="6"/>
    </row>
    <row r="55" spans="1:53" x14ac:dyDescent="0.2">
      <c r="A55">
        <f t="shared" si="3"/>
        <v>10</v>
      </c>
      <c r="B55" s="3">
        <f t="shared" si="4"/>
        <v>20</v>
      </c>
      <c r="C55">
        <f>-0.25*(sigma^2*$A55^2-(rate-d)*$A55)*EurCall!D56-(-0.5*sigma^2*$A55^2-0.5*rate+1/dt)*EurCall!D55-0.25*(sigma^2*$A55^2+(rate-d)*$A55)*EurCall!D54</f>
        <v>-1.5512341758611985E-3</v>
      </c>
      <c r="D55">
        <f>-0.25*(sigma^2*$A55^2-(rate-d)*$A55)*EurCall!E56-(-0.5*sigma^2*$A55^2-0.5*rate+1/dt)*EurCall!E55-0.25*(sigma^2*$A55^2+(rate-d)*$A55)*EurCall!E54</f>
        <v>-1.322356775821679E-3</v>
      </c>
      <c r="E55">
        <f>-0.25*(sigma^2*$A55^2-(rate-d)*$A55)*EurCall!F56-(-0.5*sigma^2*$A55^2-0.5*rate+1/dt)*EurCall!F55-0.25*(sigma^2*$A55^2+(rate-d)*$A55)*EurCall!F54</f>
        <v>-1.1224133252087146E-3</v>
      </c>
      <c r="F55">
        <f>-0.25*(sigma^2*$A55^2-(rate-d)*$A55)*EurCall!G56-(-0.5*sigma^2*$A55^2-0.5*rate+1/dt)*EurCall!G55-0.25*(sigma^2*$A55^2+(rate-d)*$A55)*EurCall!G54</f>
        <v>-9.4843273039190356E-4</v>
      </c>
      <c r="G55">
        <f>-0.25*(sigma^2*$A55^2-(rate-d)*$A55)*EurCall!H56-(-0.5*sigma^2*$A55^2-0.5*rate+1/dt)*EurCall!H55-0.25*(sigma^2*$A55^2+(rate-d)*$A55)*EurCall!H54</f>
        <v>-7.9766595966456605E-4</v>
      </c>
      <c r="H55">
        <f>-0.25*(sigma^2*$A55^2-(rate-d)*$A55)*EurCall!I56-(-0.5*sigma^2*$A55^2-0.5*rate+1/dt)*EurCall!I55-0.25*(sigma^2*$A55^2+(rate-d)*$A55)*EurCall!I54</f>
        <v>-6.67577627358385E-4</v>
      </c>
      <c r="I55">
        <f>-0.25*(sigma^2*$A55^2-(rate-d)*$A55)*EurCall!J56-(-0.5*sigma^2*$A55^2-0.5*rate+1/dt)*EurCall!J55-0.25*(sigma^2*$A55^2+(rate-d)*$A55)*EurCall!J54</f>
        <v>-5.5583726865597041E-4</v>
      </c>
      <c r="J55">
        <f>-0.25*(sigma^2*$A55^2-(rate-d)*$A55)*EurCall!K56-(-0.5*sigma^2*$A55^2-0.5*rate+1/dt)*EurCall!K55-0.25*(sigma^2*$A55^2+(rate-d)*$A55)*EurCall!K54</f>
        <v>-4.6031034423405903E-4</v>
      </c>
      <c r="K55">
        <f>-0.25*(sigma^2*$A55^2-(rate-d)*$A55)*EurCall!L56-(-0.5*sigma^2*$A55^2-0.5*rate+1/dt)*EurCall!L55-0.25*(sigma^2*$A55^2+(rate-d)*$A55)*EurCall!L54</f>
        <v>-3.7904901630107644E-4</v>
      </c>
      <c r="L55">
        <f>-0.25*(sigma^2*$A55^2-(rate-d)*$A55)*EurCall!M56-(-0.5*sigma^2*$A55^2-0.5*rate+1/dt)*EurCall!M55-0.25*(sigma^2*$A55^2+(rate-d)*$A55)*EurCall!M54</f>
        <v>-3.1028273978772614E-4</v>
      </c>
      <c r="M55">
        <f>-0.25*(sigma^2*$A55^2-(rate-d)*$A55)*EurCall!N56-(-0.5*sigma^2*$A55^2-0.5*rate+1/dt)*EurCall!N55-0.25*(sigma^2*$A55^2+(rate-d)*$A55)*EurCall!N54</f>
        <v>-2.5240871436648169E-4</v>
      </c>
      <c r="N55">
        <f>-0.25*(sigma^2*$A55^2-(rate-d)*$A55)*EurCall!O56-(-0.5*sigma^2*$A55^2-0.5*rate+1/dt)*EurCall!O55-0.25*(sigma^2*$A55^2+(rate-d)*$A55)*EurCall!O54</f>
        <v>-2.0398224457327695E-4</v>
      </c>
      <c r="O55">
        <f>-0.25*(sigma^2*$A55^2-(rate-d)*$A55)*EurCall!P56-(-0.5*sigma^2*$A55^2-0.5*rate+1/dt)*EurCall!P55-0.25*(sigma^2*$A55^2+(rate-d)*$A55)*EurCall!P54</f>
        <v>-1.6370705654042238E-4</v>
      </c>
      <c r="P55">
        <f>-0.25*(sigma^2*$A55^2-(rate-d)*$A55)*EurCall!Q56-(-0.5*sigma^2*$A55^2-0.5*rate+1/dt)*EurCall!Q55-0.25*(sigma^2*$A55^2+(rate-d)*$A55)*EurCall!Q54</f>
        <v>-1.304256206829261E-4</v>
      </c>
      <c r="Q55">
        <f>-0.25*(sigma^2*$A55^2-(rate-d)*$A55)*EurCall!R56-(-0.5*sigma^2*$A55^2-0.5*rate+1/dt)*EurCall!R55-0.25*(sigma^2*$A55^2+(rate-d)*$A55)*EurCall!R54</f>
        <v>-1.0310953007190695E-4</v>
      </c>
      <c r="R55">
        <f>-0.25*(sigma^2*$A55^2-(rate-d)*$A55)*EurCall!S56-(-0.5*sigma^2*$A55^2-0.5*rate+1/dt)*EurCall!S55-0.25*(sigma^2*$A55^2+(rate-d)*$A55)*EurCall!S54</f>
        <v>-8.0849984142418422E-5</v>
      </c>
      <c r="S55">
        <f>-0.25*(sigma^2*$A55^2-(rate-d)*$A55)*EurCall!T56-(-0.5*sigma^2*$A55^2-0.5*rate+1/dt)*EurCall!T55-0.25*(sigma^2*$A55^2+(rate-d)*$A55)*EurCall!T54</f>
        <v>-6.2848426786447605E-5</v>
      </c>
      <c r="T55">
        <f>-0.25*(sigma^2*$A55^2-(rate-d)*$A55)*EurCall!U56-(-0.5*sigma^2*$A55^2-0.5*rate+1/dt)*EurCall!U55-0.25*(sigma^2*$A55^2+(rate-d)*$A55)*EurCall!U54</f>
        <v>-4.8407386747885757E-5</v>
      </c>
      <c r="U55">
        <f>-0.25*(sigma^2*$A55^2-(rate-d)*$A55)*EurCall!V56-(-0.5*sigma^2*$A55^2-0.5*rate+1/dt)*EurCall!V55-0.25*(sigma^2*$A55^2+(rate-d)*$A55)*EurCall!V54</f>
        <v>-3.6921566544017504E-5</v>
      </c>
      <c r="V55">
        <f>-0.25*(sigma^2*$A55^2-(rate-d)*$A55)*EurCall!W56-(-0.5*sigma^2*$A55^2-0.5*rate+1/dt)*EurCall!W55-0.25*(sigma^2*$A55^2+(rate-d)*$A55)*EurCall!W54</f>
        <v>-2.7869223874345698E-5</v>
      </c>
      <c r="W55">
        <f>-0.25*(sigma^2*$A55^2-(rate-d)*$A55)*EurCall!X56-(-0.5*sigma^2*$A55^2-0.5*rate+1/dt)*EurCall!X55-0.25*(sigma^2*$A55^2+(rate-d)*$A55)*EurCall!X54</f>
        <v>-2.080388663819029E-5</v>
      </c>
      <c r="X55">
        <f>-0.25*(sigma^2*$A55^2-(rate-d)*$A55)*EurCall!Y56-(-0.5*sigma^2*$A55^2-0.5*rate+1/dt)*EurCall!Y55-0.25*(sigma^2*$A55^2+(rate-d)*$A55)*EurCall!Y54</f>
        <v>-1.5346439273683954E-5</v>
      </c>
      <c r="Y55">
        <f>-0.25*(sigma^2*$A55^2-(rate-d)*$A55)*EurCall!Z56-(-0.5*sigma^2*$A55^2-0.5*rate+1/dt)*EurCall!Z55-0.25*(sigma^2*$A55^2+(rate-d)*$A55)*EurCall!Z54</f>
        <v>-1.1177614170441246E-5</v>
      </c>
      <c r="Z55">
        <f>-0.25*(sigma^2*$A55^2-(rate-d)*$A55)*EurCall!AA56-(-0.5*sigma^2*$A55^2-0.5*rate+1/dt)*EurCall!AA55-0.25*(sigma^2*$A55^2+(rate-d)*$A55)*EurCall!AA54</f>
        <v>-8.0309174271119569E-6</v>
      </c>
      <c r="AA55">
        <f>-0.25*(sigma^2*$A55^2-(rate-d)*$A55)*EurCall!AB56-(-0.5*sigma^2*$A55^2-0.5*rate+1/dt)*EurCall!AB55-0.25*(sigma^2*$A55^2+(rate-d)*$A55)*EurCall!AB54</f>
        <v>-5.6860132680090003E-6</v>
      </c>
      <c r="AB55">
        <f>-0.25*(sigma^2*$A55^2-(rate-d)*$A55)*EurCall!AC56-(-0.5*sigma^2*$A55^2-0.5*rate+1/dt)*EurCall!AC55-0.25*(sigma^2*$A55^2+(rate-d)*$A55)*EurCall!AC54</f>
        <v>-3.9625860595608149E-6</v>
      </c>
      <c r="AC55">
        <f>-0.25*(sigma^2*$A55^2-(rate-d)*$A55)*EurCall!AD56-(-0.5*sigma^2*$A55^2-0.5*rate+1/dt)*EurCall!AD55-0.25*(sigma^2*$A55^2+(rate-d)*$A55)*EurCall!AD54</f>
        <v>-2.7146931522716165E-6</v>
      </c>
      <c r="AD55">
        <f>-0.25*(sigma^2*$A55^2-(rate-d)*$A55)*EurCall!AE56-(-0.5*sigma^2*$A55^2-0.5*rate+1/dt)*EurCall!AE55-0.25*(sigma^2*$A55^2+(rate-d)*$A55)*EurCall!AE54</f>
        <v>-1.8256158073069391E-6</v>
      </c>
      <c r="AE55">
        <f>-0.25*(sigma^2*$A55^2-(rate-d)*$A55)*EurCall!AF56-(-0.5*sigma^2*$A55^2-0.5*rate+1/dt)*EurCall!AF55-0.25*(sigma^2*$A55^2+(rate-d)*$A55)*EurCall!AF54</f>
        <v>-1.2032093537711114E-6</v>
      </c>
      <c r="AF55">
        <f>-0.25*(sigma^2*$A55^2-(rate-d)*$A55)*EurCall!AG56-(-0.5*sigma^2*$A55^2-0.5*rate+1/dt)*EurCall!AG55-0.25*(sigma^2*$A55^2+(rate-d)*$A55)*EurCall!AG54</f>
        <v>-7.7574758203616498E-7</v>
      </c>
      <c r="AG55">
        <f>-0.25*(sigma^2*$A55^2-(rate-d)*$A55)*EurCall!AH56-(-0.5*sigma^2*$A55^2-0.5*rate+1/dt)*EurCall!AH55-0.25*(sigma^2*$A55^2+(rate-d)*$A55)*EurCall!AH54</f>
        <v>-4.8825034095260174E-7</v>
      </c>
      <c r="AH55">
        <f>-0.25*(sigma^2*$A55^2-(rate-d)*$A55)*EurCall!AI56-(-0.5*sigma^2*$A55^2-0.5*rate+1/dt)*EurCall!AI55-0.25*(sigma^2*$A55^2+(rate-d)*$A55)*EurCall!AI54</f>
        <v>-2.9927751261859218E-7</v>
      </c>
      <c r="AI55">
        <f>-0.25*(sigma^2*$A55^2-(rate-d)*$A55)*EurCall!AJ56-(-0.5*sigma^2*$A55^2-0.5*rate+1/dt)*EurCall!AJ55-0.25*(sigma^2*$A55^2+(rate-d)*$A55)*EurCall!AJ54</f>
        <v>-1.7816713360052316E-7</v>
      </c>
      <c r="AJ55">
        <f>-0.25*(sigma^2*$A55^2-(rate-d)*$A55)*EurCall!AK56-(-0.5*sigma^2*$A55^2-0.5*rate+1/dt)*EurCall!AK55-0.25*(sigma^2*$A55^2+(rate-d)*$A55)*EurCall!AK54</f>
        <v>-1.0269056333327908E-7</v>
      </c>
      <c r="AK55">
        <f>-0.25*(sigma^2*$A55^2-(rate-d)*$A55)*EurCall!AL56-(-0.5*sigma^2*$A55^2-0.5*rate+1/dt)*EurCall!AL55-0.25*(sigma^2*$A55^2+(rate-d)*$A55)*EurCall!AL54</f>
        <v>-5.7093411846020851E-8</v>
      </c>
      <c r="AL55">
        <f>-0.25*(sigma^2*$A55^2-(rate-d)*$A55)*EurCall!AM56-(-0.5*sigma^2*$A55^2-0.5*rate+1/dt)*EurCall!AM55-0.25*(sigma^2*$A55^2+(rate-d)*$A55)*EurCall!AM54</f>
        <v>-3.0487562142871033E-8</v>
      </c>
      <c r="AM55">
        <f>-0.25*(sigma^2*$A55^2-(rate-d)*$A55)*EurCall!AN56-(-0.5*sigma^2*$A55^2-0.5*rate+1/dt)*EurCall!AN55-0.25*(sigma^2*$A55^2+(rate-d)*$A55)*EurCall!AN54</f>
        <v>-1.5557171604187906E-8</v>
      </c>
      <c r="AN55">
        <f>-0.25*(sigma^2*$A55^2-(rate-d)*$A55)*EurCall!AO56-(-0.5*sigma^2*$A55^2-0.5*rate+1/dt)*EurCall!AO55-0.25*(sigma^2*$A55^2+(rate-d)*$A55)*EurCall!AO54</f>
        <v>-7.5400997362174451E-9</v>
      </c>
      <c r="AO55">
        <f>-0.25*(sigma^2*$A55^2-(rate-d)*$A55)*EurCall!AP56-(-0.5*sigma^2*$A55^2-0.5*rate+1/dt)*EurCall!AP55-0.25*(sigma^2*$A55^2+(rate-d)*$A55)*EurCall!AP54</f>
        <v>-3.4458403986562694E-9</v>
      </c>
      <c r="AP55">
        <f>-0.25*(sigma^2*$A55^2-(rate-d)*$A55)*EurCall!AQ56-(-0.5*sigma^2*$A55^2-0.5*rate+1/dt)*EurCall!AQ55-0.25*(sigma^2*$A55^2+(rate-d)*$A55)*EurCall!AQ54</f>
        <v>-1.4717471823797348E-9</v>
      </c>
      <c r="AQ55">
        <f>-0.25*(sigma^2*$A55^2-(rate-d)*$A55)*EurCall!AR56-(-0.5*sigma^2*$A55^2-0.5*rate+1/dt)*EurCall!AR55-0.25*(sigma^2*$A55^2+(rate-d)*$A55)*EurCall!AR54</f>
        <v>-5.8109392949393487E-10</v>
      </c>
      <c r="AR55">
        <f>-0.25*(sigma^2*$A55^2-(rate-d)*$A55)*EurCall!AS56-(-0.5*sigma^2*$A55^2-0.5*rate+1/dt)*EurCall!AS55-0.25*(sigma^2*$A55^2+(rate-d)*$A55)*EurCall!AS54</f>
        <v>-2.0921770745789444E-10</v>
      </c>
      <c r="AS55">
        <f>-0.25*(sigma^2*$A55^2-(rate-d)*$A55)*EurCall!AT56-(-0.5*sigma^2*$A55^2-0.5*rate+1/dt)*EurCall!AT55-0.25*(sigma^2*$A55^2+(rate-d)*$A55)*EurCall!AT54</f>
        <v>-6.7502327634851277E-11</v>
      </c>
      <c r="AT55">
        <f>-0.25*(sigma^2*$A55^2-(rate-d)*$A55)*EurCall!AU56-(-0.5*sigma^2*$A55^2-0.5*rate+1/dt)*EurCall!AU55-0.25*(sigma^2*$A55^2+(rate-d)*$A55)*EurCall!AU54</f>
        <v>-1.907673004017252E-11</v>
      </c>
      <c r="AU55">
        <f>-0.25*(sigma^2*$A55^2-(rate-d)*$A55)*EurCall!AV56-(-0.5*sigma^2*$A55^2-0.5*rate+1/dt)*EurCall!AV55-0.25*(sigma^2*$A55^2+(rate-d)*$A55)*EurCall!AV54</f>
        <v>-4.57862077582345E-12</v>
      </c>
      <c r="AV55">
        <f>-0.25*(sigma^2*$A55^2-(rate-d)*$A55)*EurCall!AW56-(-0.5*sigma^2*$A55^2-0.5*rate+1/dt)*EurCall!AW55-0.25*(sigma^2*$A55^2+(rate-d)*$A55)*EurCall!AW54</f>
        <v>-8.9300909047040429E-13</v>
      </c>
      <c r="AW55">
        <f>-0.25*(sigma^2*$A55^2-(rate-d)*$A55)*EurCall!AX56-(-0.5*sigma^2*$A55^2-0.5*rate+1/dt)*EurCall!AX55-0.25*(sigma^2*$A55^2+(rate-d)*$A55)*EurCall!AX54</f>
        <v>-1.3218626843488446E-13</v>
      </c>
      <c r="AX55">
        <f>-0.25*(sigma^2*$A55^2-(rate-d)*$A55)*EurCall!AY56-(-0.5*sigma^2*$A55^2-0.5*rate+1/dt)*EurCall!AY55-0.25*(sigma^2*$A55^2+(rate-d)*$A55)*EurCall!AY54</f>
        <v>-1.3144200735555065E-14</v>
      </c>
      <c r="AY55">
        <f>-0.25*(sigma^2*$A55^2-(rate-d)*$A55)*EurCall!AZ56-(-0.5*sigma^2*$A55^2-0.5*rate+1/dt)*EurCall!AZ55-0.25*(sigma^2*$A55^2+(rate-d)*$A55)*EurCall!AZ54</f>
        <v>-6.5553570569330922E-16</v>
      </c>
      <c r="AZ55">
        <f>-0.25*(sigma^2*$A55^2-(rate-d)*$A55)*EurCall!BA56-(-0.5*sigma^2*$A55^2-0.5*rate+1/dt)*EurCall!BA55-0.25*(sigma^2*$A55^2+(rate-d)*$A55)*EurCall!BA54</f>
        <v>0</v>
      </c>
      <c r="BA55" s="6"/>
    </row>
    <row r="56" spans="1:53" x14ac:dyDescent="0.2">
      <c r="A56">
        <f t="shared" si="3"/>
        <v>9</v>
      </c>
      <c r="B56" s="3">
        <f t="shared" si="4"/>
        <v>18</v>
      </c>
      <c r="C56">
        <f>-0.25*(sigma^2*$A56^2-(rate-d)*$A56)*EurCall!D57-(-0.5*sigma^2*$A56^2-0.5*rate+1/dt)*EurCall!D56-0.25*(sigma^2*$A56^2+(rate-d)*$A56)*EurCall!D55</f>
        <v>-1.3902667979395341E-4</v>
      </c>
      <c r="D56">
        <f>-0.25*(sigma^2*$A56^2-(rate-d)*$A56)*EurCall!E57-(-0.5*sigma^2*$A56^2-0.5*rate+1/dt)*EurCall!E56-0.25*(sigma^2*$A56^2+(rate-d)*$A56)*EurCall!E55</f>
        <v>-1.1596405858508935E-4</v>
      </c>
      <c r="E56">
        <f>-0.25*(sigma^2*$A56^2-(rate-d)*$A56)*EurCall!F57-(-0.5*sigma^2*$A56^2-0.5*rate+1/dt)*EurCall!F56-0.25*(sigma^2*$A56^2+(rate-d)*$A56)*EurCall!F55</f>
        <v>-9.626960150486688E-5</v>
      </c>
      <c r="F56">
        <f>-0.25*(sigma^2*$A56^2-(rate-d)*$A56)*EurCall!G57-(-0.5*sigma^2*$A56^2-0.5*rate+1/dt)*EurCall!G56-0.25*(sigma^2*$A56^2+(rate-d)*$A56)*EurCall!G55</f>
        <v>-7.9525222641306794E-5</v>
      </c>
      <c r="G56">
        <f>-0.25*(sigma^2*$A56^2-(rate-d)*$A56)*EurCall!H57-(-0.5*sigma^2*$A56^2-0.5*rate+1/dt)*EurCall!H56-0.25*(sigma^2*$A56^2+(rate-d)*$A56)*EurCall!H55</f>
        <v>-6.535430163917185E-5</v>
      </c>
      <c r="H56">
        <f>-0.25*(sigma^2*$A56^2-(rate-d)*$A56)*EurCall!I57-(-0.5*sigma^2*$A56^2-0.5*rate+1/dt)*EurCall!I56-0.25*(sigma^2*$A56^2+(rate-d)*$A56)*EurCall!I55</f>
        <v>-5.3418822495412845E-5</v>
      </c>
      <c r="I56">
        <f>-0.25*(sigma^2*$A56^2-(rate-d)*$A56)*EurCall!J57-(-0.5*sigma^2*$A56^2-0.5*rate+1/dt)*EurCall!J56-0.25*(sigma^2*$A56^2+(rate-d)*$A56)*EurCall!J55</f>
        <v>-4.3416587516712817E-5</v>
      </c>
      <c r="J56">
        <f>-0.25*(sigma^2*$A56^2-(rate-d)*$A56)*EurCall!K57-(-0.5*sigma^2*$A56^2-0.5*rate+1/dt)*EurCall!K56-0.25*(sigma^2*$A56^2+(rate-d)*$A56)*EurCall!K55</f>
        <v>-3.5078514105493615E-5</v>
      </c>
      <c r="K56">
        <f>-0.25*(sigma^2*$A56^2-(rate-d)*$A56)*EurCall!L57-(-0.5*sigma^2*$A56^2-0.5*rate+1/dt)*EurCall!L56-0.25*(sigma^2*$A56^2+(rate-d)*$A56)*EurCall!L55</f>
        <v>-2.8166021529485383E-5</v>
      </c>
      <c r="L56">
        <f>-0.25*(sigma^2*$A56^2-(rate-d)*$A56)*EurCall!M57-(-0.5*sigma^2*$A56^2-0.5*rate+1/dt)*EurCall!M56-0.25*(sigma^2*$A56^2+(rate-d)*$A56)*EurCall!M55</f>
        <v>-2.2468514258745148E-5</v>
      </c>
      <c r="M56">
        <f>-0.25*(sigma^2*$A56^2-(rate-d)*$A56)*EurCall!N57-(-0.5*sigma^2*$A56^2-0.5*rate+1/dt)*EurCall!N56-0.25*(sigma^2*$A56^2+(rate-d)*$A56)*EurCall!N55</f>
        <v>-1.7800967825692946E-5</v>
      </c>
      <c r="N56">
        <f>-0.25*(sigma^2*$A56^2-(rate-d)*$A56)*EurCall!O57-(-0.5*sigma^2*$A56^2-0.5*rate+1/dt)*EurCall!O56-0.25*(sigma^2*$A56^2+(rate-d)*$A56)*EurCall!O55</f>
        <v>-1.4001622482049312E-5</v>
      </c>
      <c r="O56">
        <f>-0.25*(sigma^2*$A56^2-(rate-d)*$A56)*EurCall!P57-(-0.5*sigma^2*$A56^2-0.5*rate+1/dt)*EurCall!P56-0.25*(sigma^2*$A56^2+(rate-d)*$A56)*EurCall!P55</f>
        <v>-1.092978919615878E-5</v>
      </c>
      <c r="P56">
        <f>-0.25*(sigma^2*$A56^2-(rate-d)*$A56)*EurCall!Q57-(-0.5*sigma^2*$A56^2-0.5*rate+1/dt)*EurCall!Q56-0.25*(sigma^2*$A56^2+(rate-d)*$A56)*EurCall!Q55</f>
        <v>-8.463771760663421E-6</v>
      </c>
      <c r="Q56">
        <f>-0.25*(sigma^2*$A56^2-(rate-d)*$A56)*EurCall!R57-(-0.5*sigma^2*$A56^2-0.5*rate+1/dt)*EurCall!R56-0.25*(sigma^2*$A56^2+(rate-d)*$A56)*EurCall!R55</f>
        <v>-6.4989079703846652E-6</v>
      </c>
      <c r="R56">
        <f>-0.25*(sigma^2*$A56^2-(rate-d)*$A56)*EurCall!S57-(-0.5*sigma^2*$A56^2-0.5*rate+1/dt)*EurCall!S56-0.25*(sigma^2*$A56^2+(rate-d)*$A56)*EurCall!S55</f>
        <v>-4.9457319910485829E-6</v>
      </c>
      <c r="S56">
        <f>-0.25*(sigma^2*$A56^2-(rate-d)*$A56)*EurCall!T57-(-0.5*sigma^2*$A56^2-0.5*rate+1/dt)*EurCall!T56-0.25*(sigma^2*$A56^2+(rate-d)*$A56)*EurCall!T55</f>
        <v>-3.7282591795174183E-6</v>
      </c>
      <c r="T56">
        <f>-0.25*(sigma^2*$A56^2-(rate-d)*$A56)*EurCall!U57-(-0.5*sigma^2*$A56^2-0.5*rate+1/dt)*EurCall!U56-0.25*(sigma^2*$A56^2+(rate-d)*$A56)*EurCall!U55</f>
        <v>-2.7823937446807663E-6</v>
      </c>
      <c r="U56">
        <f>-0.25*(sigma^2*$A56^2-(rate-d)*$A56)*EurCall!V57-(-0.5*sigma^2*$A56^2-0.5*rate+1/dt)*EurCall!V56-0.25*(sigma^2*$A56^2+(rate-d)*$A56)*EurCall!V55</f>
        <v>-2.0544587650904701E-6</v>
      </c>
      <c r="V56">
        <f>-0.25*(sigma^2*$A56^2-(rate-d)*$A56)*EurCall!W57-(-0.5*sigma^2*$A56^2-0.5*rate+1/dt)*EurCall!W56-0.25*(sigma^2*$A56^2+(rate-d)*$A56)*EurCall!W55</f>
        <v>-1.4998472154288599E-6</v>
      </c>
      <c r="W56">
        <f>-0.25*(sigma^2*$A56^2-(rate-d)*$A56)*EurCall!X57-(-0.5*sigma^2*$A56^2-0.5*rate+1/dt)*EurCall!X56-0.25*(sigma^2*$A56^2+(rate-d)*$A56)*EurCall!X55</f>
        <v>-1.0817918101362559E-6</v>
      </c>
      <c r="X56">
        <f>-0.25*(sigma^2*$A56^2-(rate-d)*$A56)*EurCall!Y57-(-0.5*sigma^2*$A56^2-0.5*rate+1/dt)*EurCall!Y56-0.25*(sigma^2*$A56^2+(rate-d)*$A56)*EurCall!Y55</f>
        <v>-7.7025066050126649E-7</v>
      </c>
      <c r="Y56">
        <f>-0.25*(sigma^2*$A56^2-(rate-d)*$A56)*EurCall!Z57-(-0.5*sigma^2*$A56^2-0.5*rate+1/dt)*EurCall!Z56-0.25*(sigma^2*$A56^2+(rate-d)*$A56)*EurCall!Z55</f>
        <v>-5.4090497290342461E-7</v>
      </c>
      <c r="Z56">
        <f>-0.25*(sigma^2*$A56^2-(rate-d)*$A56)*EurCall!AA57-(-0.5*sigma^2*$A56^2-0.5*rate+1/dt)*EurCall!AA56-0.25*(sigma^2*$A56^2+(rate-d)*$A56)*EurCall!AA55</f>
        <v>-3.7426430228744302E-7</v>
      </c>
      <c r="AA56">
        <f>-0.25*(sigma^2*$A56^2-(rate-d)*$A56)*EurCall!AB57-(-0.5*sigma^2*$A56^2-0.5*rate+1/dt)*EurCall!AB56-0.25*(sigma^2*$A56^2+(rate-d)*$A56)*EurCall!AB55</f>
        <v>-2.5487422760719545E-7</v>
      </c>
      <c r="AB56">
        <f>-0.25*(sigma^2*$A56^2-(rate-d)*$A56)*EurCall!AC57-(-0.5*sigma^2*$A56^2-0.5*rate+1/dt)*EurCall!AC56-0.25*(sigma^2*$A56^2+(rate-d)*$A56)*EurCall!AC55</f>
        <v>-1.7062074555648474E-7</v>
      </c>
      <c r="AC56">
        <f>-0.25*(sigma^2*$A56^2-(rate-d)*$A56)*EurCall!AD57-(-0.5*sigma^2*$A56^2-0.5*rate+1/dt)*EurCall!AD56-0.25*(sigma^2*$A56^2+(rate-d)*$A56)*EurCall!AD55</f>
        <v>-1.1212519513271184E-7</v>
      </c>
      <c r="AD56">
        <f>-0.25*(sigma^2*$A56^2-(rate-d)*$A56)*EurCall!AE57-(-0.5*sigma^2*$A56^2-0.5*rate+1/dt)*EurCall!AE56-0.25*(sigma^2*$A56^2+(rate-d)*$A56)*EurCall!AE55</f>
        <v>-7.2223136945132705E-8</v>
      </c>
      <c r="AE56">
        <f>-0.25*(sigma^2*$A56^2-(rate-d)*$A56)*EurCall!AF57-(-0.5*sigma^2*$A56^2-0.5*rate+1/dt)*EurCall!AF56-0.25*(sigma^2*$A56^2+(rate-d)*$A56)*EurCall!AF55</f>
        <v>-4.5520324594399545E-8</v>
      </c>
      <c r="AF56">
        <f>-0.25*(sigma^2*$A56^2-(rate-d)*$A56)*EurCall!AG57-(-0.5*sigma^2*$A56^2-0.5*rate+1/dt)*EurCall!AG56-0.25*(sigma^2*$A56^2+(rate-d)*$A56)*EurCall!AG55</f>
        <v>-2.8018725927241832E-8</v>
      </c>
      <c r="AG56">
        <f>-0.25*(sigma^2*$A56^2-(rate-d)*$A56)*EurCall!AH57-(-0.5*sigma^2*$A56^2-0.5*rate+1/dt)*EurCall!AH56-0.25*(sigma^2*$A56^2+(rate-d)*$A56)*EurCall!AH55</f>
        <v>-1.6805482311616935E-8</v>
      </c>
      <c r="AH56">
        <f>-0.25*(sigma^2*$A56^2-(rate-d)*$A56)*EurCall!AI57-(-0.5*sigma^2*$A56^2-0.5*rate+1/dt)*EurCall!AI56-0.25*(sigma^2*$A56^2+(rate-d)*$A56)*EurCall!AI55</f>
        <v>-9.7977345967083366E-9</v>
      </c>
      <c r="AI56">
        <f>-0.25*(sigma^2*$A56^2-(rate-d)*$A56)*EurCall!AJ57-(-0.5*sigma^2*$A56^2-0.5*rate+1/dt)*EurCall!AJ56-0.25*(sigma^2*$A56^2+(rate-d)*$A56)*EurCall!AJ55</f>
        <v>-5.5363927145214073E-9</v>
      </c>
      <c r="AJ56">
        <f>-0.25*(sigma^2*$A56^2-(rate-d)*$A56)*EurCall!AK57-(-0.5*sigma^2*$A56^2-0.5*rate+1/dt)*EurCall!AK56-0.25*(sigma^2*$A56^2+(rate-d)*$A56)*EurCall!AK55</f>
        <v>-3.0221766649029026E-9</v>
      </c>
      <c r="AK56">
        <f>-0.25*(sigma^2*$A56^2-(rate-d)*$A56)*EurCall!AL57-(-0.5*sigma^2*$A56^2-0.5*rate+1/dt)*EurCall!AL56-0.25*(sigma^2*$A56^2+(rate-d)*$A56)*EurCall!AL55</f>
        <v>-1.5876016786763969E-9</v>
      </c>
      <c r="AL56">
        <f>-0.25*(sigma^2*$A56^2-(rate-d)*$A56)*EurCall!AM57-(-0.5*sigma^2*$A56^2-0.5*rate+1/dt)*EurCall!AM56-0.25*(sigma^2*$A56^2+(rate-d)*$A56)*EurCall!AM55</f>
        <v>-7.9900854982222221E-10</v>
      </c>
      <c r="AM56">
        <f>-0.25*(sigma^2*$A56^2-(rate-d)*$A56)*EurCall!AN57-(-0.5*sigma^2*$A56^2-0.5*rate+1/dt)*EurCall!AN56-0.25*(sigma^2*$A56^2+(rate-d)*$A56)*EurCall!AN55</f>
        <v>-3.832376216817359E-10</v>
      </c>
      <c r="AN56">
        <f>-0.25*(sigma^2*$A56^2-(rate-d)*$A56)*EurCall!AO57-(-0.5*sigma^2*$A56^2-0.5*rate+1/dt)*EurCall!AO56-0.25*(sigma^2*$A56^2+(rate-d)*$A56)*EurCall!AO55</f>
        <v>-1.7409546746549049E-10</v>
      </c>
      <c r="AO56">
        <f>-0.25*(sigma^2*$A56^2-(rate-d)*$A56)*EurCall!AP57-(-0.5*sigma^2*$A56^2-0.5*rate+1/dt)*EurCall!AP56-0.25*(sigma^2*$A56^2+(rate-d)*$A56)*EurCall!AP55</f>
        <v>-7.4348789284316904E-11</v>
      </c>
      <c r="AP56">
        <f>-0.25*(sigma^2*$A56^2-(rate-d)*$A56)*EurCall!AQ57-(-0.5*sigma^2*$A56^2-0.5*rate+1/dt)*EurCall!AQ56-0.25*(sigma^2*$A56^2+(rate-d)*$A56)*EurCall!AQ55</f>
        <v>-2.9581108689176781E-11</v>
      </c>
      <c r="AQ56">
        <f>-0.25*(sigma^2*$A56^2-(rate-d)*$A56)*EurCall!AR57-(-0.5*sigma^2*$A56^2-0.5*rate+1/dt)*EurCall!AR56-0.25*(sigma^2*$A56^2+(rate-d)*$A56)*EurCall!AR55</f>
        <v>-1.0844668388811595E-11</v>
      </c>
      <c r="AR56">
        <f>-0.25*(sigma^2*$A56^2-(rate-d)*$A56)*EurCall!AS57-(-0.5*sigma^2*$A56^2-0.5*rate+1/dt)*EurCall!AS56-0.25*(sigma^2*$A56^2+(rate-d)*$A56)*EurCall!AS55</f>
        <v>-3.6134085103264214E-12</v>
      </c>
      <c r="AS56">
        <f>-0.25*(sigma^2*$A56^2-(rate-d)*$A56)*EurCall!AT57-(-0.5*sigma^2*$A56^2-0.5*rate+1/dt)*EurCall!AT56-0.25*(sigma^2*$A56^2+(rate-d)*$A56)*EurCall!AT55</f>
        <v>-1.0753545046745366E-12</v>
      </c>
      <c r="AT56">
        <f>-0.25*(sigma^2*$A56^2-(rate-d)*$A56)*EurCall!AU57-(-0.5*sigma^2*$A56^2-0.5*rate+1/dt)*EurCall!AU56-0.25*(sigma^2*$A56^2+(rate-d)*$A56)*EurCall!AU55</f>
        <v>-2.7942518912775165E-13</v>
      </c>
      <c r="AU56">
        <f>-0.25*(sigma^2*$A56^2-(rate-d)*$A56)*EurCall!AV57-(-0.5*sigma^2*$A56^2-0.5*rate+1/dt)*EurCall!AV56-0.25*(sigma^2*$A56^2+(rate-d)*$A56)*EurCall!AV55</f>
        <v>-6.1481194654403887E-14</v>
      </c>
      <c r="AV56">
        <f>-0.25*(sigma^2*$A56^2-(rate-d)*$A56)*EurCall!AW57-(-0.5*sigma^2*$A56^2-0.5*rate+1/dt)*EurCall!AW56-0.25*(sigma^2*$A56^2+(rate-d)*$A56)*EurCall!AW55</f>
        <v>-1.0964563475419666E-14</v>
      </c>
      <c r="AW56">
        <f>-0.25*(sigma^2*$A56^2-(rate-d)*$A56)*EurCall!AX57-(-0.5*sigma^2*$A56^2-0.5*rate+1/dt)*EurCall!AX56-0.25*(sigma^2*$A56^2+(rate-d)*$A56)*EurCall!AX55</f>
        <v>-1.4810134104301264E-15</v>
      </c>
      <c r="AX56">
        <f>-0.25*(sigma^2*$A56^2-(rate-d)*$A56)*EurCall!AY57-(-0.5*sigma^2*$A56^2-0.5*rate+1/dt)*EurCall!AY56-0.25*(sigma^2*$A56^2+(rate-d)*$A56)*EurCall!AY55</f>
        <v>-1.3419500560830884E-16</v>
      </c>
      <c r="AY56">
        <f>-0.25*(sigma^2*$A56^2-(rate-d)*$A56)*EurCall!AZ57-(-0.5*sigma^2*$A56^2-0.5*rate+1/dt)*EurCall!AZ56-0.25*(sigma^2*$A56^2+(rate-d)*$A56)*EurCall!AZ55</f>
        <v>-6.0945607834073836E-18</v>
      </c>
      <c r="AZ56">
        <f>-0.25*(sigma^2*$A56^2-(rate-d)*$A56)*EurCall!BA57-(-0.5*sigma^2*$A56^2-0.5*rate+1/dt)*EurCall!BA56-0.25*(sigma^2*$A56^2+(rate-d)*$A56)*EurCall!BA55</f>
        <v>0</v>
      </c>
      <c r="BA56" s="6"/>
    </row>
    <row r="57" spans="1:53" x14ac:dyDescent="0.2">
      <c r="A57">
        <f t="shared" si="3"/>
        <v>8</v>
      </c>
      <c r="B57" s="3">
        <f t="shared" si="4"/>
        <v>16</v>
      </c>
      <c r="C57">
        <f>-0.25*(sigma^2*$A57^2-(rate-d)*$A57)*EurCall!D58-(-0.5*sigma^2*$A57^2-0.5*rate+1/dt)*EurCall!D57-0.25*(sigma^2*$A57^2+(rate-d)*$A57)*EurCall!D56</f>
        <v>-9.3439633891948962E-6</v>
      </c>
      <c r="D57">
        <f>-0.25*(sigma^2*$A57^2-(rate-d)*$A57)*EurCall!E58-(-0.5*sigma^2*$A57^2-0.5*rate+1/dt)*EurCall!E57-0.25*(sigma^2*$A57^2+(rate-d)*$A57)*EurCall!E56</f>
        <v>-7.624021605633632E-6</v>
      </c>
      <c r="E57">
        <f>-0.25*(sigma^2*$A57^2-(rate-d)*$A57)*EurCall!F58-(-0.5*sigma^2*$A57^2-0.5*rate+1/dt)*EurCall!F57-0.25*(sigma^2*$A57^2+(rate-d)*$A57)*EurCall!F56</f>
        <v>-6.1885735009660287E-6</v>
      </c>
      <c r="F57">
        <f>-0.25*(sigma^2*$A57^2-(rate-d)*$A57)*EurCall!G58-(-0.5*sigma^2*$A57^2-0.5*rate+1/dt)*EurCall!G57-0.25*(sigma^2*$A57^2+(rate-d)*$A57)*EurCall!G56</f>
        <v>-4.9963504317913596E-6</v>
      </c>
      <c r="G57">
        <f>-0.25*(sigma^2*$A57^2-(rate-d)*$A57)*EurCall!H58-(-0.5*sigma^2*$A57^2-0.5*rate+1/dt)*EurCall!H57-0.25*(sigma^2*$A57^2+(rate-d)*$A57)*EurCall!H56</f>
        <v>-4.0111357503118461E-6</v>
      </c>
      <c r="H57">
        <f>-0.25*(sigma^2*$A57^2-(rate-d)*$A57)*EurCall!I58-(-0.5*sigma^2*$A57^2-0.5*rate+1/dt)*EurCall!I57-0.25*(sigma^2*$A57^2+(rate-d)*$A57)*EurCall!I56</f>
        <v>-3.2012782663948964E-6</v>
      </c>
      <c r="I57">
        <f>-0.25*(sigma^2*$A57^2-(rate-d)*$A57)*EurCall!J58-(-0.5*sigma^2*$A57^2-0.5*rate+1/dt)*EurCall!J57-0.25*(sigma^2*$A57^2+(rate-d)*$A57)*EurCall!J56</f>
        <v>-2.5392367801897805E-6</v>
      </c>
      <c r="J57">
        <f>-0.25*(sigma^2*$A57^2-(rate-d)*$A57)*EurCall!K58-(-0.5*sigma^2*$A57^2-0.5*rate+1/dt)*EurCall!K57-0.25*(sigma^2*$A57^2+(rate-d)*$A57)*EurCall!K56</f>
        <v>-2.0011552457123024E-6</v>
      </c>
      <c r="K57">
        <f>-0.25*(sigma^2*$A57^2-(rate-d)*$A57)*EurCall!L58-(-0.5*sigma^2*$A57^2-0.5*rate+1/dt)*EurCall!L57-0.25*(sigma^2*$A57^2+(rate-d)*$A57)*EurCall!L56</f>
        <v>-1.5664680029326474E-6</v>
      </c>
      <c r="L57">
        <f>-0.25*(sigma^2*$A57^2-(rate-d)*$A57)*EurCall!M58-(-0.5*sigma^2*$A57^2-0.5*rate+1/dt)*EurCall!M57-0.25*(sigma^2*$A57^2+(rate-d)*$A57)*EurCall!M56</f>
        <v>-1.2175343980831245E-6</v>
      </c>
      <c r="M57">
        <f>-0.25*(sigma^2*$A57^2-(rate-d)*$A57)*EurCall!N58-(-0.5*sigma^2*$A57^2-0.5*rate+1/dt)*EurCall!N57-0.25*(sigma^2*$A57^2+(rate-d)*$A57)*EurCall!N56</f>
        <v>-9.3930200016458475E-7</v>
      </c>
      <c r="N57">
        <f>-0.25*(sigma^2*$A57^2-(rate-d)*$A57)*EurCall!O58-(-0.5*sigma^2*$A57^2-0.5*rate+1/dt)*EurCall!O57-0.25*(sigma^2*$A57^2+(rate-d)*$A57)*EurCall!O56</f>
        <v>-7.1899751697056308E-7</v>
      </c>
      <c r="O57">
        <f>-0.25*(sigma^2*$A57^2-(rate-d)*$A57)*EurCall!P58-(-0.5*sigma^2*$A57^2-0.5*rate+1/dt)*EurCall!P57-0.25*(sigma^2*$A57^2+(rate-d)*$A57)*EurCall!P56</f>
        <v>-5.4584441732668515E-7</v>
      </c>
      <c r="P57">
        <f>-0.25*(sigma^2*$A57^2-(rate-d)*$A57)*EurCall!Q58-(-0.5*sigma^2*$A57^2-0.5*rate+1/dt)*EurCall!Q57-0.25*(sigma^2*$A57^2+(rate-d)*$A57)*EurCall!Q56</f>
        <v>-4.1080617856701928E-7</v>
      </c>
      <c r="Q57">
        <f>-0.25*(sigma^2*$A57^2-(rate-d)*$A57)*EurCall!R58-(-0.5*sigma^2*$A57^2-0.5*rate+1/dt)*EurCall!R57-0.25*(sigma^2*$A57^2+(rate-d)*$A57)*EurCall!R56</f>
        <v>-3.0635400037775196E-7</v>
      </c>
      <c r="R57">
        <f>-0.25*(sigma^2*$A57^2-(rate-d)*$A57)*EurCall!S58-(-0.5*sigma^2*$A57^2-0.5*rate+1/dt)*EurCall!S57-0.25*(sigma^2*$A57^2+(rate-d)*$A57)*EurCall!S56</f>
        <v>-2.2625775878617914E-7</v>
      </c>
      <c r="S57">
        <f>-0.25*(sigma^2*$A57^2-(rate-d)*$A57)*EurCall!T58-(-0.5*sigma^2*$A57^2-0.5*rate+1/dt)*EurCall!T57-0.25*(sigma^2*$A57^2+(rate-d)*$A57)*EurCall!T56</f>
        <v>-1.6539891791304665E-7</v>
      </c>
      <c r="T57">
        <f>-0.25*(sigma^2*$A57^2-(rate-d)*$A57)*EurCall!U58-(-0.5*sigma^2*$A57^2-0.5*rate+1/dt)*EurCall!U57-0.25*(sigma^2*$A57^2+(rate-d)*$A57)*EurCall!U56</f>
        <v>-1.196040726754095E-7</v>
      </c>
      <c r="U57">
        <f>-0.25*(sigma^2*$A57^2-(rate-d)*$A57)*EurCall!V58-(-0.5*sigma^2*$A57^2-0.5*rate+1/dt)*EurCall!V57-0.25*(sigma^2*$A57^2+(rate-d)*$A57)*EurCall!V56</f>
        <v>-8.5497763329864371E-8</v>
      </c>
      <c r="V57">
        <f>-0.25*(sigma^2*$A57^2-(rate-d)*$A57)*EurCall!W58-(-0.5*sigma^2*$A57^2-0.5*rate+1/dt)*EurCall!W57-0.25*(sigma^2*$A57^2+(rate-d)*$A57)*EurCall!W56</f>
        <v>-6.0373182840049378E-8</v>
      </c>
      <c r="W57">
        <f>-0.25*(sigma^2*$A57^2-(rate-d)*$A57)*EurCall!X58-(-0.5*sigma^2*$A57^2-0.5*rate+1/dt)*EurCall!X57-0.25*(sigma^2*$A57^2+(rate-d)*$A57)*EurCall!X56</f>
        <v>-4.2079390635982606E-8</v>
      </c>
      <c r="X57">
        <f>-0.25*(sigma^2*$A57^2-(rate-d)*$A57)*EurCall!Y58-(-0.5*sigma^2*$A57^2-0.5*rate+1/dt)*EurCall!Y57-0.25*(sigma^2*$A57^2+(rate-d)*$A57)*EurCall!Y56</f>
        <v>-2.8923651333926989E-8</v>
      </c>
      <c r="Y57">
        <f>-0.25*(sigma^2*$A57^2-(rate-d)*$A57)*EurCall!Z58-(-0.5*sigma^2*$A57^2-0.5*rate+1/dt)*EurCall!Z57-0.25*(sigma^2*$A57^2+(rate-d)*$A57)*EurCall!Z56</f>
        <v>-1.9587534152911387E-8</v>
      </c>
      <c r="Z57">
        <f>-0.25*(sigma^2*$A57^2-(rate-d)*$A57)*EurCall!AA58-(-0.5*sigma^2*$A57^2-0.5*rate+1/dt)*EurCall!AA57-0.25*(sigma^2*$A57^2+(rate-d)*$A57)*EurCall!AA56</f>
        <v>-1.3055437662367314E-8</v>
      </c>
      <c r="AA57">
        <f>-0.25*(sigma^2*$A57^2-(rate-d)*$A57)*EurCall!AB58-(-0.5*sigma^2*$A57^2-0.5*rate+1/dt)*EurCall!AB57-0.25*(sigma^2*$A57^2+(rate-d)*$A57)*EurCall!AB56</f>
        <v>-8.5542445029763896E-9</v>
      </c>
      <c r="AB57">
        <f>-0.25*(sigma^2*$A57^2-(rate-d)*$A57)*EurCall!AC58-(-0.5*sigma^2*$A57^2-0.5*rate+1/dt)*EurCall!AC57-0.25*(sigma^2*$A57^2+(rate-d)*$A57)*EurCall!AC56</f>
        <v>-5.502861034314347E-9</v>
      </c>
      <c r="AC57">
        <f>-0.25*(sigma^2*$A57^2-(rate-d)*$A57)*EurCall!AD58-(-0.5*sigma^2*$A57^2-0.5*rate+1/dt)*EurCall!AD57-0.25*(sigma^2*$A57^2+(rate-d)*$A57)*EurCall!AD56</f>
        <v>-3.4704564957788408E-9</v>
      </c>
      <c r="AD57">
        <f>-0.25*(sigma^2*$A57^2-(rate-d)*$A57)*EurCall!AE58-(-0.5*sigma^2*$A57^2-0.5*rate+1/dt)*EurCall!AE57-0.25*(sigma^2*$A57^2+(rate-d)*$A57)*EurCall!AE56</f>
        <v>-2.1422840740324409E-9</v>
      </c>
      <c r="AE57">
        <f>-0.25*(sigma^2*$A57^2-(rate-d)*$A57)*EurCall!AF58-(-0.5*sigma^2*$A57^2-0.5*rate+1/dt)*EurCall!AF57-0.25*(sigma^2*$A57^2+(rate-d)*$A57)*EurCall!AF56</f>
        <v>-1.2920409552805125E-9</v>
      </c>
      <c r="AF57">
        <f>-0.25*(sigma^2*$A57^2-(rate-d)*$A57)*EurCall!AG58-(-0.5*sigma^2*$A57^2-0.5*rate+1/dt)*EurCall!AG57-0.25*(sigma^2*$A57^2+(rate-d)*$A57)*EurCall!AG56</f>
        <v>-7.5980458338921657E-10</v>
      </c>
      <c r="AG57">
        <f>-0.25*(sigma^2*$A57^2-(rate-d)*$A57)*EurCall!AH58-(-0.5*sigma^2*$A57^2-0.5*rate+1/dt)*EurCall!AH57-0.25*(sigma^2*$A57^2+(rate-d)*$A57)*EurCall!AH56</f>
        <v>-4.3466642730961814E-10</v>
      </c>
      <c r="AH57">
        <f>-0.25*(sigma^2*$A57^2-(rate-d)*$A57)*EurCall!AI58-(-0.5*sigma^2*$A57^2-0.5*rate+1/dt)*EurCall!AI57-0.25*(sigma^2*$A57^2+(rate-d)*$A57)*EurCall!AI56</f>
        <v>-2.4127100205104612E-10</v>
      </c>
      <c r="AI57">
        <f>-0.25*(sigma^2*$A57^2-(rate-d)*$A57)*EurCall!AJ58-(-0.5*sigma^2*$A57^2-0.5*rate+1/dt)*EurCall!AJ57-0.25*(sigma^2*$A57^2+(rate-d)*$A57)*EurCall!AJ56</f>
        <v>-1.295550796645013E-10</v>
      </c>
      <c r="AJ57">
        <f>-0.25*(sigma^2*$A57^2-(rate-d)*$A57)*EurCall!AK58-(-0.5*sigma^2*$A57^2-0.5*rate+1/dt)*EurCall!AK57-0.25*(sigma^2*$A57^2+(rate-d)*$A57)*EurCall!AK56</f>
        <v>-6.7068380272478583E-11</v>
      </c>
      <c r="AK57">
        <f>-0.25*(sigma^2*$A57^2-(rate-d)*$A57)*EurCall!AL58-(-0.5*sigma^2*$A57^2-0.5*rate+1/dt)*EurCall!AL57-0.25*(sigma^2*$A57^2+(rate-d)*$A57)*EurCall!AL56</f>
        <v>-3.3341019902211469E-11</v>
      </c>
      <c r="AL57">
        <f>-0.25*(sigma^2*$A57^2-(rate-d)*$A57)*EurCall!AM58-(-0.5*sigma^2*$A57^2-0.5*rate+1/dt)*EurCall!AM57-0.25*(sigma^2*$A57^2+(rate-d)*$A57)*EurCall!AM56</f>
        <v>-1.5843191856819509E-11</v>
      </c>
      <c r="AM57">
        <f>-0.25*(sigma^2*$A57^2-(rate-d)*$A57)*EurCall!AN58-(-0.5*sigma^2*$A57^2-0.5*rate+1/dt)*EurCall!AN57-0.25*(sigma^2*$A57^2+(rate-d)*$A57)*EurCall!AN56</f>
        <v>-7.157706009063783E-12</v>
      </c>
      <c r="AN57">
        <f>-0.25*(sigma^2*$A57^2-(rate-d)*$A57)*EurCall!AO58-(-0.5*sigma^2*$A57^2-0.5*rate+1/dt)*EurCall!AO57-0.25*(sigma^2*$A57^2+(rate-d)*$A57)*EurCall!AO56</f>
        <v>-3.0550377456085864E-12</v>
      </c>
      <c r="AO57">
        <f>-0.25*(sigma^2*$A57^2-(rate-d)*$A57)*EurCall!AP58-(-0.5*sigma^2*$A57^2-0.5*rate+1/dt)*EurCall!AP57-0.25*(sigma^2*$A57^2+(rate-d)*$A57)*EurCall!AP56</f>
        <v>-1.2226130675415777E-12</v>
      </c>
      <c r="AP57">
        <f>-0.25*(sigma^2*$A57^2-(rate-d)*$A57)*EurCall!AQ58-(-0.5*sigma^2*$A57^2-0.5*rate+1/dt)*EurCall!AQ57-0.25*(sigma^2*$A57^2+(rate-d)*$A57)*EurCall!AQ56</f>
        <v>-4.5461225283070622E-13</v>
      </c>
      <c r="AQ57">
        <f>-0.25*(sigma^2*$A57^2-(rate-d)*$A57)*EurCall!AR58-(-0.5*sigma^2*$A57^2-0.5*rate+1/dt)*EurCall!AR57-0.25*(sigma^2*$A57^2+(rate-d)*$A57)*EurCall!AR56</f>
        <v>-1.5533070210445146E-13</v>
      </c>
      <c r="AR57">
        <f>-0.25*(sigma^2*$A57^2-(rate-d)*$A57)*EurCall!AS58-(-0.5*sigma^2*$A57^2-0.5*rate+1/dt)*EurCall!AS57-0.25*(sigma^2*$A57^2+(rate-d)*$A57)*EurCall!AS56</f>
        <v>-4.8103094363852276E-14</v>
      </c>
      <c r="AS57">
        <f>-0.25*(sigma^2*$A57^2-(rate-d)*$A57)*EurCall!AT58-(-0.5*sigma^2*$A57^2-0.5*rate+1/dt)*EurCall!AT57-0.25*(sigma^2*$A57^2+(rate-d)*$A57)*EurCall!AT56</f>
        <v>-1.3269316444042369E-14</v>
      </c>
      <c r="AT57">
        <f>-0.25*(sigma^2*$A57^2-(rate-d)*$A57)*EurCall!AU58-(-0.5*sigma^2*$A57^2-0.5*rate+1/dt)*EurCall!AU57-0.25*(sigma^2*$A57^2+(rate-d)*$A57)*EurCall!AU56</f>
        <v>-3.187789563007076E-15</v>
      </c>
      <c r="AU57">
        <f>-0.25*(sigma^2*$A57^2-(rate-d)*$A57)*EurCall!AV58-(-0.5*sigma^2*$A57^2-0.5*rate+1/dt)*EurCall!AV57-0.25*(sigma^2*$A57^2+(rate-d)*$A57)*EurCall!AV56</f>
        <v>-6.4696519126778498E-16</v>
      </c>
      <c r="AV57">
        <f>-0.25*(sigma^2*$A57^2-(rate-d)*$A57)*EurCall!AW58-(-0.5*sigma^2*$A57^2-0.5*rate+1/dt)*EurCall!AW57-0.25*(sigma^2*$A57^2+(rate-d)*$A57)*EurCall!AW56</f>
        <v>-1.0621283086216737E-16</v>
      </c>
      <c r="AW57">
        <f>-0.25*(sigma^2*$A57^2-(rate-d)*$A57)*EurCall!AX58-(-0.5*sigma^2*$A57^2-0.5*rate+1/dt)*EurCall!AX57-0.25*(sigma^2*$A57^2+(rate-d)*$A57)*EurCall!AX56</f>
        <v>-1.3185976705509403E-17</v>
      </c>
      <c r="AX57">
        <f>-0.25*(sigma^2*$A57^2-(rate-d)*$A57)*EurCall!AY58-(-0.5*sigma^2*$A57^2-0.5*rate+1/dt)*EurCall!AY57-0.25*(sigma^2*$A57^2+(rate-d)*$A57)*EurCall!AY56</f>
        <v>-1.0969900793757423E-18</v>
      </c>
      <c r="AY57">
        <f>-0.25*(sigma^2*$A57^2-(rate-d)*$A57)*EurCall!AZ58-(-0.5*sigma^2*$A57^2-0.5*rate+1/dt)*EurCall!AZ57-0.25*(sigma^2*$A57^2+(rate-d)*$A57)*EurCall!AZ56</f>
        <v>-4.5721115827015415E-20</v>
      </c>
      <c r="AZ57">
        <f>-0.25*(sigma^2*$A57^2-(rate-d)*$A57)*EurCall!BA58-(-0.5*sigma^2*$A57^2-0.5*rate+1/dt)*EurCall!BA57-0.25*(sigma^2*$A57^2+(rate-d)*$A57)*EurCall!BA56</f>
        <v>0</v>
      </c>
      <c r="BA57" s="6"/>
    </row>
    <row r="58" spans="1:53" x14ac:dyDescent="0.2">
      <c r="A58">
        <f t="shared" si="3"/>
        <v>7</v>
      </c>
      <c r="B58" s="3">
        <f t="shared" si="4"/>
        <v>14</v>
      </c>
      <c r="C58">
        <f>-0.25*(sigma^2*$A58^2-(rate-d)*$A58)*EurCall!D59-(-0.5*sigma^2*$A58^2-0.5*rate+1/dt)*EurCall!D58-0.25*(sigma^2*$A58^2+(rate-d)*$A58)*EurCall!D57</f>
        <v>-4.591323754032511E-7</v>
      </c>
      <c r="D58">
        <f>-0.25*(sigma^2*$A58^2-(rate-d)*$A58)*EurCall!E59-(-0.5*sigma^2*$A58^2-0.5*rate+1/dt)*EurCall!E58-0.25*(sigma^2*$A58^2+(rate-d)*$A58)*EurCall!E57</f>
        <v>-3.6640133859526477E-7</v>
      </c>
      <c r="E58">
        <f>-0.25*(sigma^2*$A58^2-(rate-d)*$A58)*EurCall!F59-(-0.5*sigma^2*$A58^2-0.5*rate+1/dt)*EurCall!F58-0.25*(sigma^2*$A58^2+(rate-d)*$A58)*EurCall!F57</f>
        <v>-2.9076863840283234E-7</v>
      </c>
      <c r="F58">
        <f>-0.25*(sigma^2*$A58^2-(rate-d)*$A58)*EurCall!G59-(-0.5*sigma^2*$A58^2-0.5*rate+1/dt)*EurCall!G58-0.25*(sigma^2*$A58^2+(rate-d)*$A58)*EurCall!G57</f>
        <v>-2.294062044571498E-7</v>
      </c>
      <c r="G58">
        <f>-0.25*(sigma^2*$A58^2-(rate-d)*$A58)*EurCall!H59-(-0.5*sigma^2*$A58^2-0.5*rate+1/dt)*EurCall!H58-0.25*(sigma^2*$A58^2+(rate-d)*$A58)*EurCall!H57</f>
        <v>-1.7989493658669016E-7</v>
      </c>
      <c r="H58">
        <f>-0.25*(sigma^2*$A58^2-(rate-d)*$A58)*EurCall!I59-(-0.5*sigma^2*$A58^2-0.5*rate+1/dt)*EurCall!I58-0.25*(sigma^2*$A58^2+(rate-d)*$A58)*EurCall!I57</f>
        <v>-1.4017508513730268E-7</v>
      </c>
      <c r="I58">
        <f>-0.25*(sigma^2*$A58^2-(rate-d)*$A58)*EurCall!J59-(-0.5*sigma^2*$A58^2-0.5*rate+1/dt)*EurCall!J58-0.25*(sigma^2*$A58^2+(rate-d)*$A58)*EurCall!J57</f>
        <v>-1.0850130394343794E-7</v>
      </c>
      <c r="J58">
        <f>-0.25*(sigma^2*$A58^2-(rate-d)*$A58)*EurCall!K59-(-0.5*sigma^2*$A58^2-0.5*rate+1/dt)*EurCall!K58-0.25*(sigma^2*$A58^2+(rate-d)*$A58)*EurCall!K57</f>
        <v>-8.3402097600189841E-8</v>
      </c>
      <c r="K58">
        <f>-0.25*(sigma^2*$A58^2-(rate-d)*$A58)*EurCall!L59-(-0.5*sigma^2*$A58^2-0.5*rate+1/dt)*EurCall!L58-0.25*(sigma^2*$A58^2+(rate-d)*$A58)*EurCall!L57</f>
        <v>-6.3643385296694826E-8</v>
      </c>
      <c r="L58">
        <f>-0.25*(sigma^2*$A58^2-(rate-d)*$A58)*EurCall!M59-(-0.5*sigma^2*$A58^2-0.5*rate+1/dt)*EurCall!M58-0.25*(sigma^2*$A58^2+(rate-d)*$A58)*EurCall!M57</f>
        <v>-4.8195905525897316E-8</v>
      </c>
      <c r="M58">
        <f>-0.25*(sigma^2*$A58^2-(rate-d)*$A58)*EurCall!N59-(-0.5*sigma^2*$A58^2-0.5*rate+1/dt)*EurCall!N58-0.25*(sigma^2*$A58^2+(rate-d)*$A58)*EurCall!N57</f>
        <v>-3.6206189446198028E-8</v>
      </c>
      <c r="N58">
        <f>-0.25*(sigma^2*$A58^2-(rate-d)*$A58)*EurCall!O59-(-0.5*sigma^2*$A58^2-0.5*rate+1/dt)*EurCall!O58-0.25*(sigma^2*$A58^2+(rate-d)*$A58)*EurCall!O57</f>
        <v>-2.6970835486654731E-8</v>
      </c>
      <c r="O58">
        <f>-0.25*(sigma^2*$A58^2-(rate-d)*$A58)*EurCall!P59-(-0.5*sigma^2*$A58^2-0.5*rate+1/dt)*EurCall!P58-0.25*(sigma^2*$A58^2+(rate-d)*$A58)*EurCall!P57</f>
        <v>-1.9913823896119279E-8</v>
      </c>
      <c r="P58">
        <f>-0.25*(sigma^2*$A58^2-(rate-d)*$A58)*EurCall!Q59-(-0.5*sigma^2*$A58^2-0.5*rate+1/dt)*EurCall!Q58-0.25*(sigma^2*$A58^2+(rate-d)*$A58)*EurCall!Q57</f>
        <v>-1.4566617262459936E-8</v>
      </c>
      <c r="Q58">
        <f>-0.25*(sigma^2*$A58^2-(rate-d)*$A58)*EurCall!R59-(-0.5*sigma^2*$A58^2-0.5*rate+1/dt)*EurCall!R58-0.25*(sigma^2*$A58^2+(rate-d)*$A58)*EurCall!R57</f>
        <v>-1.0550801483378055E-8</v>
      </c>
      <c r="R58">
        <f>-0.25*(sigma^2*$A58^2-(rate-d)*$A58)*EurCall!S59-(-0.5*sigma^2*$A58^2-0.5*rate+1/dt)*EurCall!S58-0.25*(sigma^2*$A58^2+(rate-d)*$A58)*EurCall!S57</f>
        <v>-7.5630311565474295E-9</v>
      </c>
      <c r="S58">
        <f>-0.25*(sigma^2*$A58^2-(rate-d)*$A58)*EurCall!T59-(-0.5*sigma^2*$A58^2-0.5*rate+1/dt)*EurCall!T58-0.25*(sigma^2*$A58^2+(rate-d)*$A58)*EurCall!T57</f>
        <v>-5.3620537647483392E-9</v>
      </c>
      <c r="T58">
        <f>-0.25*(sigma^2*$A58^2-(rate-d)*$A58)*EurCall!U59-(-0.5*sigma^2*$A58^2-0.5*rate+1/dt)*EurCall!U58-0.25*(sigma^2*$A58^2+(rate-d)*$A58)*EurCall!U57</f>
        <v>-3.7575982428923197E-9</v>
      </c>
      <c r="U58">
        <f>-0.25*(sigma^2*$A58^2-(rate-d)*$A58)*EurCall!V59-(-0.5*sigma^2*$A58^2-0.5*rate+1/dt)*EurCall!V58-0.25*(sigma^2*$A58^2+(rate-d)*$A58)*EurCall!V57</f>
        <v>-2.6009254018840277E-9</v>
      </c>
      <c r="V58">
        <f>-0.25*(sigma^2*$A58^2-(rate-d)*$A58)*EurCall!W59-(-0.5*sigma^2*$A58^2-0.5*rate+1/dt)*EurCall!W58-0.25*(sigma^2*$A58^2+(rate-d)*$A58)*EurCall!W57</f>
        <v>-1.7768501161837601E-9</v>
      </c>
      <c r="W58">
        <f>-0.25*(sigma^2*$A58^2-(rate-d)*$A58)*EurCall!X59-(-0.5*sigma^2*$A58^2-0.5*rate+1/dt)*EurCall!X58-0.25*(sigma^2*$A58^2+(rate-d)*$A58)*EurCall!X57</f>
        <v>-1.1970580199534608E-9</v>
      </c>
      <c r="X58">
        <f>-0.25*(sigma^2*$A58^2-(rate-d)*$A58)*EurCall!Y59-(-0.5*sigma^2*$A58^2-0.5*rate+1/dt)*EurCall!Y58-0.25*(sigma^2*$A58^2+(rate-d)*$A58)*EurCall!Y57</f>
        <v>-7.9455256009571694E-10</v>
      </c>
      <c r="Y58">
        <f>-0.25*(sigma^2*$A58^2-(rate-d)*$A58)*EurCall!Z59-(-0.5*sigma^2*$A58^2-0.5*rate+1/dt)*EurCall!Z58-0.25*(sigma^2*$A58^2+(rate-d)*$A58)*EurCall!Z57</f>
        <v>-5.1908148173651205E-10</v>
      </c>
      <c r="Z58">
        <f>-0.25*(sigma^2*$A58^2-(rate-d)*$A58)*EurCall!AA59-(-0.5*sigma^2*$A58^2-0.5*rate+1/dt)*EurCall!AA58-0.25*(sigma^2*$A58^2+(rate-d)*$A58)*EurCall!AA57</f>
        <v>-3.3340503242269706E-10</v>
      </c>
      <c r="AA58">
        <f>-0.25*(sigma^2*$A58^2-(rate-d)*$A58)*EurCall!AB59-(-0.5*sigma^2*$A58^2-0.5*rate+1/dt)*EurCall!AB58-0.25*(sigma^2*$A58^2+(rate-d)*$A58)*EurCall!AB57</f>
        <v>-2.102812286685774E-10</v>
      </c>
      <c r="AB58">
        <f>-0.25*(sigma^2*$A58^2-(rate-d)*$A58)*EurCall!AC59-(-0.5*sigma^2*$A58^2-0.5*rate+1/dt)*EurCall!AC58-0.25*(sigma^2*$A58^2+(rate-d)*$A58)*EurCall!AC57</f>
        <v>-1.3005630144321089E-10</v>
      </c>
      <c r="AC58">
        <f>-0.25*(sigma^2*$A58^2-(rate-d)*$A58)*EurCall!AD59-(-0.5*sigma^2*$A58^2-0.5*rate+1/dt)*EurCall!AD58-0.25*(sigma^2*$A58^2+(rate-d)*$A58)*EurCall!AD57</f>
        <v>-7.8760802755404709E-11</v>
      </c>
      <c r="AD58">
        <f>-0.25*(sigma^2*$A58^2-(rate-d)*$A58)*EurCall!AE59-(-0.5*sigma^2*$A58^2-0.5*rate+1/dt)*EurCall!AE58-0.25*(sigma^2*$A58^2+(rate-d)*$A58)*EurCall!AE57</f>
        <v>-4.662370095773628E-11</v>
      </c>
      <c r="AE58">
        <f>-0.25*(sigma^2*$A58^2-(rate-d)*$A58)*EurCall!AF59-(-0.5*sigma^2*$A58^2-0.5*rate+1/dt)*EurCall!AF58-0.25*(sigma^2*$A58^2+(rate-d)*$A58)*EurCall!AF57</f>
        <v>-2.6928017404347238E-11</v>
      </c>
      <c r="AF58">
        <f>-0.25*(sigma^2*$A58^2-(rate-d)*$A58)*EurCall!AG59-(-0.5*sigma^2*$A58^2-0.5*rate+1/dt)*EurCall!AG58-0.25*(sigma^2*$A58^2+(rate-d)*$A58)*EurCall!AG57</f>
        <v>-1.5142075556191579E-11</v>
      </c>
      <c r="AG58">
        <f>-0.25*(sigma^2*$A58^2-(rate-d)*$A58)*EurCall!AH59-(-0.5*sigma^2*$A58^2-0.5*rate+1/dt)*EurCall!AH58-0.25*(sigma^2*$A58^2+(rate-d)*$A58)*EurCall!AH57</f>
        <v>-8.2701752950463274E-12</v>
      </c>
      <c r="AH58">
        <f>-0.25*(sigma^2*$A58^2-(rate-d)*$A58)*EurCall!AI59-(-0.5*sigma^2*$A58^2-0.5*rate+1/dt)*EurCall!AI58-0.25*(sigma^2*$A58^2+(rate-d)*$A58)*EurCall!AI57</f>
        <v>-4.3754169981528526E-12</v>
      </c>
      <c r="AI58">
        <f>-0.25*(sigma^2*$A58^2-(rate-d)*$A58)*EurCall!AJ59-(-0.5*sigma^2*$A58^2-0.5*rate+1/dt)*EurCall!AJ58-0.25*(sigma^2*$A58^2+(rate-d)*$A58)*EurCall!AJ57</f>
        <v>-2.235446785004043E-12</v>
      </c>
      <c r="AJ58">
        <f>-0.25*(sigma^2*$A58^2-(rate-d)*$A58)*EurCall!AK59-(-0.5*sigma^2*$A58^2-0.5*rate+1/dt)*EurCall!AK58-0.25*(sigma^2*$A58^2+(rate-d)*$A58)*EurCall!AK57</f>
        <v>-1.0990596712245336E-12</v>
      </c>
      <c r="AK58">
        <f>-0.25*(sigma^2*$A58^2-(rate-d)*$A58)*EurCall!AL59-(-0.5*sigma^2*$A58^2-0.5*rate+1/dt)*EurCall!AL58-0.25*(sigma^2*$A58^2+(rate-d)*$A58)*EurCall!AL57</f>
        <v>-5.178828966357203E-13</v>
      </c>
      <c r="AL58">
        <f>-0.25*(sigma^2*$A58^2-(rate-d)*$A58)*EurCall!AM59-(-0.5*sigma^2*$A58^2-0.5*rate+1/dt)*EurCall!AM58-0.25*(sigma^2*$A58^2+(rate-d)*$A58)*EurCall!AM57</f>
        <v>-2.3278688139526837E-13</v>
      </c>
      <c r="AM58">
        <f>-0.25*(sigma^2*$A58^2-(rate-d)*$A58)*EurCall!AN59-(-0.5*sigma^2*$A58^2-0.5*rate+1/dt)*EurCall!AN58-0.25*(sigma^2*$A58^2+(rate-d)*$A58)*EurCall!AN57</f>
        <v>-9.9272035665471052E-14</v>
      </c>
      <c r="AN58">
        <f>-0.25*(sigma^2*$A58^2-(rate-d)*$A58)*EurCall!AO59-(-0.5*sigma^2*$A58^2-0.5*rate+1/dt)*EurCall!AO58-0.25*(sigma^2*$A58^2+(rate-d)*$A58)*EurCall!AO57</f>
        <v>-3.9906641735399097E-14</v>
      </c>
      <c r="AO58">
        <f>-0.25*(sigma^2*$A58^2-(rate-d)*$A58)*EurCall!AP59-(-0.5*sigma^2*$A58^2-0.5*rate+1/dt)*EurCall!AP58-0.25*(sigma^2*$A58^2+(rate-d)*$A58)*EurCall!AP57</f>
        <v>-1.5007285329919169E-14</v>
      </c>
      <c r="AP58">
        <f>-0.25*(sigma^2*$A58^2-(rate-d)*$A58)*EurCall!AQ59-(-0.5*sigma^2*$A58^2-0.5*rate+1/dt)*EurCall!AQ58-0.25*(sigma^2*$A58^2+(rate-d)*$A58)*EurCall!AQ57</f>
        <v>-5.2315241309156958E-15</v>
      </c>
      <c r="AQ58">
        <f>-0.25*(sigma^2*$A58^2-(rate-d)*$A58)*EurCall!AR59-(-0.5*sigma^2*$A58^2-0.5*rate+1/dt)*EurCall!AR58-0.25*(sigma^2*$A58^2+(rate-d)*$A58)*EurCall!AR57</f>
        <v>-1.6718687909257096E-15</v>
      </c>
      <c r="AR58">
        <f>-0.25*(sigma^2*$A58^2-(rate-d)*$A58)*EurCall!AS59-(-0.5*sigma^2*$A58^2-0.5*rate+1/dt)*EurCall!AS58-0.25*(sigma^2*$A58^2+(rate-d)*$A58)*EurCall!AS57</f>
        <v>-4.8313907157617117E-16</v>
      </c>
      <c r="AS58">
        <f>-0.25*(sigma^2*$A58^2-(rate-d)*$A58)*EurCall!AT59-(-0.5*sigma^2*$A58^2-0.5*rate+1/dt)*EurCall!AT58-0.25*(sigma^2*$A58^2+(rate-d)*$A58)*EurCall!AT57</f>
        <v>-1.2408927189346698E-16</v>
      </c>
      <c r="AT58">
        <f>-0.25*(sigma^2*$A58^2-(rate-d)*$A58)*EurCall!AU59-(-0.5*sigma^2*$A58^2-0.5*rate+1/dt)*EurCall!AU58-0.25*(sigma^2*$A58^2+(rate-d)*$A58)*EurCall!AU57</f>
        <v>-2.769858007683005E-17</v>
      </c>
      <c r="AU58">
        <f>-0.25*(sigma^2*$A58^2-(rate-d)*$A58)*EurCall!AV59-(-0.5*sigma^2*$A58^2-0.5*rate+1/dt)*EurCall!AV58-0.25*(sigma^2*$A58^2+(rate-d)*$A58)*EurCall!AV57</f>
        <v>-5.213396059612204E-18</v>
      </c>
      <c r="AV58">
        <f>-0.25*(sigma^2*$A58^2-(rate-d)*$A58)*EurCall!AW59-(-0.5*sigma^2*$A58^2-0.5*rate+1/dt)*EurCall!AW58-0.25*(sigma^2*$A58^2+(rate-d)*$A58)*EurCall!AW57</f>
        <v>-7.9250949056213564E-19</v>
      </c>
      <c r="AW58">
        <f>-0.25*(sigma^2*$A58^2-(rate-d)*$A58)*EurCall!AX59-(-0.5*sigma^2*$A58^2-0.5*rate+1/dt)*EurCall!AX58-0.25*(sigma^2*$A58^2+(rate-d)*$A58)*EurCall!AX57</f>
        <v>-9.0991150992275369E-20</v>
      </c>
      <c r="AX58">
        <f>-0.25*(sigma^2*$A58^2-(rate-d)*$A58)*EurCall!AY59-(-0.5*sigma^2*$A58^2-0.5*rate+1/dt)*EurCall!AY58-0.25*(sigma^2*$A58^2+(rate-d)*$A58)*EurCall!AY57</f>
        <v>-6.9952189204606089E-21</v>
      </c>
      <c r="AY58">
        <f>-0.25*(sigma^2*$A58^2-(rate-d)*$A58)*EurCall!AZ59-(-0.5*sigma^2*$A58^2-0.5*rate+1/dt)*EurCall!AZ58-0.25*(sigma^2*$A58^2+(rate-d)*$A58)*EurCall!AZ57</f>
        <v>-2.6932508715284151E-22</v>
      </c>
      <c r="AZ58">
        <f>-0.25*(sigma^2*$A58^2-(rate-d)*$A58)*EurCall!BA59-(-0.5*sigma^2*$A58^2-0.5*rate+1/dt)*EurCall!BA58-0.25*(sigma^2*$A58^2+(rate-d)*$A58)*EurCall!BA57</f>
        <v>0</v>
      </c>
      <c r="BA58" s="6"/>
    </row>
    <row r="59" spans="1:53" x14ac:dyDescent="0.2">
      <c r="A59">
        <f t="shared" si="3"/>
        <v>6</v>
      </c>
      <c r="B59" s="3">
        <f t="shared" si="4"/>
        <v>12</v>
      </c>
      <c r="C59">
        <f>-0.25*(sigma^2*$A59^2-(rate-d)*$A59)*EurCall!D60-(-0.5*sigma^2*$A59^2-0.5*rate+1/dt)*EurCall!D59-0.25*(sigma^2*$A59^2+(rate-d)*$A59)*EurCall!D58</f>
        <v>-1.5961718569824276E-8</v>
      </c>
      <c r="D59">
        <f>-0.25*(sigma^2*$A59^2-(rate-d)*$A59)*EurCall!E60-(-0.5*sigma^2*$A59^2-0.5*rate+1/dt)*EurCall!E59-0.25*(sigma^2*$A59^2+(rate-d)*$A59)*EurCall!E58</f>
        <v>-1.245817757085698E-8</v>
      </c>
      <c r="E59">
        <f>-0.25*(sigma^2*$A59^2-(rate-d)*$A59)*EurCall!F60-(-0.5*sigma^2*$A59^2-0.5*rate+1/dt)*EurCall!F59-0.25*(sigma^2*$A59^2+(rate-d)*$A59)*EurCall!F58</f>
        <v>-9.6654784928372342E-9</v>
      </c>
      <c r="F59">
        <f>-0.25*(sigma^2*$A59^2-(rate-d)*$A59)*EurCall!G60-(-0.5*sigma^2*$A59^2-0.5*rate+1/dt)*EurCall!G59-0.25*(sigma^2*$A59^2+(rate-d)*$A59)*EurCall!G58</f>
        <v>-7.452043237531522E-9</v>
      </c>
      <c r="G59">
        <f>-0.25*(sigma^2*$A59^2-(rate-d)*$A59)*EurCall!H60-(-0.5*sigma^2*$A59^2-0.5*rate+1/dt)*EurCall!H59-0.25*(sigma^2*$A59^2+(rate-d)*$A59)*EurCall!H58</f>
        <v>-5.7081155906119453E-9</v>
      </c>
      <c r="H59">
        <f>-0.25*(sigma^2*$A59^2-(rate-d)*$A59)*EurCall!I60-(-0.5*sigma^2*$A59^2-0.5*rate+1/dt)*EurCall!I59-0.25*(sigma^2*$A59^2+(rate-d)*$A59)*EurCall!I58</f>
        <v>-4.3426037326753074E-9</v>
      </c>
      <c r="I59">
        <f>-0.25*(sigma^2*$A59^2-(rate-d)*$A59)*EurCall!J60-(-0.5*sigma^2*$A59^2-0.5*rate+1/dt)*EurCall!J59-0.25*(sigma^2*$A59^2+(rate-d)*$A59)*EurCall!J58</f>
        <v>-3.2803044235329734E-9</v>
      </c>
      <c r="J59">
        <f>-0.25*(sigma^2*$A59^2-(rate-d)*$A59)*EurCall!K60-(-0.5*sigma^2*$A59^2-0.5*rate+1/dt)*EurCall!K59-0.25*(sigma^2*$A59^2+(rate-d)*$A59)*EurCall!K58</f>
        <v>-2.4594734261631502E-9</v>
      </c>
      <c r="K59">
        <f>-0.25*(sigma^2*$A59^2-(rate-d)*$A59)*EurCall!L60-(-0.5*sigma^2*$A59^2-0.5*rate+1/dt)*EurCall!L59-0.25*(sigma^2*$A59^2+(rate-d)*$A59)*EurCall!L58</f>
        <v>-1.8297087338620517E-9</v>
      </c>
      <c r="L59">
        <f>-0.25*(sigma^2*$A59^2-(rate-d)*$A59)*EurCall!M60-(-0.5*sigma^2*$A59^2-0.5*rate+1/dt)*EurCall!M59-0.25*(sigma^2*$A59^2+(rate-d)*$A59)*EurCall!M58</f>
        <v>-1.3501151783054487E-9</v>
      </c>
      <c r="M59">
        <f>-0.25*(sigma^2*$A59^2-(rate-d)*$A59)*EurCall!N60-(-0.5*sigma^2*$A59^2-0.5*rate+1/dt)*EurCall!N59-0.25*(sigma^2*$A59^2+(rate-d)*$A59)*EurCall!N58</f>
        <v>-9.8772101483444192E-10</v>
      </c>
      <c r="N59">
        <f>-0.25*(sigma^2*$A59^2-(rate-d)*$A59)*EurCall!O60-(-0.5*sigma^2*$A59^2-0.5*rate+1/dt)*EurCall!O59-0.25*(sigma^2*$A59^2+(rate-d)*$A59)*EurCall!O58</f>
        <v>-7.1611909191554959E-10</v>
      </c>
      <c r="O59">
        <f>-0.25*(sigma^2*$A59^2-(rate-d)*$A59)*EurCall!P60-(-0.5*sigma^2*$A59^2-0.5*rate+1/dt)*EurCall!P59-0.25*(sigma^2*$A59^2+(rate-d)*$A59)*EurCall!P58</f>
        <v>-5.1430720232929159E-10</v>
      </c>
      <c r="P59">
        <f>-0.25*(sigma^2*$A59^2-(rate-d)*$A59)*EurCall!Q60-(-0.5*sigma^2*$A59^2-0.5*rate+1/dt)*EurCall!Q59-0.25*(sigma^2*$A59^2+(rate-d)*$A59)*EurCall!Q58</f>
        <v>-3.6570417259344914E-10</v>
      </c>
      <c r="Q59">
        <f>-0.25*(sigma^2*$A59^2-(rate-d)*$A59)*EurCall!R60-(-0.5*sigma^2*$A59^2-0.5*rate+1/dt)*EurCall!R59-0.25*(sigma^2*$A59^2+(rate-d)*$A59)*EurCall!R58</f>
        <v>-2.573201633698028E-10</v>
      </c>
      <c r="R59">
        <f>-0.25*(sigma^2*$A59^2-(rate-d)*$A59)*EurCall!S60-(-0.5*sigma^2*$A59^2-0.5*rate+1/dt)*EurCall!S59-0.25*(sigma^2*$A59^2+(rate-d)*$A59)*EurCall!S58</f>
        <v>-1.7906151675544634E-10</v>
      </c>
      <c r="S59">
        <f>-0.25*(sigma^2*$A59^2-(rate-d)*$A59)*EurCall!T60-(-0.5*sigma^2*$A59^2-0.5*rate+1/dt)*EurCall!T59-0.25*(sigma^2*$A59^2+(rate-d)*$A59)*EurCall!T58</f>
        <v>-1.2315228682503627E-10</v>
      </c>
      <c r="T59">
        <f>-0.25*(sigma^2*$A59^2-(rate-d)*$A59)*EurCall!U60-(-0.5*sigma^2*$A59^2-0.5*rate+1/dt)*EurCall!U59-0.25*(sigma^2*$A59^2+(rate-d)*$A59)*EurCall!U58</f>
        <v>-8.3656318857122695E-11</v>
      </c>
      <c r="U59">
        <f>-0.25*(sigma^2*$A59^2-(rate-d)*$A59)*EurCall!V60-(-0.5*sigma^2*$A59^2-0.5*rate+1/dt)*EurCall!V59-0.25*(sigma^2*$A59^2+(rate-d)*$A59)*EurCall!V58</f>
        <v>-5.6085392611326119E-11</v>
      </c>
      <c r="V59">
        <f>-0.25*(sigma^2*$A59^2-(rate-d)*$A59)*EurCall!W60-(-0.5*sigma^2*$A59^2-0.5*rate+1/dt)*EurCall!W59-0.25*(sigma^2*$A59^2+(rate-d)*$A59)*EurCall!W58</f>
        <v>-3.7080509145953692E-11</v>
      </c>
      <c r="W59">
        <f>-0.25*(sigma^2*$A59^2-(rate-d)*$A59)*EurCall!X60-(-0.5*sigma^2*$A59^2-0.5*rate+1/dt)*EurCall!X59-0.25*(sigma^2*$A59^2+(rate-d)*$A59)*EurCall!X58</f>
        <v>-2.4154873424125773E-11</v>
      </c>
      <c r="X59">
        <f>-0.25*(sigma^2*$A59^2-(rate-d)*$A59)*EurCall!Y60-(-0.5*sigma^2*$A59^2-0.5*rate+1/dt)*EurCall!Y59-0.25*(sigma^2*$A59^2+(rate-d)*$A59)*EurCall!Y58</f>
        <v>-1.5488501972944005E-11</v>
      </c>
      <c r="Y59">
        <f>-0.25*(sigma^2*$A59^2-(rate-d)*$A59)*EurCall!Z60-(-0.5*sigma^2*$A59^2-0.5*rate+1/dt)*EurCall!Z59-0.25*(sigma^2*$A59^2+(rate-d)*$A59)*EurCall!Z58</f>
        <v>-9.7656629678518043E-12</v>
      </c>
      <c r="Z59">
        <f>-0.25*(sigma^2*$A59^2-(rate-d)*$A59)*EurCall!AA60-(-0.5*sigma^2*$A59^2-0.5*rate+1/dt)*EurCall!AA59-0.25*(sigma^2*$A59^2+(rate-d)*$A59)*EurCall!AA58</f>
        <v>-6.0475333736664311E-12</v>
      </c>
      <c r="AA59">
        <f>-0.25*(sigma^2*$A59^2-(rate-d)*$A59)*EurCall!AB60-(-0.5*sigma^2*$A59^2-0.5*rate+1/dt)*EurCall!AB59-0.25*(sigma^2*$A59^2+(rate-d)*$A59)*EurCall!AB58</f>
        <v>-3.6735334695976951E-12</v>
      </c>
      <c r="AB59">
        <f>-0.25*(sigma^2*$A59^2-(rate-d)*$A59)*EurCall!AC60-(-0.5*sigma^2*$A59^2-0.5*rate+1/dt)*EurCall!AC59-0.25*(sigma^2*$A59^2+(rate-d)*$A59)*EurCall!AC58</f>
        <v>-2.1857737033049016E-12</v>
      </c>
      <c r="AC59">
        <f>-0.25*(sigma^2*$A59^2-(rate-d)*$A59)*EurCall!AD60-(-0.5*sigma^2*$A59^2-0.5*rate+1/dt)*EurCall!AD59-0.25*(sigma^2*$A59^2+(rate-d)*$A59)*EurCall!AD58</f>
        <v>-1.2719239999968585E-12</v>
      </c>
      <c r="AD59">
        <f>-0.25*(sigma^2*$A59^2-(rate-d)*$A59)*EurCall!AE60-(-0.5*sigma^2*$A59^2-0.5*rate+1/dt)*EurCall!AE59-0.25*(sigma^2*$A59^2+(rate-d)*$A59)*EurCall!AE58</f>
        <v>-7.2259412832940804E-13</v>
      </c>
      <c r="AE59">
        <f>-0.25*(sigma^2*$A59^2-(rate-d)*$A59)*EurCall!AF60-(-0.5*sigma^2*$A59^2-0.5*rate+1/dt)*EurCall!AF59-0.25*(sigma^2*$A59^2+(rate-d)*$A59)*EurCall!AF58</f>
        <v>-3.9999923115383962E-13</v>
      </c>
      <c r="AF59">
        <f>-0.25*(sigma^2*$A59^2-(rate-d)*$A59)*EurCall!AG60-(-0.5*sigma^2*$A59^2-0.5*rate+1/dt)*EurCall!AG59-0.25*(sigma^2*$A59^2+(rate-d)*$A59)*EurCall!AG58</f>
        <v>-2.1528180058921389E-13</v>
      </c>
      <c r="AG59">
        <f>-0.25*(sigma^2*$A59^2-(rate-d)*$A59)*EurCall!AH60-(-0.5*sigma^2*$A59^2-0.5*rate+1/dt)*EurCall!AH59-0.25*(sigma^2*$A59^2+(rate-d)*$A59)*EurCall!AH58</f>
        <v>-1.1237562400504764E-13</v>
      </c>
      <c r="AH59">
        <f>-0.25*(sigma^2*$A59^2-(rate-d)*$A59)*EurCall!AI60-(-0.5*sigma^2*$A59^2-0.5*rate+1/dt)*EurCall!AI59-0.25*(sigma^2*$A59^2+(rate-d)*$A59)*EurCall!AI58</f>
        <v>-5.6734599068643496E-14</v>
      </c>
      <c r="AI59">
        <f>-0.25*(sigma^2*$A59^2-(rate-d)*$A59)*EurCall!AJ60-(-0.5*sigma^2*$A59^2-0.5*rate+1/dt)*EurCall!AJ59-0.25*(sigma^2*$A59^2+(rate-d)*$A59)*EurCall!AJ58</f>
        <v>-2.7616349291814689E-14</v>
      </c>
      <c r="AJ59">
        <f>-0.25*(sigma^2*$A59^2-(rate-d)*$A59)*EurCall!AK60-(-0.5*sigma^2*$A59^2-0.5*rate+1/dt)*EurCall!AK59-0.25*(sigma^2*$A59^2+(rate-d)*$A59)*EurCall!AK58</f>
        <v>-1.2914134445234015E-14</v>
      </c>
      <c r="AK59">
        <f>-0.25*(sigma^2*$A59^2-(rate-d)*$A59)*EurCall!AL60-(-0.5*sigma^2*$A59^2-0.5*rate+1/dt)*EurCall!AL59-0.25*(sigma^2*$A59^2+(rate-d)*$A59)*EurCall!AL58</f>
        <v>-5.7776797874747281E-15</v>
      </c>
      <c r="AL59">
        <f>-0.25*(sigma^2*$A59^2-(rate-d)*$A59)*EurCall!AM60-(-0.5*sigma^2*$A59^2-0.5*rate+1/dt)*EurCall!AM59-0.25*(sigma^2*$A59^2+(rate-d)*$A59)*EurCall!AM58</f>
        <v>-2.4612896490545722E-15</v>
      </c>
      <c r="AM59">
        <f>-0.25*(sigma^2*$A59^2-(rate-d)*$A59)*EurCall!AN60-(-0.5*sigma^2*$A59^2-0.5*rate+1/dt)*EurCall!AN59-0.25*(sigma^2*$A59^2+(rate-d)*$A59)*EurCall!AN58</f>
        <v>-9.9286362501954389E-16</v>
      </c>
      <c r="AN59">
        <f>-0.25*(sigma^2*$A59^2-(rate-d)*$A59)*EurCall!AO60-(-0.5*sigma^2*$A59^2-0.5*rate+1/dt)*EurCall!AO59-0.25*(sigma^2*$A59^2+(rate-d)*$A59)*EurCall!AO58</f>
        <v>-3.7680689969219665E-16</v>
      </c>
      <c r="AO59">
        <f>-0.25*(sigma^2*$A59^2-(rate-d)*$A59)*EurCall!AP60-(-0.5*sigma^2*$A59^2-0.5*rate+1/dt)*EurCall!AP59-0.25*(sigma^2*$A59^2+(rate-d)*$A59)*EurCall!AP58</f>
        <v>-1.3351273567396233E-16</v>
      </c>
      <c r="AP59">
        <f>-0.25*(sigma^2*$A59^2-(rate-d)*$A59)*EurCall!AQ60-(-0.5*sigma^2*$A59^2-0.5*rate+1/dt)*EurCall!AQ59-0.25*(sigma^2*$A59^2+(rate-d)*$A59)*EurCall!AQ58</f>
        <v>-4.3764755967294218E-17</v>
      </c>
      <c r="AQ59">
        <f>-0.25*(sigma^2*$A59^2-(rate-d)*$A59)*EurCall!AR60-(-0.5*sigma^2*$A59^2-0.5*rate+1/dt)*EurCall!AR59-0.25*(sigma^2*$A59^2+(rate-d)*$A59)*EurCall!AR58</f>
        <v>-1.3125279460464423E-17</v>
      </c>
      <c r="AR59">
        <f>-0.25*(sigma^2*$A59^2-(rate-d)*$A59)*EurCall!AS60-(-0.5*sigma^2*$A59^2-0.5*rate+1/dt)*EurCall!AS59-0.25*(sigma^2*$A59^2+(rate-d)*$A59)*EurCall!AS58</f>
        <v>-3.552584020139964E-18</v>
      </c>
      <c r="AS59">
        <f>-0.25*(sigma^2*$A59^2-(rate-d)*$A59)*EurCall!AT60-(-0.5*sigma^2*$A59^2-0.5*rate+1/dt)*EurCall!AT59-0.25*(sigma^2*$A59^2+(rate-d)*$A59)*EurCall!AT58</f>
        <v>-8.5303799918629031E-19</v>
      </c>
      <c r="AT59">
        <f>-0.25*(sigma^2*$A59^2-(rate-d)*$A59)*EurCall!AU60-(-0.5*sigma^2*$A59^2-0.5*rate+1/dt)*EurCall!AU59-0.25*(sigma^2*$A59^2+(rate-d)*$A59)*EurCall!AU58</f>
        <v>-1.7770994697601553E-19</v>
      </c>
      <c r="AU59">
        <f>-0.25*(sigma^2*$A59^2-(rate-d)*$A59)*EurCall!AV60-(-0.5*sigma^2*$A59^2-0.5*rate+1/dt)*EurCall!AV59-0.25*(sigma^2*$A59^2+(rate-d)*$A59)*EurCall!AV58</f>
        <v>-3.1170120683131376E-20</v>
      </c>
      <c r="AV59">
        <f>-0.25*(sigma^2*$A59^2-(rate-d)*$A59)*EurCall!AW60-(-0.5*sigma^2*$A59^2-0.5*rate+1/dt)*EurCall!AW59-0.25*(sigma^2*$A59^2+(rate-d)*$A59)*EurCall!AW58</f>
        <v>-4.4099919434191102E-21</v>
      </c>
      <c r="AW59">
        <f>-0.25*(sigma^2*$A59^2-(rate-d)*$A59)*EurCall!AX60-(-0.5*sigma^2*$A59^2-0.5*rate+1/dt)*EurCall!AX59-0.25*(sigma^2*$A59^2+(rate-d)*$A59)*EurCall!AX58</f>
        <v>-4.7079296125919646E-22</v>
      </c>
      <c r="AX59">
        <f>-0.25*(sigma^2*$A59^2-(rate-d)*$A59)*EurCall!AY60-(-0.5*sigma^2*$A59^2-0.5*rate+1/dt)*EurCall!AY59-0.25*(sigma^2*$A59^2+(rate-d)*$A59)*EurCall!AY58</f>
        <v>-3.3632458678109553E-23</v>
      </c>
      <c r="AY59">
        <f>-0.25*(sigma^2*$A59^2-(rate-d)*$A59)*EurCall!AZ60-(-0.5*sigma^2*$A59^2-0.5*rate+1/dt)*EurCall!AZ59-0.25*(sigma^2*$A59^2+(rate-d)*$A59)*EurCall!AZ58</f>
        <v>-1.202951258038556E-24</v>
      </c>
      <c r="AZ59">
        <f>-0.25*(sigma^2*$A59^2-(rate-d)*$A59)*EurCall!BA60-(-0.5*sigma^2*$A59^2-0.5*rate+1/dt)*EurCall!BA59-0.25*(sigma^2*$A59^2+(rate-d)*$A59)*EurCall!BA58</f>
        <v>0</v>
      </c>
      <c r="BA59" s="6"/>
    </row>
    <row r="60" spans="1:53" x14ac:dyDescent="0.2">
      <c r="A60">
        <f t="shared" si="3"/>
        <v>5</v>
      </c>
      <c r="B60" s="3">
        <f t="shared" si="4"/>
        <v>10</v>
      </c>
      <c r="C60">
        <f>-0.25*(sigma^2*$A60^2-(rate-d)*$A60)*EurCall!D61-(-0.5*sigma^2*$A60^2-0.5*rate+1/dt)*EurCall!D60-0.25*(sigma^2*$A60^2+(rate-d)*$A60)*EurCall!D59</f>
        <v>-3.7564054043046141E-10</v>
      </c>
      <c r="D60">
        <f>-0.25*(sigma^2*$A60^2-(rate-d)*$A60)*EurCall!E61-(-0.5*sigma^2*$A60^2-0.5*rate+1/dt)*EurCall!E60-0.25*(sigma^2*$A60^2+(rate-d)*$A60)*EurCall!E59</f>
        <v>-2.8676947034214294E-10</v>
      </c>
      <c r="E60">
        <f>-0.25*(sigma^2*$A60^2-(rate-d)*$A60)*EurCall!F61-(-0.5*sigma^2*$A60^2-0.5*rate+1/dt)*EurCall!F60-0.25*(sigma^2*$A60^2+(rate-d)*$A60)*EurCall!F59</f>
        <v>-2.1752756892166807E-10</v>
      </c>
      <c r="F60">
        <f>-0.25*(sigma^2*$A60^2-(rate-d)*$A60)*EurCall!G61-(-0.5*sigma^2*$A60^2-0.5*rate+1/dt)*EurCall!G60-0.25*(sigma^2*$A60^2+(rate-d)*$A60)*EurCall!G59</f>
        <v>-1.6390776943258887E-10</v>
      </c>
      <c r="G60">
        <f>-0.25*(sigma^2*$A60^2-(rate-d)*$A60)*EurCall!H61-(-0.5*sigma^2*$A60^2-0.5*rate+1/dt)*EurCall!H60-0.25*(sigma^2*$A60^2+(rate-d)*$A60)*EurCall!H59</f>
        <v>-1.226490577419883E-10</v>
      </c>
      <c r="H60">
        <f>-0.25*(sigma^2*$A60^2-(rate-d)*$A60)*EurCall!I61-(-0.5*sigma^2*$A60^2-0.5*rate+1/dt)*EurCall!I60-0.25*(sigma^2*$A60^2+(rate-d)*$A60)*EurCall!I59</f>
        <v>-9.1112091637515007E-11</v>
      </c>
      <c r="I60">
        <f>-0.25*(sigma^2*$A60^2-(rate-d)*$A60)*EurCall!J61-(-0.5*sigma^2*$A60^2-0.5*rate+1/dt)*EurCall!J60-0.25*(sigma^2*$A60^2+(rate-d)*$A60)*EurCall!J59</f>
        <v>-6.7172890052410203E-11</v>
      </c>
      <c r="J60">
        <f>-0.25*(sigma^2*$A60^2-(rate-d)*$A60)*EurCall!K61-(-0.5*sigma^2*$A60^2-0.5*rate+1/dt)*EurCall!K60-0.25*(sigma^2*$A60^2+(rate-d)*$A60)*EurCall!K59</f>
        <v>-4.9132404843491355E-11</v>
      </c>
      <c r="K60">
        <f>-0.25*(sigma^2*$A60^2-(rate-d)*$A60)*EurCall!L61-(-0.5*sigma^2*$A60^2-0.5*rate+1/dt)*EurCall!L60-0.25*(sigma^2*$A60^2+(rate-d)*$A60)*EurCall!L59</f>
        <v>-3.5639989714279945E-11</v>
      </c>
      <c r="L60">
        <f>-0.25*(sigma^2*$A60^2-(rate-d)*$A60)*EurCall!M61-(-0.5*sigma^2*$A60^2-0.5*rate+1/dt)*EurCall!M60-0.25*(sigma^2*$A60^2+(rate-d)*$A60)*EurCall!M59</f>
        <v>-2.5628971839239029E-11</v>
      </c>
      <c r="M60">
        <f>-0.25*(sigma^2*$A60^2-(rate-d)*$A60)*EurCall!N61-(-0.5*sigma^2*$A60^2-0.5*rate+1/dt)*EurCall!N60-0.25*(sigma^2*$A60^2+(rate-d)*$A60)*EurCall!N59</f>
        <v>-1.8262711541033168E-11</v>
      </c>
      <c r="N60">
        <f>-0.25*(sigma^2*$A60^2-(rate-d)*$A60)*EurCall!O61-(-0.5*sigma^2*$A60^2-0.5*rate+1/dt)*EurCall!O60-0.25*(sigma^2*$A60^2+(rate-d)*$A60)*EurCall!O59</f>
        <v>-1.2889703895996698E-11</v>
      </c>
      <c r="O60">
        <f>-0.25*(sigma^2*$A60^2-(rate-d)*$A60)*EurCall!P61-(-0.5*sigma^2*$A60^2-0.5*rate+1/dt)*EurCall!P60-0.25*(sigma^2*$A60^2+(rate-d)*$A60)*EurCall!P59</f>
        <v>-9.0064333674004719E-12</v>
      </c>
      <c r="P60">
        <f>-0.25*(sigma^2*$A60^2-(rate-d)*$A60)*EurCall!Q61-(-0.5*sigma^2*$A60^2-0.5*rate+1/dt)*EurCall!Q60-0.25*(sigma^2*$A60^2+(rate-d)*$A60)*EurCall!Q59</f>
        <v>-6.2268385423981501E-12</v>
      </c>
      <c r="Q60">
        <f>-0.25*(sigma^2*$A60^2-(rate-d)*$A60)*EurCall!R61-(-0.5*sigma^2*$A60^2-0.5*rate+1/dt)*EurCall!R60-0.25*(sigma^2*$A60^2+(rate-d)*$A60)*EurCall!R59</f>
        <v>-4.2573789019423662E-12</v>
      </c>
      <c r="R60">
        <f>-0.25*(sigma^2*$A60^2-(rate-d)*$A60)*EurCall!S61-(-0.5*sigma^2*$A60^2-0.5*rate+1/dt)*EurCall!S60-0.25*(sigma^2*$A60^2+(rate-d)*$A60)*EurCall!S59</f>
        <v>-2.8768194799434163E-12</v>
      </c>
      <c r="S60">
        <f>-0.25*(sigma^2*$A60^2-(rate-d)*$A60)*EurCall!T61-(-0.5*sigma^2*$A60^2-0.5*rate+1/dt)*EurCall!T60-0.25*(sigma^2*$A60^2+(rate-d)*$A60)*EurCall!T59</f>
        <v>-1.9199625321635716E-12</v>
      </c>
      <c r="T60">
        <f>-0.25*(sigma^2*$A60^2-(rate-d)*$A60)*EurCall!U61-(-0.5*sigma^2*$A60^2-0.5*rate+1/dt)*EurCall!U60-0.25*(sigma^2*$A60^2+(rate-d)*$A60)*EurCall!U59</f>
        <v>-1.2646582629401207E-12</v>
      </c>
      <c r="U60">
        <f>-0.25*(sigma^2*$A60^2-(rate-d)*$A60)*EurCall!V61-(-0.5*sigma^2*$A60^2-0.5*rate+1/dt)*EurCall!V60-0.25*(sigma^2*$A60^2+(rate-d)*$A60)*EurCall!V59</f>
        <v>-8.2151963201215717E-13</v>
      </c>
      <c r="V60">
        <f>-0.25*(sigma^2*$A60^2-(rate-d)*$A60)*EurCall!W61-(-0.5*sigma^2*$A60^2-0.5*rate+1/dt)*EurCall!W60-0.25*(sigma^2*$A60^2+(rate-d)*$A60)*EurCall!W59</f>
        <v>-5.2584971872205768E-13</v>
      </c>
      <c r="W60">
        <f>-0.25*(sigma^2*$A60^2-(rate-d)*$A60)*EurCall!X61-(-0.5*sigma^2*$A60^2-0.5*rate+1/dt)*EurCall!X60-0.25*(sigma^2*$A60^2+(rate-d)*$A60)*EurCall!X59</f>
        <v>-3.3136453535686718E-13</v>
      </c>
      <c r="X60">
        <f>-0.25*(sigma^2*$A60^2-(rate-d)*$A60)*EurCall!Y61-(-0.5*sigma^2*$A60^2-0.5*rate+1/dt)*EurCall!Y60-0.25*(sigma^2*$A60^2+(rate-d)*$A60)*EurCall!Y59</f>
        <v>-2.05360071489754E-13</v>
      </c>
      <c r="Y60">
        <f>-0.25*(sigma^2*$A60^2-(rate-d)*$A60)*EurCall!Z61-(-0.5*sigma^2*$A60^2-0.5*rate+1/dt)*EurCall!Z60-0.25*(sigma^2*$A60^2+(rate-d)*$A60)*EurCall!Z59</f>
        <v>-1.2503026300510615E-13</v>
      </c>
      <c r="Z60">
        <f>-0.25*(sigma^2*$A60^2-(rate-d)*$A60)*EurCall!AA61-(-0.5*sigma^2*$A60^2-0.5*rate+1/dt)*EurCall!AA60-0.25*(sigma^2*$A60^2+(rate-d)*$A60)*EurCall!AA59</f>
        <v>-7.469308155711628E-14</v>
      </c>
      <c r="AA60">
        <f>-0.25*(sigma^2*$A60^2-(rate-d)*$A60)*EurCall!AB61-(-0.5*sigma^2*$A60^2-0.5*rate+1/dt)*EurCall!AB60-0.25*(sigma^2*$A60^2+(rate-d)*$A60)*EurCall!AB59</f>
        <v>-4.3725615658189265E-14</v>
      </c>
      <c r="AB60">
        <f>-0.25*(sigma^2*$A60^2-(rate-d)*$A60)*EurCall!AC61-(-0.5*sigma^2*$A60^2-0.5*rate+1/dt)*EurCall!AC60-0.25*(sigma^2*$A60^2+(rate-d)*$A60)*EurCall!AC59</f>
        <v>-2.5046453421853112E-14</v>
      </c>
      <c r="AC60">
        <f>-0.25*(sigma^2*$A60^2-(rate-d)*$A60)*EurCall!AD61-(-0.5*sigma^2*$A60^2-0.5*rate+1/dt)*EurCall!AD60-0.25*(sigma^2*$A60^2+(rate-d)*$A60)*EurCall!AD59</f>
        <v>-1.4015468443101269E-14</v>
      </c>
      <c r="AD60">
        <f>-0.25*(sigma^2*$A60^2-(rate-d)*$A60)*EurCall!AE61-(-0.5*sigma^2*$A60^2-0.5*rate+1/dt)*EurCall!AE60-0.25*(sigma^2*$A60^2+(rate-d)*$A60)*EurCall!AE59</f>
        <v>-7.6478355431273847E-15</v>
      </c>
      <c r="AE60">
        <f>-0.25*(sigma^2*$A60^2-(rate-d)*$A60)*EurCall!AF61-(-0.5*sigma^2*$A60^2-0.5*rate+1/dt)*EurCall!AF60-0.25*(sigma^2*$A60^2+(rate-d)*$A60)*EurCall!AF59</f>
        <v>-4.0613282779540336E-15</v>
      </c>
      <c r="AF60">
        <f>-0.25*(sigma^2*$A60^2-(rate-d)*$A60)*EurCall!AG61-(-0.5*sigma^2*$A60^2-0.5*rate+1/dt)*EurCall!AG60-0.25*(sigma^2*$A60^2+(rate-d)*$A60)*EurCall!AG59</f>
        <v>-2.0942199716402895E-15</v>
      </c>
      <c r="AG60">
        <f>-0.25*(sigma^2*$A60^2-(rate-d)*$A60)*EurCall!AH61-(-0.5*sigma^2*$A60^2-0.5*rate+1/dt)*EurCall!AH60-0.25*(sigma^2*$A60^2+(rate-d)*$A60)*EurCall!AH59</f>
        <v>-1.04594227007157E-15</v>
      </c>
      <c r="AH60">
        <f>-0.25*(sigma^2*$A60^2-(rate-d)*$A60)*EurCall!AI61-(-0.5*sigma^2*$A60^2-0.5*rate+1/dt)*EurCall!AI60-0.25*(sigma^2*$A60^2+(rate-d)*$A60)*EurCall!AI59</f>
        <v>-5.0453553012141499E-16</v>
      </c>
      <c r="AI60">
        <f>-0.25*(sigma^2*$A60^2-(rate-d)*$A60)*EurCall!AJ61-(-0.5*sigma^2*$A60^2-0.5*rate+1/dt)*EurCall!AJ60-0.25*(sigma^2*$A60^2+(rate-d)*$A60)*EurCall!AJ59</f>
        <v>-2.3430347958090872E-16</v>
      </c>
      <c r="AJ60">
        <f>-0.25*(sigma^2*$A60^2-(rate-d)*$A60)*EurCall!AK61-(-0.5*sigma^2*$A60^2-0.5*rate+1/dt)*EurCall!AK60-0.25*(sigma^2*$A60^2+(rate-d)*$A60)*EurCall!AK59</f>
        <v>-1.043711796560664E-16</v>
      </c>
      <c r="AK60">
        <f>-0.25*(sigma^2*$A60^2-(rate-d)*$A60)*EurCall!AL61-(-0.5*sigma^2*$A60^2-0.5*rate+1/dt)*EurCall!AL60-0.25*(sigma^2*$A60^2+(rate-d)*$A60)*EurCall!AL59</f>
        <v>-4.4409980884927124E-17</v>
      </c>
      <c r="AL60">
        <f>-0.25*(sigma^2*$A60^2-(rate-d)*$A60)*EurCall!AM61-(-0.5*sigma^2*$A60^2-0.5*rate+1/dt)*EurCall!AM60-0.25*(sigma^2*$A60^2+(rate-d)*$A60)*EurCall!AM59</f>
        <v>-1.796337269866122E-17</v>
      </c>
      <c r="AM60">
        <f>-0.25*(sigma^2*$A60^2-(rate-d)*$A60)*EurCall!AN61-(-0.5*sigma^2*$A60^2-0.5*rate+1/dt)*EurCall!AN60-0.25*(sigma^2*$A60^2+(rate-d)*$A60)*EurCall!AN59</f>
        <v>-6.868781840766617E-18</v>
      </c>
      <c r="AN60">
        <f>-0.25*(sigma^2*$A60^2-(rate-d)*$A60)*EurCall!AO61-(-0.5*sigma^2*$A60^2-0.5*rate+1/dt)*EurCall!AO60-0.25*(sigma^2*$A60^2+(rate-d)*$A60)*EurCall!AO59</f>
        <v>-2.4667584442103024E-18</v>
      </c>
      <c r="AO60">
        <f>-0.25*(sigma^2*$A60^2-(rate-d)*$A60)*EurCall!AP61-(-0.5*sigma^2*$A60^2-0.5*rate+1/dt)*EurCall!AP60-0.25*(sigma^2*$A60^2+(rate-d)*$A60)*EurCall!AP59</f>
        <v>-8.2564509218801694E-19</v>
      </c>
      <c r="AP60">
        <f>-0.25*(sigma^2*$A60^2-(rate-d)*$A60)*EurCall!AQ61-(-0.5*sigma^2*$A60^2-0.5*rate+1/dt)*EurCall!AQ60-0.25*(sigma^2*$A60^2+(rate-d)*$A60)*EurCall!AQ59</f>
        <v>-2.5521424878601844E-19</v>
      </c>
      <c r="AQ60">
        <f>-0.25*(sigma^2*$A60^2-(rate-d)*$A60)*EurCall!AR61-(-0.5*sigma^2*$A60^2-0.5*rate+1/dt)*EurCall!AR60-0.25*(sigma^2*$A60^2+(rate-d)*$A60)*EurCall!AR59</f>
        <v>-7.2053992569002272E-20</v>
      </c>
      <c r="AR60">
        <f>-0.25*(sigma^2*$A60^2-(rate-d)*$A60)*EurCall!AS61-(-0.5*sigma^2*$A60^2-0.5*rate+1/dt)*EurCall!AS60-0.25*(sigma^2*$A60^2+(rate-d)*$A60)*EurCall!AS59</f>
        <v>-1.8329403922523272E-20</v>
      </c>
      <c r="AS60">
        <f>-0.25*(sigma^2*$A60^2-(rate-d)*$A60)*EurCall!AT61-(-0.5*sigma^2*$A60^2-0.5*rate+1/dt)*EurCall!AT60-0.25*(sigma^2*$A60^2+(rate-d)*$A60)*EurCall!AT59</f>
        <v>-4.1300350584577666E-21</v>
      </c>
      <c r="AT60">
        <f>-0.25*(sigma^2*$A60^2-(rate-d)*$A60)*EurCall!AU61-(-0.5*sigma^2*$A60^2-0.5*rate+1/dt)*EurCall!AU60-0.25*(sigma^2*$A60^2+(rate-d)*$A60)*EurCall!AU59</f>
        <v>-8.0623907319539116E-22</v>
      </c>
      <c r="AU60">
        <f>-0.25*(sigma^2*$A60^2-(rate-d)*$A60)*EurCall!AV61-(-0.5*sigma^2*$A60^2-0.5*rate+1/dt)*EurCall!AV60-0.25*(sigma^2*$A60^2+(rate-d)*$A60)*EurCall!AV59</f>
        <v>-1.3234845924720215E-22</v>
      </c>
      <c r="AV60">
        <f>-0.25*(sigma^2*$A60^2-(rate-d)*$A60)*EurCall!AW61-(-0.5*sigma^2*$A60^2-0.5*rate+1/dt)*EurCall!AW60-0.25*(sigma^2*$A60^2+(rate-d)*$A60)*EurCall!AW59</f>
        <v>-1.7506587737868659E-23</v>
      </c>
      <c r="AW60">
        <f>-0.25*(sigma^2*$A60^2-(rate-d)*$A60)*EurCall!AX61-(-0.5*sigma^2*$A60^2-0.5*rate+1/dt)*EurCall!AX60-0.25*(sigma^2*$A60^2+(rate-d)*$A60)*EurCall!AX59</f>
        <v>-1.7459863922824996E-24</v>
      </c>
      <c r="AX60">
        <f>-0.25*(sigma^2*$A60^2-(rate-d)*$A60)*EurCall!AY61-(-0.5*sigma^2*$A60^2-0.5*rate+1/dt)*EurCall!AY60-0.25*(sigma^2*$A60^2+(rate-d)*$A60)*EurCall!AY59</f>
        <v>-1.1646668352429449E-25</v>
      </c>
      <c r="AY60">
        <f>-0.25*(sigma^2*$A60^2-(rate-d)*$A60)*EurCall!AZ61-(-0.5*sigma^2*$A60^2-0.5*rate+1/dt)*EurCall!AZ60-0.25*(sigma^2*$A60^2+(rate-d)*$A60)*EurCall!AZ59</f>
        <v>-3.888994836420997E-27</v>
      </c>
      <c r="AZ60">
        <f>-0.25*(sigma^2*$A60^2-(rate-d)*$A60)*EurCall!BA61-(-0.5*sigma^2*$A60^2-0.5*rate+1/dt)*EurCall!BA60-0.25*(sigma^2*$A60^2+(rate-d)*$A60)*EurCall!BA59</f>
        <v>0</v>
      </c>
      <c r="BA60" s="6"/>
    </row>
    <row r="61" spans="1:53" x14ac:dyDescent="0.2">
      <c r="A61">
        <f t="shared" si="3"/>
        <v>4</v>
      </c>
      <c r="B61" s="3">
        <f t="shared" si="4"/>
        <v>8</v>
      </c>
      <c r="C61">
        <f>-0.25*(sigma^2*$A61^2-(rate-d)*$A61)*EurCall!D62-(-0.5*sigma^2*$A61^2-0.5*rate+1/dt)*EurCall!D61-0.25*(sigma^2*$A61^2+(rate-d)*$A61)*EurCall!D60</f>
        <v>-5.6202804027728825E-12</v>
      </c>
      <c r="D61">
        <f>-0.25*(sigma^2*$A61^2-(rate-d)*$A61)*EurCall!E62-(-0.5*sigma^2*$A61^2-0.5*rate+1/dt)*EurCall!E61-0.25*(sigma^2*$A61^2+(rate-d)*$A61)*EurCall!E60</f>
        <v>-4.1972557110281648E-12</v>
      </c>
      <c r="E61">
        <f>-0.25*(sigma^2*$A61^2-(rate-d)*$A61)*EurCall!F62-(-0.5*sigma^2*$A61^2-0.5*rate+1/dt)*EurCall!F61-0.25*(sigma^2*$A61^2+(rate-d)*$A61)*EurCall!F60</f>
        <v>-3.1133280415028644E-12</v>
      </c>
      <c r="F61">
        <f>-0.25*(sigma^2*$A61^2-(rate-d)*$A61)*EurCall!G62-(-0.5*sigma^2*$A61^2-0.5*rate+1/dt)*EurCall!G61-0.25*(sigma^2*$A61^2+(rate-d)*$A61)*EurCall!G60</f>
        <v>-2.2930483346876288E-12</v>
      </c>
      <c r="G61">
        <f>-0.25*(sigma^2*$A61^2-(rate-d)*$A61)*EurCall!H62-(-0.5*sigma^2*$A61^2-0.5*rate+1/dt)*EurCall!H61-0.25*(sigma^2*$A61^2+(rate-d)*$A61)*EurCall!H60</f>
        <v>-1.6764848993546377E-12</v>
      </c>
      <c r="H61">
        <f>-0.25*(sigma^2*$A61^2-(rate-d)*$A61)*EurCall!I62-(-0.5*sigma^2*$A61^2-0.5*rate+1/dt)*EurCall!I61-0.25*(sigma^2*$A61^2+(rate-d)*$A61)*EurCall!I60</f>
        <v>-1.2163125298263377E-12</v>
      </c>
      <c r="I61">
        <f>-0.25*(sigma^2*$A61^2-(rate-d)*$A61)*EurCall!J62-(-0.5*sigma^2*$A61^2-0.5*rate+1/dt)*EurCall!J61-0.25*(sigma^2*$A61^2+(rate-d)*$A61)*EurCall!J60</f>
        <v>-8.7539054703052286E-13</v>
      </c>
      <c r="J61">
        <f>-0.25*(sigma^2*$A61^2-(rate-d)*$A61)*EurCall!K62-(-0.5*sigma^2*$A61^2-0.5*rate+1/dt)*EurCall!K61-0.25*(sigma^2*$A61^2+(rate-d)*$A61)*EurCall!K60</f>
        <v>-6.2475822709832613E-13</v>
      </c>
      <c r="K61">
        <f>-0.25*(sigma^2*$A61^2-(rate-d)*$A61)*EurCall!L62-(-0.5*sigma^2*$A61^2-0.5*rate+1/dt)*EurCall!L61-0.25*(sigma^2*$A61^2+(rate-d)*$A61)*EurCall!L60</f>
        <v>-4.4198479329447667E-13</v>
      </c>
      <c r="L61">
        <f>-0.25*(sigma^2*$A61^2-(rate-d)*$A61)*EurCall!M62-(-0.5*sigma^2*$A61^2-0.5*rate+1/dt)*EurCall!M61-0.25*(sigma^2*$A61^2+(rate-d)*$A61)*EurCall!M60</f>
        <v>-3.0981905252725184E-13</v>
      </c>
      <c r="M61">
        <f>-0.25*(sigma^2*$A61^2-(rate-d)*$A61)*EurCall!N62-(-0.5*sigma^2*$A61^2-0.5*rate+1/dt)*EurCall!N61-0.25*(sigma^2*$A61^2+(rate-d)*$A61)*EurCall!N60</f>
        <v>-2.1509089984859211E-13</v>
      </c>
      <c r="N61">
        <f>-0.25*(sigma^2*$A61^2-(rate-d)*$A61)*EurCall!O62-(-0.5*sigma^2*$A61^2-0.5*rate+1/dt)*EurCall!O61-0.25*(sigma^2*$A61^2+(rate-d)*$A61)*EurCall!O60</f>
        <v>-1.4782333744117867E-13</v>
      </c>
      <c r="O61">
        <f>-0.25*(sigma^2*$A61^2-(rate-d)*$A61)*EurCall!P62-(-0.5*sigma^2*$A61^2-0.5*rate+1/dt)*EurCall!P61-0.25*(sigma^2*$A61^2+(rate-d)*$A61)*EurCall!P60</f>
        <v>-1.0051940341333971E-13</v>
      </c>
      <c r="P61">
        <f>-0.25*(sigma^2*$A61^2-(rate-d)*$A61)*EurCall!Q62-(-0.5*sigma^2*$A61^2-0.5*rate+1/dt)*EurCall!Q61-0.25*(sigma^2*$A61^2+(rate-d)*$A61)*EurCall!Q60</f>
        <v>-6.759352535598889E-14</v>
      </c>
      <c r="Q61">
        <f>-0.25*(sigma^2*$A61^2-(rate-d)*$A61)*EurCall!R62-(-0.5*sigma^2*$A61^2-0.5*rate+1/dt)*EurCall!R61-0.25*(sigma^2*$A61^2+(rate-d)*$A61)*EurCall!R60</f>
        <v>-4.4921349054715818E-14</v>
      </c>
      <c r="R61">
        <f>-0.25*(sigma^2*$A61^2-(rate-d)*$A61)*EurCall!S62-(-0.5*sigma^2*$A61^2-0.5*rate+1/dt)*EurCall!S61-0.25*(sigma^2*$A61^2+(rate-d)*$A61)*EurCall!S60</f>
        <v>-2.9486088593783833E-14</v>
      </c>
      <c r="S61">
        <f>-0.25*(sigma^2*$A61^2-(rate-d)*$A61)*EurCall!T62-(-0.5*sigma^2*$A61^2-0.5*rate+1/dt)*EurCall!T61-0.25*(sigma^2*$A61^2+(rate-d)*$A61)*EurCall!T60</f>
        <v>-1.9102944230922378E-14</v>
      </c>
      <c r="T61">
        <f>-0.25*(sigma^2*$A61^2-(rate-d)*$A61)*EurCall!U62-(-0.5*sigma^2*$A61^2-0.5*rate+1/dt)*EurCall!U61-0.25*(sigma^2*$A61^2+(rate-d)*$A61)*EurCall!U60</f>
        <v>-1.2206181759811155E-14</v>
      </c>
      <c r="U61">
        <f>-0.25*(sigma^2*$A61^2-(rate-d)*$A61)*EurCall!V62-(-0.5*sigma^2*$A61^2-0.5*rate+1/dt)*EurCall!V61-0.25*(sigma^2*$A61^2+(rate-d)*$A61)*EurCall!V60</f>
        <v>-7.6861032413341115E-15</v>
      </c>
      <c r="V61">
        <f>-0.25*(sigma^2*$A61^2-(rate-d)*$A61)*EurCall!W62-(-0.5*sigma^2*$A61^2-0.5*rate+1/dt)*EurCall!W61-0.25*(sigma^2*$A61^2+(rate-d)*$A61)*EurCall!W60</f>
        <v>-4.7654040909266818E-15</v>
      </c>
      <c r="W61">
        <f>-0.25*(sigma^2*$A61^2-(rate-d)*$A61)*EurCall!X62-(-0.5*sigma^2*$A61^2-0.5*rate+1/dt)*EurCall!X61-0.25*(sigma^2*$A61^2+(rate-d)*$A61)*EurCall!X60</f>
        <v>-2.9063439379093248E-15</v>
      </c>
      <c r="X61">
        <f>-0.25*(sigma^2*$A61^2-(rate-d)*$A61)*EurCall!Y62-(-0.5*sigma^2*$A61^2-0.5*rate+1/dt)*EurCall!Y61-0.25*(sigma^2*$A61^2+(rate-d)*$A61)*EurCall!Y60</f>
        <v>-1.741794875485168E-15</v>
      </c>
      <c r="Y61">
        <f>-0.25*(sigma^2*$A61^2-(rate-d)*$A61)*EurCall!Z62-(-0.5*sigma^2*$A61^2-0.5*rate+1/dt)*EurCall!Z61-0.25*(sigma^2*$A61^2+(rate-d)*$A61)*EurCall!Z60</f>
        <v>-1.024605058346585E-15</v>
      </c>
      <c r="Z61">
        <f>-0.25*(sigma^2*$A61^2-(rate-d)*$A61)*EurCall!AA62-(-0.5*sigma^2*$A61^2-0.5*rate+1/dt)*EurCall!AA61-0.25*(sigma^2*$A61^2+(rate-d)*$A61)*EurCall!AA60</f>
        <v>-5.9086021901207277E-16</v>
      </c>
      <c r="AA61">
        <f>-0.25*(sigma^2*$A61^2-(rate-d)*$A61)*EurCall!AB62-(-0.5*sigma^2*$A61^2-0.5*rate+1/dt)*EurCall!AB61-0.25*(sigma^2*$A61^2+(rate-d)*$A61)*EurCall!AB60</f>
        <v>-3.3357038654863744E-16</v>
      </c>
      <c r="AB61">
        <f>-0.25*(sigma^2*$A61^2-(rate-d)*$A61)*EurCall!AC62-(-0.5*sigma^2*$A61^2-0.5*rate+1/dt)*EurCall!AC61-0.25*(sigma^2*$A61^2+(rate-d)*$A61)*EurCall!AC60</f>
        <v>-1.8408134313058921E-16</v>
      </c>
      <c r="AC61">
        <f>-0.25*(sigma^2*$A61^2-(rate-d)*$A61)*EurCall!AD62-(-0.5*sigma^2*$A61^2-0.5*rate+1/dt)*EurCall!AD61-0.25*(sigma^2*$A61^2+(rate-d)*$A61)*EurCall!AD60</f>
        <v>-9.9135174228775166E-17</v>
      </c>
      <c r="AD61">
        <f>-0.25*(sigma^2*$A61^2-(rate-d)*$A61)*EurCall!AE62-(-0.5*sigma^2*$A61^2-0.5*rate+1/dt)*EurCall!AE61-0.25*(sigma^2*$A61^2+(rate-d)*$A61)*EurCall!AE60</f>
        <v>-5.2004277501943914E-17</v>
      </c>
      <c r="AE61">
        <f>-0.25*(sigma^2*$A61^2-(rate-d)*$A61)*EurCall!AF62-(-0.5*sigma^2*$A61^2-0.5*rate+1/dt)*EurCall!AF61-0.25*(sigma^2*$A61^2+(rate-d)*$A61)*EurCall!AF60</f>
        <v>-2.6518639371120643E-17</v>
      </c>
      <c r="AF61">
        <f>-0.25*(sigma^2*$A61^2-(rate-d)*$A61)*EurCall!AG62-(-0.5*sigma^2*$A61^2-0.5*rate+1/dt)*EurCall!AG61-0.25*(sigma^2*$A61^2+(rate-d)*$A61)*EurCall!AG60</f>
        <v>-1.3115001583238822E-17</v>
      </c>
      <c r="AG61">
        <f>-0.25*(sigma^2*$A61^2-(rate-d)*$A61)*EurCall!AH62-(-0.5*sigma^2*$A61^2-0.5*rate+1/dt)*EurCall!AH61-0.25*(sigma^2*$A61^2+(rate-d)*$A61)*EurCall!AH60</f>
        <v>-6.2744375265406702E-18</v>
      </c>
      <c r="AH61">
        <f>-0.25*(sigma^2*$A61^2-(rate-d)*$A61)*EurCall!AI62-(-0.5*sigma^2*$A61^2-0.5*rate+1/dt)*EurCall!AI61-0.25*(sigma^2*$A61^2+(rate-d)*$A61)*EurCall!AI60</f>
        <v>-2.8954491486708077E-18</v>
      </c>
      <c r="AI61">
        <f>-0.25*(sigma^2*$A61^2-(rate-d)*$A61)*EurCall!AJ62-(-0.5*sigma^2*$A61^2-0.5*rate+1/dt)*EurCall!AJ61-0.25*(sigma^2*$A61^2+(rate-d)*$A61)*EurCall!AJ60</f>
        <v>-1.2846196738692291E-18</v>
      </c>
      <c r="AJ61">
        <f>-0.25*(sigma^2*$A61^2-(rate-d)*$A61)*EurCall!AK62-(-0.5*sigma^2*$A61^2-0.5*rate+1/dt)*EurCall!AK61-0.25*(sigma^2*$A61^2+(rate-d)*$A61)*EurCall!AK60</f>
        <v>-5.459365489476982E-19</v>
      </c>
      <c r="AK61">
        <f>-0.25*(sigma^2*$A61^2-(rate-d)*$A61)*EurCall!AL62-(-0.5*sigma^2*$A61^2-0.5*rate+1/dt)*EurCall!AL61-0.25*(sigma^2*$A61^2+(rate-d)*$A61)*EurCall!AL60</f>
        <v>-2.2130099569003921E-19</v>
      </c>
      <c r="AL61">
        <f>-0.25*(sigma^2*$A61^2-(rate-d)*$A61)*EurCall!AM62-(-0.5*sigma^2*$A61^2-0.5*rate+1/dt)*EurCall!AM61-0.25*(sigma^2*$A61^2+(rate-d)*$A61)*EurCall!AM60</f>
        <v>-8.5151312130810251E-20</v>
      </c>
      <c r="AM61">
        <f>-0.25*(sigma^2*$A61^2-(rate-d)*$A61)*EurCall!AN62-(-0.5*sigma^2*$A61^2-0.5*rate+1/dt)*EurCall!AN61-0.25*(sigma^2*$A61^2+(rate-d)*$A61)*EurCall!AN60</f>
        <v>-3.092652369299764E-20</v>
      </c>
      <c r="AN61">
        <f>-0.25*(sigma^2*$A61^2-(rate-d)*$A61)*EurCall!AO62-(-0.5*sigma^2*$A61^2-0.5*rate+1/dt)*EurCall!AO61-0.25*(sigma^2*$A61^2+(rate-d)*$A61)*EurCall!AO60</f>
        <v>-1.0533335469859461E-20</v>
      </c>
      <c r="AO61">
        <f>-0.25*(sigma^2*$A61^2-(rate-d)*$A61)*EurCall!AP62-(-0.5*sigma^2*$A61^2-0.5*rate+1/dt)*EurCall!AP61-0.25*(sigma^2*$A61^2+(rate-d)*$A61)*EurCall!AP60</f>
        <v>-3.3385646328410068E-21</v>
      </c>
      <c r="AP61">
        <f>-0.25*(sigma^2*$A61^2-(rate-d)*$A61)*EurCall!AQ62-(-0.5*sigma^2*$A61^2-0.5*rate+1/dt)*EurCall!AQ61-0.25*(sigma^2*$A61^2+(rate-d)*$A61)*EurCall!AQ60</f>
        <v>-9.757639825735175E-22</v>
      </c>
      <c r="AQ61">
        <f>-0.25*(sigma^2*$A61^2-(rate-d)*$A61)*EurCall!AR62-(-0.5*sigma^2*$A61^2-0.5*rate+1/dt)*EurCall!AR61-0.25*(sigma^2*$A61^2+(rate-d)*$A61)*EurCall!AR60</f>
        <v>-2.6009657866673829E-22</v>
      </c>
      <c r="AR61">
        <f>-0.25*(sigma^2*$A61^2-(rate-d)*$A61)*EurCall!AS62-(-0.5*sigma^2*$A61^2-0.5*rate+1/dt)*EurCall!AS61-0.25*(sigma^2*$A61^2+(rate-d)*$A61)*EurCall!AS60</f>
        <v>-6.2381089799348448E-23</v>
      </c>
      <c r="AS61">
        <f>-0.25*(sigma^2*$A61^2-(rate-d)*$A61)*EurCall!AT62-(-0.5*sigma^2*$A61^2-0.5*rate+1/dt)*EurCall!AT61-0.25*(sigma^2*$A61^2+(rate-d)*$A61)*EurCall!AT60</f>
        <v>-1.3234826984513208E-23</v>
      </c>
      <c r="AT61">
        <f>-0.25*(sigma^2*$A61^2-(rate-d)*$A61)*EurCall!AU62-(-0.5*sigma^2*$A61^2-0.5*rate+1/dt)*EurCall!AU61-0.25*(sigma^2*$A61^2+(rate-d)*$A61)*EurCall!AU60</f>
        <v>-2.4298202399466373E-24</v>
      </c>
      <c r="AU61">
        <f>-0.25*(sigma^2*$A61^2-(rate-d)*$A61)*EurCall!AV62-(-0.5*sigma^2*$A61^2-0.5*rate+1/dt)*EurCall!AV61-0.25*(sigma^2*$A61^2+(rate-d)*$A61)*EurCall!AV60</f>
        <v>-3.747385641564655E-25</v>
      </c>
      <c r="AV61">
        <f>-0.25*(sigma^2*$A61^2-(rate-d)*$A61)*EurCall!AW62-(-0.5*sigma^2*$A61^2-0.5*rate+1/dt)*EurCall!AW61-0.25*(sigma^2*$A61^2+(rate-d)*$A61)*EurCall!AW60</f>
        <v>-4.6531187426734775E-26</v>
      </c>
      <c r="AW61">
        <f>-0.25*(sigma^2*$A61^2-(rate-d)*$A61)*EurCall!AX62-(-0.5*sigma^2*$A61^2-0.5*rate+1/dt)*EurCall!AX61-0.25*(sigma^2*$A61^2+(rate-d)*$A61)*EurCall!AX60</f>
        <v>-4.3535391206224035E-27</v>
      </c>
      <c r="AX61">
        <f>-0.25*(sigma^2*$A61^2-(rate-d)*$A61)*EurCall!AY62-(-0.5*sigma^2*$A61^2-0.5*rate+1/dt)*EurCall!AY61-0.25*(sigma^2*$A61^2+(rate-d)*$A61)*EurCall!AY60</f>
        <v>-2.7232587153365531E-28</v>
      </c>
      <c r="AY61">
        <f>-0.25*(sigma^2*$A61^2-(rate-d)*$A61)*EurCall!AZ62-(-0.5*sigma^2*$A61^2-0.5*rate+1/dt)*EurCall!AZ61-0.25*(sigma^2*$A61^2+(rate-d)*$A61)*EurCall!AZ60</f>
        <v>-8.5259592686142237E-30</v>
      </c>
      <c r="AZ61">
        <f>-0.25*(sigma^2*$A61^2-(rate-d)*$A61)*EurCall!BA62-(-0.5*sigma^2*$A61^2-0.5*rate+1/dt)*EurCall!BA61-0.25*(sigma^2*$A61^2+(rate-d)*$A61)*EurCall!BA60</f>
        <v>0</v>
      </c>
      <c r="BA61" s="6"/>
    </row>
    <row r="62" spans="1:53" x14ac:dyDescent="0.2">
      <c r="A62">
        <f t="shared" si="3"/>
        <v>3</v>
      </c>
      <c r="B62" s="3">
        <f t="shared" si="4"/>
        <v>6</v>
      </c>
      <c r="C62">
        <f>-0.25*(sigma^2*$A62^2-(rate-d)*$A62)*EurCall!D63-(-0.5*sigma^2*$A62^2-0.5*rate+1/dt)*EurCall!D62-0.25*(sigma^2*$A62^2+(rate-d)*$A62)*EurCall!D61</f>
        <v>-4.8560891025759635E-14</v>
      </c>
      <c r="D62">
        <f>-0.25*(sigma^2*$A62^2-(rate-d)*$A62)*EurCall!E63-(-0.5*sigma^2*$A62^2-0.5*rate+1/dt)*EurCall!E62-0.25*(sigma^2*$A62^2+(rate-d)*$A62)*EurCall!E61</f>
        <v>-3.5483552265163301E-14</v>
      </c>
      <c r="E62">
        <f>-0.25*(sigma^2*$A62^2-(rate-d)*$A62)*EurCall!F63-(-0.5*sigma^2*$A62^2-0.5*rate+1/dt)*EurCall!F62-0.25*(sigma^2*$A62^2+(rate-d)*$A62)*EurCall!F61</f>
        <v>-2.5742726508776126E-14</v>
      </c>
      <c r="F62">
        <f>-0.25*(sigma^2*$A62^2-(rate-d)*$A62)*EurCall!G63-(-0.5*sigma^2*$A62^2-0.5*rate+1/dt)*EurCall!G62-0.25*(sigma^2*$A62^2+(rate-d)*$A62)*EurCall!G61</f>
        <v>-1.8537026027774131E-14</v>
      </c>
      <c r="G62">
        <f>-0.25*(sigma^2*$A62^2-(rate-d)*$A62)*EurCall!H63-(-0.5*sigma^2*$A62^2-0.5*rate+1/dt)*EurCall!H62-0.25*(sigma^2*$A62^2+(rate-d)*$A62)*EurCall!H61</f>
        <v>-1.3244842041232415E-14</v>
      </c>
      <c r="H62">
        <f>-0.25*(sigma^2*$A62^2-(rate-d)*$A62)*EurCall!I63-(-0.5*sigma^2*$A62^2-0.5*rate+1/dt)*EurCall!I62-0.25*(sigma^2*$A62^2+(rate-d)*$A62)*EurCall!I61</f>
        <v>-9.3870534847046011E-15</v>
      </c>
      <c r="I62">
        <f>-0.25*(sigma^2*$A62^2-(rate-d)*$A62)*EurCall!J63-(-0.5*sigma^2*$A62^2-0.5*rate+1/dt)*EurCall!J62-0.25*(sigma^2*$A62^2+(rate-d)*$A62)*EurCall!J61</f>
        <v>-6.5967934933146308E-15</v>
      </c>
      <c r="J62">
        <f>-0.25*(sigma^2*$A62^2-(rate-d)*$A62)*EurCall!K63-(-0.5*sigma^2*$A62^2-0.5*rate+1/dt)*EurCall!K62-0.25*(sigma^2*$A62^2+(rate-d)*$A62)*EurCall!K61</f>
        <v>-4.5950771708508396E-15</v>
      </c>
      <c r="K62">
        <f>-0.25*(sigma^2*$A62^2-(rate-d)*$A62)*EurCall!L63-(-0.5*sigma^2*$A62^2-0.5*rate+1/dt)*EurCall!L62-0.25*(sigma^2*$A62^2+(rate-d)*$A62)*EurCall!L61</f>
        <v>-3.1712709564850127E-15</v>
      </c>
      <c r="L62">
        <f>-0.25*(sigma^2*$A62^2-(rate-d)*$A62)*EurCall!M63-(-0.5*sigma^2*$A62^2-0.5*rate+1/dt)*EurCall!M62-0.25*(sigma^2*$A62^2+(rate-d)*$A62)*EurCall!M61</f>
        <v>-2.1675389026404976E-15</v>
      </c>
      <c r="M62">
        <f>-0.25*(sigma^2*$A62^2-(rate-d)*$A62)*EurCall!N63-(-0.5*sigma^2*$A62^2-0.5*rate+1/dt)*EurCall!N62-0.25*(sigma^2*$A62^2+(rate-d)*$A62)*EurCall!N61</f>
        <v>-1.4665364736888808E-15</v>
      </c>
      <c r="N62">
        <f>-0.25*(sigma^2*$A62^2-(rate-d)*$A62)*EurCall!O63-(-0.5*sigma^2*$A62^2-0.5*rate+1/dt)*EurCall!O62-0.25*(sigma^2*$A62^2+(rate-d)*$A62)*EurCall!O61</f>
        <v>-9.8173998820806149E-16</v>
      </c>
      <c r="O62">
        <f>-0.25*(sigma^2*$A62^2-(rate-d)*$A62)*EurCall!P63-(-0.5*sigma^2*$A62^2-0.5*rate+1/dt)*EurCall!P62-0.25*(sigma^2*$A62^2+(rate-d)*$A62)*EurCall!P61</f>
        <v>-6.499013677530028E-16</v>
      </c>
      <c r="P62">
        <f>-0.25*(sigma^2*$A62^2-(rate-d)*$A62)*EurCall!Q63-(-0.5*sigma^2*$A62^2-0.5*rate+1/dt)*EurCall!Q62-0.25*(sigma^2*$A62^2+(rate-d)*$A62)*EurCall!Q61</f>
        <v>-4.252051187385136E-16</v>
      </c>
      <c r="Q62">
        <f>-0.25*(sigma^2*$A62^2-(rate-d)*$A62)*EurCall!R63-(-0.5*sigma^2*$A62^2-0.5*rate+1/dt)*EurCall!R62-0.25*(sigma^2*$A62^2+(rate-d)*$A62)*EurCall!R61</f>
        <v>-2.7477904264997821E-16</v>
      </c>
      <c r="R62">
        <f>-0.25*(sigma^2*$A62^2-(rate-d)*$A62)*EurCall!S63-(-0.5*sigma^2*$A62^2-0.5*rate+1/dt)*EurCall!S62-0.25*(sigma^2*$A62^2+(rate-d)*$A62)*EurCall!S61</f>
        <v>-1.7527351035391201E-16</v>
      </c>
      <c r="S62">
        <f>-0.25*(sigma^2*$A62^2-(rate-d)*$A62)*EurCall!T63-(-0.5*sigma^2*$A62^2-0.5*rate+1/dt)*EurCall!T62-0.25*(sigma^2*$A62^2+(rate-d)*$A62)*EurCall!T61</f>
        <v>-1.1027760218993183E-16</v>
      </c>
      <c r="T62">
        <f>-0.25*(sigma^2*$A62^2-(rate-d)*$A62)*EurCall!U63-(-0.5*sigma^2*$A62^2-0.5*rate+1/dt)*EurCall!U62-0.25*(sigma^2*$A62^2+(rate-d)*$A62)*EurCall!U61</f>
        <v>-6.8385248472837523E-17</v>
      </c>
      <c r="U62">
        <f>-0.25*(sigma^2*$A62^2-(rate-d)*$A62)*EurCall!V63-(-0.5*sigma^2*$A62^2-0.5*rate+1/dt)*EurCall!V62-0.25*(sigma^2*$A62^2+(rate-d)*$A62)*EurCall!V61</f>
        <v>-4.1761837564418962E-17</v>
      </c>
      <c r="V62">
        <f>-0.25*(sigma^2*$A62^2-(rate-d)*$A62)*EurCall!W63-(-0.5*sigma^2*$A62^2-0.5*rate+1/dt)*EurCall!W62-0.25*(sigma^2*$A62^2+(rate-d)*$A62)*EurCall!W61</f>
        <v>-2.5092617503452658E-17</v>
      </c>
      <c r="W62">
        <f>-0.25*(sigma^2*$A62^2-(rate-d)*$A62)*EurCall!X63-(-0.5*sigma^2*$A62^2-0.5*rate+1/dt)*EurCall!X62-0.25*(sigma^2*$A62^2+(rate-d)*$A62)*EurCall!X61</f>
        <v>-1.4819527143619219E-17</v>
      </c>
      <c r="X62">
        <f>-0.25*(sigma^2*$A62^2-(rate-d)*$A62)*EurCall!Y63-(-0.5*sigma^2*$A62^2-0.5*rate+1/dt)*EurCall!Y62-0.25*(sigma^2*$A62^2+(rate-d)*$A62)*EurCall!Y61</f>
        <v>-8.5936813267538498E-18</v>
      </c>
      <c r="Y62">
        <f>-0.25*(sigma^2*$A62^2-(rate-d)*$A62)*EurCall!Z63-(-0.5*sigma^2*$A62^2-0.5*rate+1/dt)*EurCall!Z62-0.25*(sigma^2*$A62^2+(rate-d)*$A62)*EurCall!Z61</f>
        <v>-4.887336974818643E-18</v>
      </c>
      <c r="Z62">
        <f>-0.25*(sigma^2*$A62^2-(rate-d)*$A62)*EurCall!AA63-(-0.5*sigma^2*$A62^2-0.5*rate+1/dt)*EurCall!AA62-0.25*(sigma^2*$A62^2+(rate-d)*$A62)*EurCall!AA61</f>
        <v>-2.7224314030874004E-18</v>
      </c>
      <c r="AA62">
        <f>-0.25*(sigma^2*$A62^2-(rate-d)*$A62)*EurCall!AB63-(-0.5*sigma^2*$A62^2-0.5*rate+1/dt)*EurCall!AB62-0.25*(sigma^2*$A62^2+(rate-d)*$A62)*EurCall!AB61</f>
        <v>-1.4832778225052571E-18</v>
      </c>
      <c r="AB62">
        <f>-0.25*(sigma^2*$A62^2-(rate-d)*$A62)*EurCall!AC63-(-0.5*sigma^2*$A62^2-0.5*rate+1/dt)*EurCall!AC62-0.25*(sigma^2*$A62^2+(rate-d)*$A62)*EurCall!AC61</f>
        <v>-7.8921800975367979E-19</v>
      </c>
      <c r="AC62">
        <f>-0.25*(sigma^2*$A62^2-(rate-d)*$A62)*EurCall!AD63-(-0.5*sigma^2*$A62^2-0.5*rate+1/dt)*EurCall!AD62-0.25*(sigma^2*$A62^2+(rate-d)*$A62)*EurCall!AD61</f>
        <v>-4.0939166241323842E-19</v>
      </c>
      <c r="AD62">
        <f>-0.25*(sigma^2*$A62^2-(rate-d)*$A62)*EurCall!AE63-(-0.5*sigma^2*$A62^2-0.5*rate+1/dt)*EurCall!AE62-0.25*(sigma^2*$A62^2+(rate-d)*$A62)*EurCall!AE61</f>
        <v>-2.0664652330657911E-19</v>
      </c>
      <c r="AE62">
        <f>-0.25*(sigma^2*$A62^2-(rate-d)*$A62)*EurCall!AF63-(-0.5*sigma^2*$A62^2-0.5*rate+1/dt)*EurCall!AF62-0.25*(sigma^2*$A62^2+(rate-d)*$A62)*EurCall!AF61</f>
        <v>-1.0128697655693366E-19</v>
      </c>
      <c r="AF62">
        <f>-0.25*(sigma^2*$A62^2-(rate-d)*$A62)*EurCall!AG63-(-0.5*sigma^2*$A62^2-0.5*rate+1/dt)*EurCall!AG62-0.25*(sigma^2*$A62^2+(rate-d)*$A62)*EurCall!AG61</f>
        <v>-4.8095138008334628E-20</v>
      </c>
      <c r="AG62">
        <f>-0.25*(sigma^2*$A62^2-(rate-d)*$A62)*EurCall!AH63-(-0.5*sigma^2*$A62^2-0.5*rate+1/dt)*EurCall!AH62-0.25*(sigma^2*$A62^2+(rate-d)*$A62)*EurCall!AH61</f>
        <v>-2.2066678279194559E-20</v>
      </c>
      <c r="AH62">
        <f>-0.25*(sigma^2*$A62^2-(rate-d)*$A62)*EurCall!AI63-(-0.5*sigma^2*$A62^2-0.5*rate+1/dt)*EurCall!AI62-0.25*(sigma^2*$A62^2+(rate-d)*$A62)*EurCall!AI61</f>
        <v>-9.754130255370985E-21</v>
      </c>
      <c r="AI62">
        <f>-0.25*(sigma^2*$A62^2-(rate-d)*$A62)*EurCall!AJ63-(-0.5*sigma^2*$A62^2-0.5*rate+1/dt)*EurCall!AJ62-0.25*(sigma^2*$A62^2+(rate-d)*$A62)*EurCall!AJ61</f>
        <v>-4.1402051006867827E-21</v>
      </c>
      <c r="AJ62">
        <f>-0.25*(sigma^2*$A62^2-(rate-d)*$A62)*EurCall!AK63-(-0.5*sigma^2*$A62^2-0.5*rate+1/dt)*EurCall!AK62-0.25*(sigma^2*$A62^2+(rate-d)*$A62)*EurCall!AK61</f>
        <v>-1.6811749439732537E-21</v>
      </c>
      <c r="AK62">
        <f>-0.25*(sigma^2*$A62^2-(rate-d)*$A62)*EurCall!AL63-(-0.5*sigma^2*$A62^2-0.5*rate+1/dt)*EurCall!AL62-0.25*(sigma^2*$A62^2+(rate-d)*$A62)*EurCall!AL61</f>
        <v>-6.5029876131739889E-22</v>
      </c>
      <c r="AL62">
        <f>-0.25*(sigma^2*$A62^2-(rate-d)*$A62)*EurCall!AM63-(-0.5*sigma^2*$A62^2-0.5*rate+1/dt)*EurCall!AM62-0.25*(sigma^2*$A62^2+(rate-d)*$A62)*EurCall!AM61</f>
        <v>-2.3845394625095136E-22</v>
      </c>
      <c r="AM62">
        <f>-0.25*(sigma^2*$A62^2-(rate-d)*$A62)*EurCall!AN63-(-0.5*sigma^2*$A62^2-0.5*rate+1/dt)*EurCall!AN62-0.25*(sigma^2*$A62^2+(rate-d)*$A62)*EurCall!AN61</f>
        <v>-8.2422508424424737E-23</v>
      </c>
      <c r="AN62">
        <f>-0.25*(sigma^2*$A62^2-(rate-d)*$A62)*EurCall!AO63-(-0.5*sigma^2*$A62^2-0.5*rate+1/dt)*EurCall!AO62-0.25*(sigma^2*$A62^2+(rate-d)*$A62)*EurCall!AO61</f>
        <v>-2.6680750531418259E-23</v>
      </c>
      <c r="AO62">
        <f>-0.25*(sigma^2*$A62^2-(rate-d)*$A62)*EurCall!AP63-(-0.5*sigma^2*$A62^2-0.5*rate+1/dt)*EurCall!AP62-0.25*(sigma^2*$A62^2+(rate-d)*$A62)*EurCall!AP61</f>
        <v>-8.0265510665228356E-24</v>
      </c>
      <c r="AP62">
        <f>-0.25*(sigma^2*$A62^2-(rate-d)*$A62)*EurCall!AQ63-(-0.5*sigma^2*$A62^2-0.5*rate+1/dt)*EurCall!AQ62-0.25*(sigma^2*$A62^2+(rate-d)*$A62)*EurCall!AQ61</f>
        <v>-2.2237274950220365E-24</v>
      </c>
      <c r="AQ62">
        <f>-0.25*(sigma^2*$A62^2-(rate-d)*$A62)*EurCall!AR63-(-0.5*sigma^2*$A62^2-0.5*rate+1/dt)*EurCall!AR62-0.25*(sigma^2*$A62^2+(rate-d)*$A62)*EurCall!AR61</f>
        <v>-5.6116257926346137E-25</v>
      </c>
      <c r="AR62">
        <f>-0.25*(sigma^2*$A62^2-(rate-d)*$A62)*EurCall!AS63-(-0.5*sigma^2*$A62^2-0.5*rate+1/dt)*EurCall!AS62-0.25*(sigma^2*$A62^2+(rate-d)*$A62)*EurCall!AS61</f>
        <v>-1.2726308564629588E-25</v>
      </c>
      <c r="AS62">
        <f>-0.25*(sigma^2*$A62^2-(rate-d)*$A62)*EurCall!AT63-(-0.5*sigma^2*$A62^2-0.5*rate+1/dt)*EurCall!AT62-0.25*(sigma^2*$A62^2+(rate-d)*$A62)*EurCall!AT61</f>
        <v>-2.550233481579803E-26</v>
      </c>
      <c r="AT62">
        <f>-0.25*(sigma^2*$A62^2-(rate-d)*$A62)*EurCall!AU63-(-0.5*sigma^2*$A62^2-0.5*rate+1/dt)*EurCall!AU62-0.25*(sigma^2*$A62^2+(rate-d)*$A62)*EurCall!AU61</f>
        <v>-4.4178804134596878E-27</v>
      </c>
      <c r="AU62">
        <f>-0.25*(sigma^2*$A62^2-(rate-d)*$A62)*EurCall!AV63-(-0.5*sigma^2*$A62^2-0.5*rate+1/dt)*EurCall!AV62-0.25*(sigma^2*$A62^2+(rate-d)*$A62)*EurCall!AV61</f>
        <v>-6.4235041347857859E-28</v>
      </c>
      <c r="AV62">
        <f>-0.25*(sigma^2*$A62^2-(rate-d)*$A62)*EurCall!AW63-(-0.5*sigma^2*$A62^2-0.5*rate+1/dt)*EurCall!AW62-0.25*(sigma^2*$A62^2+(rate-d)*$A62)*EurCall!AW61</f>
        <v>-7.5142702570497182E-29</v>
      </c>
      <c r="AW62">
        <f>-0.25*(sigma^2*$A62^2-(rate-d)*$A62)*EurCall!AX63-(-0.5*sigma^2*$A62^2-0.5*rate+1/dt)*EurCall!AX62-0.25*(sigma^2*$A62^2+(rate-d)*$A62)*EurCall!AX61</f>
        <v>-6.6199929999617155E-30</v>
      </c>
      <c r="AX62">
        <f>-0.25*(sigma^2*$A62^2-(rate-d)*$A62)*EurCall!AY63-(-0.5*sigma^2*$A62^2-0.5*rate+1/dt)*EurCall!AY62-0.25*(sigma^2*$A62^2+(rate-d)*$A62)*EurCall!AY61</f>
        <v>-3.8979334676755382E-31</v>
      </c>
      <c r="AY62">
        <f>-0.25*(sigma^2*$A62^2-(rate-d)*$A62)*EurCall!AZ63-(-0.5*sigma^2*$A62^2-0.5*rate+1/dt)*EurCall!AZ62-0.25*(sigma^2*$A62^2+(rate-d)*$A62)*EurCall!AZ61</f>
        <v>-1.1485928177548316E-32</v>
      </c>
      <c r="AZ62">
        <f>-0.25*(sigma^2*$A62^2-(rate-d)*$A62)*EurCall!BA63-(-0.5*sigma^2*$A62^2-0.5*rate+1/dt)*EurCall!BA62-0.25*(sigma^2*$A62^2+(rate-d)*$A62)*EurCall!BA61</f>
        <v>0</v>
      </c>
      <c r="BA62" s="6"/>
    </row>
    <row r="63" spans="1:53" x14ac:dyDescent="0.2">
      <c r="A63">
        <f t="shared" si="3"/>
        <v>2</v>
      </c>
      <c r="B63" s="3">
        <f t="shared" si="4"/>
        <v>4</v>
      </c>
      <c r="C63">
        <f>-0.25*(sigma^2*$A63^2-(rate-d)*$A63)*EurCall!D64-(-0.5*sigma^2*$A63^2-0.5*rate+1/dt)*EurCall!D63-0.25*(sigma^2*$A63^2+(rate-d)*$A63)*EurCall!D62</f>
        <v>-2.0515302910441863E-16</v>
      </c>
      <c r="D63">
        <f>-0.25*(sigma^2*$A63^2-(rate-d)*$A63)*EurCall!E64-(-0.5*sigma^2*$A63^2-0.5*rate+1/dt)*EurCall!E63-0.25*(sigma^2*$A63^2+(rate-d)*$A63)*EurCall!E62</f>
        <v>-1.4670891722336849E-16</v>
      </c>
      <c r="E63">
        <f>-0.25*(sigma^2*$A63^2-(rate-d)*$A63)*EurCall!F64-(-0.5*sigma^2*$A63^2-0.5*rate+1/dt)*EurCall!F63-0.25*(sigma^2*$A63^2+(rate-d)*$A63)*EurCall!F62</f>
        <v>-1.0412640624428668E-16</v>
      </c>
      <c r="F63">
        <f>-0.25*(sigma^2*$A63^2-(rate-d)*$A63)*EurCall!G64-(-0.5*sigma^2*$A63^2-0.5*rate+1/dt)*EurCall!G63-0.25*(sigma^2*$A63^2+(rate-d)*$A63)*EurCall!G62</f>
        <v>-7.3325752828375629E-17</v>
      </c>
      <c r="G63">
        <f>-0.25*(sigma^2*$A63^2-(rate-d)*$A63)*EurCall!H64-(-0.5*sigma^2*$A63^2-0.5*rate+1/dt)*EurCall!H63-0.25*(sigma^2*$A63^2+(rate-d)*$A63)*EurCall!H62</f>
        <v>-5.1215423988847097E-17</v>
      </c>
      <c r="H63">
        <f>-0.25*(sigma^2*$A63^2-(rate-d)*$A63)*EurCall!I64-(-0.5*sigma^2*$A63^2-0.5*rate+1/dt)*EurCall!I63-0.25*(sigma^2*$A63^2+(rate-d)*$A63)*EurCall!I62</f>
        <v>-3.5468438150094748E-17</v>
      </c>
      <c r="I63">
        <f>-0.25*(sigma^2*$A63^2-(rate-d)*$A63)*EurCall!J64-(-0.5*sigma^2*$A63^2-0.5*rate+1/dt)*EurCall!J63-0.25*(sigma^2*$A63^2+(rate-d)*$A63)*EurCall!J62</f>
        <v>-2.4345533067925255E-17</v>
      </c>
      <c r="J63">
        <f>-0.25*(sigma^2*$A63^2-(rate-d)*$A63)*EurCall!K64-(-0.5*sigma^2*$A63^2-0.5*rate+1/dt)*EurCall!K63-0.25*(sigma^2*$A63^2+(rate-d)*$A63)*EurCall!K62</f>
        <v>-1.655621046658429E-17</v>
      </c>
      <c r="K63">
        <f>-0.25*(sigma^2*$A63^2-(rate-d)*$A63)*EurCall!L64-(-0.5*sigma^2*$A63^2-0.5*rate+1/dt)*EurCall!L63-0.25*(sigma^2*$A63^2+(rate-d)*$A63)*EurCall!L62</f>
        <v>-1.1150240530238658E-17</v>
      </c>
      <c r="L63">
        <f>-0.25*(sigma^2*$A63^2-(rate-d)*$A63)*EurCall!M64-(-0.5*sigma^2*$A63^2-0.5*rate+1/dt)*EurCall!M63-0.25*(sigma^2*$A63^2+(rate-d)*$A63)*EurCall!M62</f>
        <v>-7.4335135695425833E-18</v>
      </c>
      <c r="M63">
        <f>-0.25*(sigma^2*$A63^2-(rate-d)*$A63)*EurCall!N64-(-0.5*sigma^2*$A63^2-0.5*rate+1/dt)*EurCall!N63-0.25*(sigma^2*$A63^2+(rate-d)*$A63)*EurCall!N62</f>
        <v>-4.9032298062165985E-18</v>
      </c>
      <c r="N63">
        <f>-0.25*(sigma^2*$A63^2-(rate-d)*$A63)*EurCall!O64-(-0.5*sigma^2*$A63^2-0.5*rate+1/dt)*EurCall!O63-0.25*(sigma^2*$A63^2+(rate-d)*$A63)*EurCall!O62</f>
        <v>-3.1983471096827711E-18</v>
      </c>
      <c r="O63">
        <f>-0.25*(sigma^2*$A63^2-(rate-d)*$A63)*EurCall!P64-(-0.5*sigma^2*$A63^2-0.5*rate+1/dt)*EurCall!P63-0.25*(sigma^2*$A63^2+(rate-d)*$A63)*EurCall!P62</f>
        <v>-2.0619839501689443E-18</v>
      </c>
      <c r="P63">
        <f>-0.25*(sigma^2*$A63^2-(rate-d)*$A63)*EurCall!Q64-(-0.5*sigma^2*$A63^2-0.5*rate+1/dt)*EurCall!Q63-0.25*(sigma^2*$A63^2+(rate-d)*$A63)*EurCall!Q62</f>
        <v>-1.3131216667156569E-18</v>
      </c>
      <c r="Q63">
        <f>-0.25*(sigma^2*$A63^2-(rate-d)*$A63)*EurCall!R64-(-0.5*sigma^2*$A63^2-0.5*rate+1/dt)*EurCall!R63-0.25*(sigma^2*$A63^2+(rate-d)*$A63)*EurCall!R62</f>
        <v>-8.2548499954129208E-19</v>
      </c>
      <c r="R63">
        <f>-0.25*(sigma^2*$A63^2-(rate-d)*$A63)*EurCall!S64-(-0.5*sigma^2*$A63^2-0.5*rate+1/dt)*EurCall!S63-0.25*(sigma^2*$A63^2+(rate-d)*$A63)*EurCall!S62</f>
        <v>-5.1191922226935545E-19</v>
      </c>
      <c r="S63">
        <f>-0.25*(sigma^2*$A63^2-(rate-d)*$A63)*EurCall!T64-(-0.5*sigma^2*$A63^2-0.5*rate+1/dt)*EurCall!T63-0.25*(sigma^2*$A63^2+(rate-d)*$A63)*EurCall!T62</f>
        <v>-3.1294070854812384E-19</v>
      </c>
      <c r="T63">
        <f>-0.25*(sigma^2*$A63^2-(rate-d)*$A63)*EurCall!U64-(-0.5*sigma^2*$A63^2-0.5*rate+1/dt)*EurCall!U63-0.25*(sigma^2*$A63^2+(rate-d)*$A63)*EurCall!U62</f>
        <v>-1.8842817107873619E-19</v>
      </c>
      <c r="U63">
        <f>-0.25*(sigma^2*$A63^2-(rate-d)*$A63)*EurCall!V64-(-0.5*sigma^2*$A63^2-0.5*rate+1/dt)*EurCall!V63-0.25*(sigma^2*$A63^2+(rate-d)*$A63)*EurCall!V62</f>
        <v>-1.1165527486869455E-19</v>
      </c>
      <c r="V63">
        <f>-0.25*(sigma^2*$A63^2-(rate-d)*$A63)*EurCall!W64-(-0.5*sigma^2*$A63^2-0.5*rate+1/dt)*EurCall!W63-0.25*(sigma^2*$A63^2+(rate-d)*$A63)*EurCall!W62</f>
        <v>-6.5051517916674452E-20</v>
      </c>
      <c r="W63">
        <f>-0.25*(sigma^2*$A63^2-(rate-d)*$A63)*EurCall!X64-(-0.5*sigma^2*$A63^2-0.5*rate+1/dt)*EurCall!X63-0.25*(sigma^2*$A63^2+(rate-d)*$A63)*EurCall!X62</f>
        <v>-3.7225512482789784E-20</v>
      </c>
      <c r="X63">
        <f>-0.25*(sigma^2*$A63^2-(rate-d)*$A63)*EurCall!Y64-(-0.5*sigma^2*$A63^2-0.5*rate+1/dt)*EurCall!Y63-0.25*(sigma^2*$A63^2+(rate-d)*$A63)*EurCall!Y62</f>
        <v>-2.0900199925960275E-20</v>
      </c>
      <c r="Y63">
        <f>-0.25*(sigma^2*$A63^2-(rate-d)*$A63)*EurCall!Z64-(-0.5*sigma^2*$A63^2-0.5*rate+1/dt)*EurCall!Z63-0.25*(sigma^2*$A63^2+(rate-d)*$A63)*EurCall!Z62</f>
        <v>-1.1499123718995355E-20</v>
      </c>
      <c r="Z63">
        <f>-0.25*(sigma^2*$A63^2-(rate-d)*$A63)*EurCall!AA64-(-0.5*sigma^2*$A63^2-0.5*rate+1/dt)*EurCall!AA63-0.25*(sigma^2*$A63^2+(rate-d)*$A63)*EurCall!AA62</f>
        <v>-6.1917444077549522E-21</v>
      </c>
      <c r="AA63">
        <f>-0.25*(sigma^2*$A63^2-(rate-d)*$A63)*EurCall!AB64-(-0.5*sigma^2*$A63^2-0.5*rate+1/dt)*EurCall!AB63-0.25*(sigma^2*$A63^2+(rate-d)*$A63)*EurCall!AB62</f>
        <v>-3.2581421008098641E-21</v>
      </c>
      <c r="AB63">
        <f>-0.25*(sigma^2*$A63^2-(rate-d)*$A63)*EurCall!AC64-(-0.5*sigma^2*$A63^2-0.5*rate+1/dt)*EurCall!AC63-0.25*(sigma^2*$A63^2+(rate-d)*$A63)*EurCall!AC62</f>
        <v>-1.6728187099072295E-21</v>
      </c>
      <c r="AC63">
        <f>-0.25*(sigma^2*$A63^2-(rate-d)*$A63)*EurCall!AD64-(-0.5*sigma^2*$A63^2-0.5*rate+1/dt)*EurCall!AD63-0.25*(sigma^2*$A63^2+(rate-d)*$A63)*EurCall!AD62</f>
        <v>-8.365520677686072E-22</v>
      </c>
      <c r="AD63">
        <f>-0.25*(sigma^2*$A63^2-(rate-d)*$A63)*EurCall!AE64-(-0.5*sigma^2*$A63^2-0.5*rate+1/dt)*EurCall!AE63-0.25*(sigma^2*$A63^2+(rate-d)*$A63)*EurCall!AE62</f>
        <v>-4.0669282134829631E-22</v>
      </c>
      <c r="AE63">
        <f>-0.25*(sigma^2*$A63^2-(rate-d)*$A63)*EurCall!AF64-(-0.5*sigma^2*$A63^2-0.5*rate+1/dt)*EurCall!AF63-0.25*(sigma^2*$A63^2+(rate-d)*$A63)*EurCall!AF62</f>
        <v>-1.9179767117172264E-22</v>
      </c>
      <c r="AF63">
        <f>-0.25*(sigma^2*$A63^2-(rate-d)*$A63)*EurCall!AG64-(-0.5*sigma^2*$A63^2-0.5*rate+1/dt)*EurCall!AG63-0.25*(sigma^2*$A63^2+(rate-d)*$A63)*EurCall!AG62</f>
        <v>-8.753744170309495E-23</v>
      </c>
      <c r="AG63">
        <f>-0.25*(sigma^2*$A63^2-(rate-d)*$A63)*EurCall!AH64-(-0.5*sigma^2*$A63^2-0.5*rate+1/dt)*EurCall!AH63-0.25*(sigma^2*$A63^2+(rate-d)*$A63)*EurCall!AH62</f>
        <v>-3.8562872873807029E-23</v>
      </c>
      <c r="AH63">
        <f>-0.25*(sigma^2*$A63^2-(rate-d)*$A63)*EurCall!AI64-(-0.5*sigma^2*$A63^2-0.5*rate+1/dt)*EurCall!AI63-0.25*(sigma^2*$A63^2+(rate-d)*$A63)*EurCall!AI62</f>
        <v>-1.6348706382524225E-23</v>
      </c>
      <c r="AI63">
        <f>-0.25*(sigma^2*$A63^2-(rate-d)*$A63)*EurCall!AJ64-(-0.5*sigma^2*$A63^2-0.5*rate+1/dt)*EurCall!AJ63-0.25*(sigma^2*$A63^2+(rate-d)*$A63)*EurCall!AJ62</f>
        <v>-6.6479666647916918E-24</v>
      </c>
      <c r="AJ63">
        <f>-0.25*(sigma^2*$A63^2-(rate-d)*$A63)*EurCall!AK64-(-0.5*sigma^2*$A63^2-0.5*rate+1/dt)*EurCall!AK63-0.25*(sigma^2*$A63^2+(rate-d)*$A63)*EurCall!AK62</f>
        <v>-2.5831543626040617E-24</v>
      </c>
      <c r="AK63">
        <f>-0.25*(sigma^2*$A63^2-(rate-d)*$A63)*EurCall!AL64-(-0.5*sigma^2*$A63^2-0.5*rate+1/dt)*EurCall!AL63-0.25*(sigma^2*$A63^2+(rate-d)*$A63)*EurCall!AL62</f>
        <v>-9.5501456955787888E-25</v>
      </c>
      <c r="AL63">
        <f>-0.25*(sigma^2*$A63^2-(rate-d)*$A63)*EurCall!AM64-(-0.5*sigma^2*$A63^2-0.5*rate+1/dt)*EurCall!AM63-0.25*(sigma^2*$A63^2+(rate-d)*$A63)*EurCall!AM62</f>
        <v>-3.3430586212913248E-25</v>
      </c>
      <c r="AM63">
        <f>-0.25*(sigma^2*$A63^2-(rate-d)*$A63)*EurCall!AN64-(-0.5*sigma^2*$A63^2-0.5*rate+1/dt)*EurCall!AN63-0.25*(sigma^2*$A63^2+(rate-d)*$A63)*EurCall!AN62</f>
        <v>-1.101812583854125E-25</v>
      </c>
      <c r="AN63">
        <f>-0.25*(sigma^2*$A63^2-(rate-d)*$A63)*EurCall!AO64-(-0.5*sigma^2*$A63^2-0.5*rate+1/dt)*EurCall!AO63-0.25*(sigma^2*$A63^2+(rate-d)*$A63)*EurCall!AO62</f>
        <v>-3.3967534186574132E-26</v>
      </c>
      <c r="AO63">
        <f>-0.25*(sigma^2*$A63^2-(rate-d)*$A63)*EurCall!AP64-(-0.5*sigma^2*$A63^2-0.5*rate+1/dt)*EurCall!AP63-0.25*(sigma^2*$A63^2+(rate-d)*$A63)*EurCall!AP62</f>
        <v>-9.7204779714761549E-27</v>
      </c>
      <c r="AP63">
        <f>-0.25*(sigma^2*$A63^2-(rate-d)*$A63)*EurCall!AQ64-(-0.5*sigma^2*$A63^2-0.5*rate+1/dt)*EurCall!AQ63-0.25*(sigma^2*$A63^2+(rate-d)*$A63)*EurCall!AQ62</f>
        <v>-2.5587896608483101E-27</v>
      </c>
      <c r="AQ63">
        <f>-0.25*(sigma^2*$A63^2-(rate-d)*$A63)*EurCall!AR64-(-0.5*sigma^2*$A63^2-0.5*rate+1/dt)*EurCall!AR63-0.25*(sigma^2*$A63^2+(rate-d)*$A63)*EurCall!AR62</f>
        <v>-6.1285529230879322E-28</v>
      </c>
      <c r="AR63">
        <f>-0.25*(sigma^2*$A63^2-(rate-d)*$A63)*EurCall!AS64-(-0.5*sigma^2*$A63^2-0.5*rate+1/dt)*EurCall!AS63-0.25*(sigma^2*$A63^2+(rate-d)*$A63)*EurCall!AS62</f>
        <v>-1.3177639356812927E-28</v>
      </c>
      <c r="AS63">
        <f>-0.25*(sigma^2*$A63^2-(rate-d)*$A63)*EurCall!AT64-(-0.5*sigma^2*$A63^2-0.5*rate+1/dt)*EurCall!AT63-0.25*(sigma^2*$A63^2+(rate-d)*$A63)*EurCall!AT62</f>
        <v>-2.5013062006126288E-29</v>
      </c>
      <c r="AT63">
        <f>-0.25*(sigma^2*$A63^2-(rate-d)*$A63)*EurCall!AU64-(-0.5*sigma^2*$A63^2-0.5*rate+1/dt)*EurCall!AU63-0.25*(sigma^2*$A63^2+(rate-d)*$A63)*EurCall!AU62</f>
        <v>-4.1009357477750518E-30</v>
      </c>
      <c r="AU63">
        <f>-0.25*(sigma^2*$A63^2-(rate-d)*$A63)*EurCall!AV64-(-0.5*sigma^2*$A63^2-0.5*rate+1/dt)*EurCall!AV63-0.25*(sigma^2*$A63^2+(rate-d)*$A63)*EurCall!AV62</f>
        <v>-5.6390534261509123E-31</v>
      </c>
      <c r="AV63">
        <f>-0.25*(sigma^2*$A63^2-(rate-d)*$A63)*EurCall!AW64-(-0.5*sigma^2*$A63^2-0.5*rate+1/dt)*EurCall!AW63-0.25*(sigma^2*$A63^2+(rate-d)*$A63)*EurCall!AW62</f>
        <v>-6.2349021871048985E-32</v>
      </c>
      <c r="AW63">
        <f>-0.25*(sigma^2*$A63^2-(rate-d)*$A63)*EurCall!AX64-(-0.5*sigma^2*$A63^2-0.5*rate+1/dt)*EurCall!AX63-0.25*(sigma^2*$A63^2+(rate-d)*$A63)*EurCall!AX62</f>
        <v>-5.1894252871544858E-33</v>
      </c>
      <c r="AX63">
        <f>-0.25*(sigma^2*$A63^2-(rate-d)*$A63)*EurCall!AY64-(-0.5*sigma^2*$A63^2-0.5*rate+1/dt)*EurCall!AY63-0.25*(sigma^2*$A63^2+(rate-d)*$A63)*EurCall!AY62</f>
        <v>-2.8860052073293457E-34</v>
      </c>
      <c r="AY63">
        <f>-0.25*(sigma^2*$A63^2-(rate-d)*$A63)*EurCall!AZ64-(-0.5*sigma^2*$A63^2-0.5*rate+1/dt)*EurCall!AZ63-0.25*(sigma^2*$A63^2+(rate-d)*$A63)*EurCall!AZ62</f>
        <v>-8.0313154779406327E-36</v>
      </c>
      <c r="AZ63">
        <f>-0.25*(sigma^2*$A63^2-(rate-d)*$A63)*EurCall!BA64-(-0.5*sigma^2*$A63^2-0.5*rate+1/dt)*EurCall!BA63-0.25*(sigma^2*$A63^2+(rate-d)*$A63)*EurCall!BA62</f>
        <v>0</v>
      </c>
      <c r="BA63" s="6"/>
    </row>
    <row r="64" spans="1:53" x14ac:dyDescent="0.2">
      <c r="A64">
        <f t="shared" si="3"/>
        <v>1</v>
      </c>
      <c r="B64" s="3">
        <f t="shared" si="4"/>
        <v>2</v>
      </c>
      <c r="C64">
        <f>-0.25*(sigma^2*$A64^2-(rate-d)*$A64)*EurCall!D65-(-0.5*sigma^2*$A64^2-0.5*rate+1/dt)*EurCall!D64-0.25*(sigma^2*$A64^2+(rate-d)*$A64)*EurCall!D63</f>
        <v>-2.924502705104471E-19</v>
      </c>
      <c r="D64">
        <f>-0.25*(sigma^2*$A64^2-(rate-d)*$A64)*EurCall!E65-(-0.5*sigma^2*$A64^2-0.5*rate+1/dt)*EurCall!E64-0.25*(sigma^2*$A64^2+(rate-d)*$A64)*EurCall!E63</f>
        <v>-2.0473337575163132E-19</v>
      </c>
      <c r="E64">
        <f>-0.25*(sigma^2*$A64^2-(rate-d)*$A64)*EurCall!F65-(-0.5*sigma^2*$A64^2-0.5*rate+1/dt)*EurCall!F64-0.25*(sigma^2*$A64^2+(rate-d)*$A64)*EurCall!F63</f>
        <v>-1.4219801057788226E-19</v>
      </c>
      <c r="F64">
        <f>-0.25*(sigma^2*$A64^2-(rate-d)*$A64)*EurCall!G65-(-0.5*sigma^2*$A64^2-0.5*rate+1/dt)*EurCall!G64-0.25*(sigma^2*$A64^2+(rate-d)*$A64)*EurCall!G63</f>
        <v>-9.7955047338674958E-20</v>
      </c>
      <c r="G64">
        <f>-0.25*(sigma^2*$A64^2-(rate-d)*$A64)*EurCall!H65-(-0.5*sigma^2*$A64^2-0.5*rate+1/dt)*EurCall!H64-0.25*(sigma^2*$A64^2+(rate-d)*$A64)*EurCall!H63</f>
        <v>-6.6902181748913075E-20</v>
      </c>
      <c r="H64">
        <f>-0.25*(sigma^2*$A64^2-(rate-d)*$A64)*EurCall!I65-(-0.5*sigma^2*$A64^2-0.5*rate+1/dt)*EurCall!I64-0.25*(sigma^2*$A64^2+(rate-d)*$A64)*EurCall!I63</f>
        <v>-4.5287310960532316E-20</v>
      </c>
      <c r="I64">
        <f>-0.25*(sigma^2*$A64^2-(rate-d)*$A64)*EurCall!J65-(-0.5*sigma^2*$A64^2-0.5*rate+1/dt)*EurCall!J64-0.25*(sigma^2*$A64^2+(rate-d)*$A64)*EurCall!J63</f>
        <v>-3.0371647635325234E-20</v>
      </c>
      <c r="J64">
        <f>-0.25*(sigma^2*$A64^2-(rate-d)*$A64)*EurCall!K65-(-0.5*sigma^2*$A64^2-0.5*rate+1/dt)*EurCall!K64-0.25*(sigma^2*$A64^2+(rate-d)*$A64)*EurCall!K63</f>
        <v>-2.0171483317174097E-20</v>
      </c>
      <c r="K64">
        <f>-0.25*(sigma^2*$A64^2-(rate-d)*$A64)*EurCall!L65-(-0.5*sigma^2*$A64^2-0.5*rate+1/dt)*EurCall!L64-0.25*(sigma^2*$A64^2+(rate-d)*$A64)*EurCall!L63</f>
        <v>-1.3261587103178532E-20</v>
      </c>
      <c r="L64">
        <f>-0.25*(sigma^2*$A64^2-(rate-d)*$A64)*EurCall!M65-(-0.5*sigma^2*$A64^2-0.5*rate+1/dt)*EurCall!M64-0.25*(sigma^2*$A64^2+(rate-d)*$A64)*EurCall!M63</f>
        <v>-8.6265926681188689E-21</v>
      </c>
      <c r="M64">
        <f>-0.25*(sigma^2*$A64^2-(rate-d)*$A64)*EurCall!N65-(-0.5*sigma^2*$A64^2-0.5*rate+1/dt)*EurCall!N64-0.25*(sigma^2*$A64^2+(rate-d)*$A64)*EurCall!N63</f>
        <v>-5.5494948679471059E-21</v>
      </c>
      <c r="N64">
        <f>-0.25*(sigma^2*$A64^2-(rate-d)*$A64)*EurCall!O65-(-0.5*sigma^2*$A64^2-0.5*rate+1/dt)*EurCall!O64-0.25*(sigma^2*$A64^2+(rate-d)*$A64)*EurCall!O63</f>
        <v>-3.5286397062593657E-21</v>
      </c>
      <c r="O64">
        <f>-0.25*(sigma^2*$A64^2-(rate-d)*$A64)*EurCall!P65-(-0.5*sigma^2*$A64^2-0.5*rate+1/dt)*EurCall!P64-0.25*(sigma^2*$A64^2+(rate-d)*$A64)*EurCall!P63</f>
        <v>-2.2164294758875108E-21</v>
      </c>
      <c r="P64">
        <f>-0.25*(sigma^2*$A64^2-(rate-d)*$A64)*EurCall!Q65-(-0.5*sigma^2*$A64^2-0.5*rate+1/dt)*EurCall!Q64-0.25*(sigma^2*$A64^2+(rate-d)*$A64)*EurCall!Q63</f>
        <v>-1.3744485106596337E-21</v>
      </c>
      <c r="Q64">
        <f>-0.25*(sigma^2*$A64^2-(rate-d)*$A64)*EurCall!R65-(-0.5*sigma^2*$A64^2-0.5*rate+1/dt)*EurCall!R64-0.25*(sigma^2*$A64^2+(rate-d)*$A64)*EurCall!R63</f>
        <v>-8.4090452061103187E-22</v>
      </c>
      <c r="R64">
        <f>-0.25*(sigma^2*$A64^2-(rate-d)*$A64)*EurCall!S65-(-0.5*sigma^2*$A64^2-0.5*rate+1/dt)*EurCall!S64-0.25*(sigma^2*$A64^2+(rate-d)*$A64)*EurCall!S63</f>
        <v>-5.0722753118426765E-22</v>
      </c>
      <c r="S64">
        <f>-0.25*(sigma^2*$A64^2-(rate-d)*$A64)*EurCall!T65-(-0.5*sigma^2*$A64^2-0.5*rate+1/dt)*EurCall!T64-0.25*(sigma^2*$A64^2+(rate-d)*$A64)*EurCall!T63</f>
        <v>-3.0141687068083036E-22</v>
      </c>
      <c r="T64">
        <f>-0.25*(sigma^2*$A64^2-(rate-d)*$A64)*EurCall!U65-(-0.5*sigma^2*$A64^2-0.5*rate+1/dt)*EurCall!U64-0.25*(sigma^2*$A64^2+(rate-d)*$A64)*EurCall!U63</f>
        <v>-1.7631351596743946E-22</v>
      </c>
      <c r="U64">
        <f>-0.25*(sigma^2*$A64^2-(rate-d)*$A64)*EurCall!V65-(-0.5*sigma^2*$A64^2-0.5*rate+1/dt)*EurCall!V64-0.25*(sigma^2*$A64^2+(rate-d)*$A64)*EurCall!V63</f>
        <v>-1.0143152700206649E-22</v>
      </c>
      <c r="V64">
        <f>-0.25*(sigma^2*$A64^2-(rate-d)*$A64)*EurCall!W65-(-0.5*sigma^2*$A64^2-0.5*rate+1/dt)*EurCall!W64-0.25*(sigma^2*$A64^2+(rate-d)*$A64)*EurCall!W63</f>
        <v>-5.7334211675062795E-23</v>
      </c>
      <c r="W64">
        <f>-0.25*(sigma^2*$A64^2-(rate-d)*$A64)*EurCall!X65-(-0.5*sigma^2*$A64^2-0.5*rate+1/dt)*EurCall!X64-0.25*(sigma^2*$A64^2+(rate-d)*$A64)*EurCall!X63</f>
        <v>-3.1809525944006267E-23</v>
      </c>
      <c r="X64">
        <f>-0.25*(sigma^2*$A64^2-(rate-d)*$A64)*EurCall!Y65-(-0.5*sigma^2*$A64^2-0.5*rate+1/dt)*EurCall!Y64-0.25*(sigma^2*$A64^2+(rate-d)*$A64)*EurCall!Y63</f>
        <v>-1.7302653931756636E-23</v>
      </c>
      <c r="Y64">
        <f>-0.25*(sigma^2*$A64^2-(rate-d)*$A64)*EurCall!Z65-(-0.5*sigma^2*$A64^2-0.5*rate+1/dt)*EurCall!Z64-0.25*(sigma^2*$A64^2+(rate-d)*$A64)*EurCall!Z63</f>
        <v>-9.216082388677945E-24</v>
      </c>
      <c r="Z64">
        <f>-0.25*(sigma^2*$A64^2-(rate-d)*$A64)*EurCall!AA65-(-0.5*sigma^2*$A64^2-0.5*rate+1/dt)*EurCall!AA64-0.25*(sigma^2*$A64^2+(rate-d)*$A64)*EurCall!AA63</f>
        <v>-4.8003735849771946E-24</v>
      </c>
      <c r="AA64">
        <f>-0.25*(sigma^2*$A64^2-(rate-d)*$A64)*EurCall!AB65-(-0.5*sigma^2*$A64^2-0.5*rate+1/dt)*EurCall!AB64-0.25*(sigma^2*$A64^2+(rate-d)*$A64)*EurCall!AB63</f>
        <v>-2.4415229060815203E-24</v>
      </c>
      <c r="AB64">
        <f>-0.25*(sigma^2*$A64^2-(rate-d)*$A64)*EurCall!AC65-(-0.5*sigma^2*$A64^2-0.5*rate+1/dt)*EurCall!AC64-0.25*(sigma^2*$A64^2+(rate-d)*$A64)*EurCall!AC63</f>
        <v>-1.2106087692399077E-24</v>
      </c>
      <c r="AC64">
        <f>-0.25*(sigma^2*$A64^2-(rate-d)*$A64)*EurCall!AD65-(-0.5*sigma^2*$A64^2-0.5*rate+1/dt)*EurCall!AD64-0.25*(sigma^2*$A64^2+(rate-d)*$A64)*EurCall!AD63</f>
        <v>-5.8416346093603654E-25</v>
      </c>
      <c r="AD64">
        <f>-0.25*(sigma^2*$A64^2-(rate-d)*$A64)*EurCall!AE65-(-0.5*sigma^2*$A64^2-0.5*rate+1/dt)*EurCall!AE64-0.25*(sigma^2*$A64^2+(rate-d)*$A64)*EurCall!AE63</f>
        <v>-2.7378121099277498E-25</v>
      </c>
      <c r="AE64">
        <f>-0.25*(sigma^2*$A64^2-(rate-d)*$A64)*EurCall!AF65-(-0.5*sigma^2*$A64^2-0.5*rate+1/dt)*EurCall!AF64-0.25*(sigma^2*$A64^2+(rate-d)*$A64)*EurCall!AF63</f>
        <v>-1.2435765729691506E-25</v>
      </c>
      <c r="AF64">
        <f>-0.25*(sigma^2*$A64^2-(rate-d)*$A64)*EurCall!AG65-(-0.5*sigma^2*$A64^2-0.5*rate+1/dt)*EurCall!AG64-0.25*(sigma^2*$A64^2+(rate-d)*$A64)*EurCall!AG63</f>
        <v>-5.4613364589153688E-26</v>
      </c>
      <c r="AG64">
        <f>-0.25*(sigma^2*$A64^2-(rate-d)*$A64)*EurCall!AH65-(-0.5*sigma^2*$A64^2-0.5*rate+1/dt)*EurCall!AH64-0.25*(sigma^2*$A64^2+(rate-d)*$A64)*EurCall!AH63</f>
        <v>-2.312715620532544E-26</v>
      </c>
      <c r="AH64">
        <f>-0.25*(sigma^2*$A64^2-(rate-d)*$A64)*EurCall!AI65-(-0.5*sigma^2*$A64^2-0.5*rate+1/dt)*EurCall!AI64-0.25*(sigma^2*$A64^2+(rate-d)*$A64)*EurCall!AI63</f>
        <v>-9.4155327357131448E-27</v>
      </c>
      <c r="AI64">
        <f>-0.25*(sigma^2*$A64^2-(rate-d)*$A64)*EurCall!AJ65-(-0.5*sigma^2*$A64^2-0.5*rate+1/dt)*EurCall!AJ64-0.25*(sigma^2*$A64^2+(rate-d)*$A64)*EurCall!AJ63</f>
        <v>-3.6729086945993187E-27</v>
      </c>
      <c r="AJ64">
        <f>-0.25*(sigma^2*$A64^2-(rate-d)*$A64)*EurCall!AK65-(-0.5*sigma^2*$A64^2-0.5*rate+1/dt)*EurCall!AK64-0.25*(sigma^2*$A64^2+(rate-d)*$A64)*EurCall!AK63</f>
        <v>-1.3676487164559073E-27</v>
      </c>
      <c r="AK64">
        <f>-0.25*(sigma^2*$A64^2-(rate-d)*$A64)*EurCall!AL65-(-0.5*sigma^2*$A64^2-0.5*rate+1/dt)*EurCall!AL64-0.25*(sigma^2*$A64^2+(rate-d)*$A64)*EurCall!AL63</f>
        <v>-4.8403232393561799E-28</v>
      </c>
      <c r="AL64">
        <f>-0.25*(sigma^2*$A64^2-(rate-d)*$A64)*EurCall!AM65-(-0.5*sigma^2*$A64^2-0.5*rate+1/dt)*EurCall!AM64-0.25*(sigma^2*$A64^2+(rate-d)*$A64)*EurCall!AM63</f>
        <v>-1.6202524479823209E-28</v>
      </c>
      <c r="AM64">
        <f>-0.25*(sigma^2*$A64^2-(rate-d)*$A64)*EurCall!AN65-(-0.5*sigma^2*$A64^2-0.5*rate+1/dt)*EurCall!AN64-0.25*(sigma^2*$A64^2+(rate-d)*$A64)*EurCall!AN63</f>
        <v>-5.1009982283136536E-29</v>
      </c>
      <c r="AN64">
        <f>-0.25*(sigma^2*$A64^2-(rate-d)*$A64)*EurCall!AO65-(-0.5*sigma^2*$A64^2-0.5*rate+1/dt)*EurCall!AO64-0.25*(sigma^2*$A64^2+(rate-d)*$A64)*EurCall!AO63</f>
        <v>-1.5005792027295089E-29</v>
      </c>
      <c r="AO64">
        <f>-0.25*(sigma^2*$A64^2-(rate-d)*$A64)*EurCall!AP65-(-0.5*sigma^2*$A64^2-0.5*rate+1/dt)*EurCall!AP64-0.25*(sigma^2*$A64^2+(rate-d)*$A64)*EurCall!AP63</f>
        <v>-4.0933385530727004E-30</v>
      </c>
      <c r="AP64">
        <f>-0.25*(sigma^2*$A64^2-(rate-d)*$A64)*EurCall!AQ65-(-0.5*sigma^2*$A64^2-0.5*rate+1/dt)*EurCall!AQ64-0.25*(sigma^2*$A64^2+(rate-d)*$A64)*EurCall!AQ63</f>
        <v>-1.0260813549455932E-30</v>
      </c>
      <c r="AQ64">
        <f>-0.25*(sigma^2*$A64^2-(rate-d)*$A64)*EurCall!AR65-(-0.5*sigma^2*$A64^2-0.5*rate+1/dt)*EurCall!AR64-0.25*(sigma^2*$A64^2+(rate-d)*$A64)*EurCall!AR63</f>
        <v>-2.338000573624714E-31</v>
      </c>
      <c r="AR64">
        <f>-0.25*(sigma^2*$A64^2-(rate-d)*$A64)*EurCall!AS65-(-0.5*sigma^2*$A64^2-0.5*rate+1/dt)*EurCall!AS64-0.25*(sigma^2*$A64^2+(rate-d)*$A64)*EurCall!AS63</f>
        <v>-4.7782927385614806E-32</v>
      </c>
      <c r="AS64">
        <f>-0.25*(sigma^2*$A64^2-(rate-d)*$A64)*EurCall!AT65-(-0.5*sigma^2*$A64^2-0.5*rate+1/dt)*EurCall!AT64-0.25*(sigma^2*$A64^2+(rate-d)*$A64)*EurCall!AT63</f>
        <v>-8.6137618366620489E-33</v>
      </c>
      <c r="AT64">
        <f>-0.25*(sigma^2*$A64^2-(rate-d)*$A64)*EurCall!AU65-(-0.5*sigma^2*$A64^2-0.5*rate+1/dt)*EurCall!AU64-0.25*(sigma^2*$A64^2+(rate-d)*$A64)*EurCall!AU63</f>
        <v>-1.3402393988044478E-33</v>
      </c>
      <c r="AU64">
        <f>-0.25*(sigma^2*$A64^2-(rate-d)*$A64)*EurCall!AV65-(-0.5*sigma^2*$A64^2-0.5*rate+1/dt)*EurCall!AV64-0.25*(sigma^2*$A64^2+(rate-d)*$A64)*EurCall!AV63</f>
        <v>-1.7478663922592721E-34</v>
      </c>
      <c r="AV64">
        <f>-0.25*(sigma^2*$A64^2-(rate-d)*$A64)*EurCall!AW65-(-0.5*sigma^2*$A64^2-0.5*rate+1/dt)*EurCall!AW64-0.25*(sigma^2*$A64^2+(rate-d)*$A64)*EurCall!AW63</f>
        <v>-1.8319601224617412E-35</v>
      </c>
      <c r="AW64">
        <f>-0.25*(sigma^2*$A64^2-(rate-d)*$A64)*EurCall!AX65-(-0.5*sigma^2*$A64^2-0.5*rate+1/dt)*EurCall!AX64-0.25*(sigma^2*$A64^2+(rate-d)*$A64)*EurCall!AX63</f>
        <v>-1.4448716715146072E-36</v>
      </c>
      <c r="AX64">
        <f>-0.25*(sigma^2*$A64^2-(rate-d)*$A64)*EurCall!AY65-(-0.5*sigma^2*$A64^2-0.5*rate+1/dt)*EurCall!AY64-0.25*(sigma^2*$A64^2+(rate-d)*$A64)*EurCall!AY63</f>
        <v>-7.6125718237628378E-38</v>
      </c>
      <c r="AY64">
        <f>-0.25*(sigma^2*$A64^2-(rate-d)*$A64)*EurCall!AZ65-(-0.5*sigma^2*$A64^2-0.5*rate+1/dt)*EurCall!AZ64-0.25*(sigma^2*$A64^2+(rate-d)*$A64)*EurCall!AZ63</f>
        <v>-2.00682545675678E-39</v>
      </c>
      <c r="AZ64">
        <f>-0.25*(sigma^2*$A64^2-(rate-d)*$A64)*EurCall!BA65-(-0.5*sigma^2*$A64^2-0.5*rate+1/dt)*EurCall!BA64-0.25*(sigma^2*$A64^2+(rate-d)*$A64)*EurCall!BA63</f>
        <v>0</v>
      </c>
      <c r="BA64" s="6"/>
    </row>
    <row r="65" spans="1:53" x14ac:dyDescent="0.2">
      <c r="A65">
        <f t="shared" si="3"/>
        <v>0</v>
      </c>
      <c r="B65" s="3">
        <f t="shared" si="4"/>
        <v>0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6">
        <v>0</v>
      </c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AI66" si="5">D67*dt</f>
        <v>0.01</v>
      </c>
      <c r="E66" s="5">
        <f t="shared" si="5"/>
        <v>0.02</v>
      </c>
      <c r="F66" s="5">
        <f t="shared" si="5"/>
        <v>0.03</v>
      </c>
      <c r="G66" s="5">
        <f t="shared" si="5"/>
        <v>0.04</v>
      </c>
      <c r="H66" s="5">
        <f t="shared" si="5"/>
        <v>0.05</v>
      </c>
      <c r="I66" s="5">
        <f t="shared" si="5"/>
        <v>0.06</v>
      </c>
      <c r="J66" s="5">
        <f t="shared" si="5"/>
        <v>7.0000000000000007E-2</v>
      </c>
      <c r="K66" s="5">
        <f t="shared" si="5"/>
        <v>0.08</v>
      </c>
      <c r="L66" s="5">
        <f t="shared" si="5"/>
        <v>0.09</v>
      </c>
      <c r="M66" s="5">
        <f t="shared" si="5"/>
        <v>0.1</v>
      </c>
      <c r="N66" s="5">
        <f t="shared" si="5"/>
        <v>0.11</v>
      </c>
      <c r="O66" s="5">
        <f t="shared" si="5"/>
        <v>0.12</v>
      </c>
      <c r="P66" s="5">
        <f t="shared" si="5"/>
        <v>0.13</v>
      </c>
      <c r="Q66" s="5">
        <f t="shared" si="5"/>
        <v>0.14000000000000001</v>
      </c>
      <c r="R66" s="5">
        <f t="shared" si="5"/>
        <v>0.15</v>
      </c>
      <c r="S66" s="5">
        <f t="shared" si="5"/>
        <v>0.16</v>
      </c>
      <c r="T66" s="5">
        <f t="shared" si="5"/>
        <v>0.17</v>
      </c>
      <c r="U66" s="5">
        <f t="shared" si="5"/>
        <v>0.18</v>
      </c>
      <c r="V66" s="5">
        <f t="shared" si="5"/>
        <v>0.19</v>
      </c>
      <c r="W66" s="5">
        <f t="shared" si="5"/>
        <v>0.2</v>
      </c>
      <c r="X66" s="5">
        <f t="shared" si="5"/>
        <v>0.21</v>
      </c>
      <c r="Y66" s="5">
        <f t="shared" si="5"/>
        <v>0.22</v>
      </c>
      <c r="Z66" s="5">
        <f t="shared" si="5"/>
        <v>0.23</v>
      </c>
      <c r="AA66" s="5">
        <f t="shared" si="5"/>
        <v>0.24</v>
      </c>
      <c r="AB66" s="5">
        <f t="shared" si="5"/>
        <v>0.25</v>
      </c>
      <c r="AC66" s="5">
        <f t="shared" si="5"/>
        <v>0.26</v>
      </c>
      <c r="AD66" s="5">
        <f t="shared" si="5"/>
        <v>0.27</v>
      </c>
      <c r="AE66" s="5">
        <f t="shared" si="5"/>
        <v>0.28000000000000003</v>
      </c>
      <c r="AF66" s="5">
        <f t="shared" si="5"/>
        <v>0.28999999999999998</v>
      </c>
      <c r="AG66" s="5">
        <f t="shared" si="5"/>
        <v>0.3</v>
      </c>
      <c r="AH66" s="5">
        <f t="shared" si="5"/>
        <v>0.31</v>
      </c>
      <c r="AI66" s="5">
        <f t="shared" si="5"/>
        <v>0.32</v>
      </c>
      <c r="AJ66" s="5">
        <f t="shared" ref="AJ66:BA66" si="6">AJ67*dt</f>
        <v>0.33</v>
      </c>
      <c r="AK66" s="5">
        <f t="shared" si="6"/>
        <v>0.34</v>
      </c>
      <c r="AL66" s="5">
        <f t="shared" si="6"/>
        <v>0.35000000000000003</v>
      </c>
      <c r="AM66" s="5">
        <f t="shared" si="6"/>
        <v>0.36</v>
      </c>
      <c r="AN66" s="5">
        <f t="shared" si="6"/>
        <v>0.37</v>
      </c>
      <c r="AO66" s="5">
        <f t="shared" si="6"/>
        <v>0.38</v>
      </c>
      <c r="AP66" s="5">
        <f t="shared" si="6"/>
        <v>0.39</v>
      </c>
      <c r="AQ66" s="5">
        <f t="shared" si="6"/>
        <v>0.4</v>
      </c>
      <c r="AR66" s="5">
        <f t="shared" si="6"/>
        <v>0.41000000000000003</v>
      </c>
      <c r="AS66" s="5">
        <f t="shared" si="6"/>
        <v>0.42</v>
      </c>
      <c r="AT66" s="5">
        <f t="shared" si="6"/>
        <v>0.43</v>
      </c>
      <c r="AU66" s="5">
        <f t="shared" si="6"/>
        <v>0.44</v>
      </c>
      <c r="AV66" s="5">
        <f t="shared" si="6"/>
        <v>0.45</v>
      </c>
      <c r="AW66" s="5">
        <f t="shared" si="6"/>
        <v>0.46</v>
      </c>
      <c r="AX66" s="5">
        <f t="shared" si="6"/>
        <v>0.47000000000000003</v>
      </c>
      <c r="AY66" s="5">
        <f t="shared" si="6"/>
        <v>0.48</v>
      </c>
      <c r="AZ66" s="5">
        <f t="shared" si="6"/>
        <v>0.49</v>
      </c>
      <c r="BA66" s="5">
        <f t="shared" si="6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7">F67+1</f>
        <v>4</v>
      </c>
      <c r="H67" s="2">
        <f t="shared" si="7"/>
        <v>5</v>
      </c>
      <c r="I67" s="2">
        <f t="shared" si="7"/>
        <v>6</v>
      </c>
      <c r="J67" s="2">
        <f t="shared" si="7"/>
        <v>7</v>
      </c>
      <c r="K67" s="2">
        <f t="shared" si="7"/>
        <v>8</v>
      </c>
      <c r="L67" s="2">
        <f t="shared" si="7"/>
        <v>9</v>
      </c>
      <c r="M67" s="2">
        <f t="shared" si="7"/>
        <v>10</v>
      </c>
      <c r="N67" s="2">
        <f t="shared" si="7"/>
        <v>11</v>
      </c>
      <c r="O67" s="2">
        <f t="shared" si="7"/>
        <v>12</v>
      </c>
      <c r="P67" s="2">
        <f t="shared" si="7"/>
        <v>13</v>
      </c>
      <c r="Q67" s="2">
        <f t="shared" si="7"/>
        <v>14</v>
      </c>
      <c r="R67" s="2">
        <f t="shared" si="7"/>
        <v>15</v>
      </c>
      <c r="S67" s="2">
        <f t="shared" si="7"/>
        <v>16</v>
      </c>
      <c r="T67" s="2">
        <f t="shared" si="7"/>
        <v>17</v>
      </c>
      <c r="U67" s="2">
        <f t="shared" si="7"/>
        <v>18</v>
      </c>
      <c r="V67" s="2">
        <f t="shared" si="7"/>
        <v>19</v>
      </c>
      <c r="W67" s="2">
        <f t="shared" si="7"/>
        <v>20</v>
      </c>
      <c r="X67" s="2">
        <f t="shared" si="7"/>
        <v>21</v>
      </c>
      <c r="Y67" s="2">
        <f t="shared" si="7"/>
        <v>22</v>
      </c>
      <c r="Z67" s="2">
        <f t="shared" si="7"/>
        <v>23</v>
      </c>
      <c r="AA67" s="2">
        <f t="shared" si="7"/>
        <v>24</v>
      </c>
      <c r="AB67" s="2">
        <f t="shared" si="7"/>
        <v>25</v>
      </c>
      <c r="AC67" s="2">
        <f t="shared" si="7"/>
        <v>26</v>
      </c>
      <c r="AD67" s="2">
        <f t="shared" si="7"/>
        <v>27</v>
      </c>
      <c r="AE67" s="2">
        <f t="shared" si="7"/>
        <v>28</v>
      </c>
      <c r="AF67" s="2">
        <f t="shared" si="7"/>
        <v>29</v>
      </c>
      <c r="AG67" s="2">
        <f t="shared" si="7"/>
        <v>30</v>
      </c>
      <c r="AH67" s="2">
        <f t="shared" si="7"/>
        <v>31</v>
      </c>
      <c r="AI67" s="2">
        <f t="shared" si="7"/>
        <v>32</v>
      </c>
      <c r="AJ67" s="2">
        <f t="shared" si="7"/>
        <v>33</v>
      </c>
      <c r="AK67" s="2">
        <f t="shared" si="7"/>
        <v>34</v>
      </c>
      <c r="AL67" s="2">
        <f t="shared" si="7"/>
        <v>35</v>
      </c>
      <c r="AM67" s="2">
        <f t="shared" si="7"/>
        <v>36</v>
      </c>
      <c r="AN67" s="2">
        <f t="shared" si="7"/>
        <v>37</v>
      </c>
      <c r="AO67" s="2">
        <f t="shared" si="7"/>
        <v>38</v>
      </c>
      <c r="AP67" s="2">
        <f t="shared" si="7"/>
        <v>39</v>
      </c>
      <c r="AQ67" s="2">
        <f t="shared" si="7"/>
        <v>40</v>
      </c>
      <c r="AR67" s="2">
        <f t="shared" si="7"/>
        <v>41</v>
      </c>
      <c r="AS67" s="2">
        <f t="shared" si="7"/>
        <v>42</v>
      </c>
      <c r="AT67" s="2">
        <f t="shared" si="7"/>
        <v>43</v>
      </c>
      <c r="AU67" s="2">
        <f t="shared" si="7"/>
        <v>44</v>
      </c>
      <c r="AV67" s="2">
        <f t="shared" si="7"/>
        <v>45</v>
      </c>
      <c r="AW67" s="2">
        <f t="shared" si="7"/>
        <v>46</v>
      </c>
      <c r="AX67" s="2">
        <f t="shared" si="7"/>
        <v>47</v>
      </c>
      <c r="AY67" s="2">
        <f t="shared" si="7"/>
        <v>48</v>
      </c>
      <c r="AZ67" s="2">
        <f t="shared" si="7"/>
        <v>49</v>
      </c>
      <c r="BA67" s="2">
        <f t="shared" si="7"/>
        <v>50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4:BA67"/>
  <sheetViews>
    <sheetView topLeftCell="AB34" workbookViewId="0">
      <selection activeCell="AZ64" sqref="AZ64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65" si="0">Smin+dS*A15</f>
        <v>100</v>
      </c>
      <c r="C15">
        <f>'CN FD B'!C15-('CN FD A'!C15*'CN FD C'!C16)/'CN FD alpha'!C16</f>
        <v>1</v>
      </c>
      <c r="D15">
        <f>'CN FD B'!D15-('CN FD A'!D15*'CN FD C'!D16)/'CN FD alpha'!D16</f>
        <v>1</v>
      </c>
      <c r="E15">
        <f>'CN FD B'!E15-('CN FD A'!E15*'CN FD C'!E16)/'CN FD alpha'!E16</f>
        <v>1</v>
      </c>
      <c r="F15">
        <f>'CN FD B'!F15-('CN FD A'!F15*'CN FD C'!F16)/'CN FD alpha'!F16</f>
        <v>1</v>
      </c>
      <c r="G15">
        <f>'CN FD B'!G15-('CN FD A'!G15*'CN FD C'!G16)/'CN FD alpha'!G16</f>
        <v>1</v>
      </c>
      <c r="H15">
        <f>'CN FD B'!H15-('CN FD A'!H15*'CN FD C'!H16)/'CN FD alpha'!H16</f>
        <v>1</v>
      </c>
      <c r="I15">
        <f>'CN FD B'!I15-('CN FD A'!I15*'CN FD C'!I16)/'CN FD alpha'!I16</f>
        <v>1</v>
      </c>
      <c r="J15">
        <f>'CN FD B'!J15-('CN FD A'!J15*'CN FD C'!J16)/'CN FD alpha'!J16</f>
        <v>1</v>
      </c>
      <c r="K15">
        <f>'CN FD B'!K15-('CN FD A'!K15*'CN FD C'!K16)/'CN FD alpha'!K16</f>
        <v>1</v>
      </c>
      <c r="L15">
        <f>'CN FD B'!L15-('CN FD A'!L15*'CN FD C'!L16)/'CN FD alpha'!L16</f>
        <v>1</v>
      </c>
      <c r="M15">
        <f>'CN FD B'!M15-('CN FD A'!M15*'CN FD C'!M16)/'CN FD alpha'!M16</f>
        <v>1</v>
      </c>
      <c r="N15">
        <f>'CN FD B'!N15-('CN FD A'!N15*'CN FD C'!N16)/'CN FD alpha'!N16</f>
        <v>1</v>
      </c>
      <c r="O15">
        <f>'CN FD B'!O15-('CN FD A'!O15*'CN FD C'!O16)/'CN FD alpha'!O16</f>
        <v>1</v>
      </c>
      <c r="P15">
        <f>'CN FD B'!P15-('CN FD A'!P15*'CN FD C'!P16)/'CN FD alpha'!P16</f>
        <v>1</v>
      </c>
      <c r="Q15">
        <f>'CN FD B'!Q15-('CN FD A'!Q15*'CN FD C'!Q16)/'CN FD alpha'!Q16</f>
        <v>1</v>
      </c>
      <c r="R15">
        <f>'CN FD B'!R15-('CN FD A'!R15*'CN FD C'!R16)/'CN FD alpha'!R16</f>
        <v>1</v>
      </c>
      <c r="S15">
        <f>'CN FD B'!S15-('CN FD A'!S15*'CN FD C'!S16)/'CN FD alpha'!S16</f>
        <v>1</v>
      </c>
      <c r="T15">
        <f>'CN FD B'!T15-('CN FD A'!T15*'CN FD C'!T16)/'CN FD alpha'!T16</f>
        <v>1</v>
      </c>
      <c r="U15">
        <f>'CN FD B'!U15-('CN FD A'!U15*'CN FD C'!U16)/'CN FD alpha'!U16</f>
        <v>1</v>
      </c>
      <c r="V15">
        <f>'CN FD B'!V15-('CN FD A'!V15*'CN FD C'!V16)/'CN FD alpha'!V16</f>
        <v>1</v>
      </c>
      <c r="W15">
        <f>'CN FD B'!W15-('CN FD A'!W15*'CN FD C'!W16)/'CN FD alpha'!W16</f>
        <v>1</v>
      </c>
      <c r="X15">
        <f>'CN FD B'!X15-('CN FD A'!X15*'CN FD C'!X16)/'CN FD alpha'!X16</f>
        <v>1</v>
      </c>
      <c r="Y15">
        <f>'CN FD B'!Y15-('CN FD A'!Y15*'CN FD C'!Y16)/'CN FD alpha'!Y16</f>
        <v>1</v>
      </c>
      <c r="Z15">
        <f>'CN FD B'!Z15-('CN FD A'!Z15*'CN FD C'!Z16)/'CN FD alpha'!Z16</f>
        <v>1</v>
      </c>
      <c r="AA15">
        <f>'CN FD B'!AA15-('CN FD A'!AA15*'CN FD C'!AA16)/'CN FD alpha'!AA16</f>
        <v>1</v>
      </c>
      <c r="AB15">
        <f>'CN FD B'!AB15-('CN FD A'!AB15*'CN FD C'!AB16)/'CN FD alpha'!AB16</f>
        <v>1</v>
      </c>
      <c r="AC15">
        <f>'CN FD B'!AC15-('CN FD A'!AC15*'CN FD C'!AC16)/'CN FD alpha'!AC16</f>
        <v>1</v>
      </c>
      <c r="AD15">
        <f>'CN FD B'!AD15-('CN FD A'!AD15*'CN FD C'!AD16)/'CN FD alpha'!AD16</f>
        <v>1</v>
      </c>
      <c r="AE15">
        <f>'CN FD B'!AE15-('CN FD A'!AE15*'CN FD C'!AE16)/'CN FD alpha'!AE16</f>
        <v>1</v>
      </c>
      <c r="AF15">
        <f>'CN FD B'!AF15-('CN FD A'!AF15*'CN FD C'!AF16)/'CN FD alpha'!AF16</f>
        <v>1</v>
      </c>
      <c r="AG15">
        <f>'CN FD B'!AG15-('CN FD A'!AG15*'CN FD C'!AG16)/'CN FD alpha'!AG16</f>
        <v>1</v>
      </c>
      <c r="AH15">
        <f>'CN FD B'!AH15-('CN FD A'!AH15*'CN FD C'!AH16)/'CN FD alpha'!AH16</f>
        <v>1</v>
      </c>
      <c r="AI15">
        <f>'CN FD B'!AI15-('CN FD A'!AI15*'CN FD C'!AI16)/'CN FD alpha'!AI16</f>
        <v>1</v>
      </c>
      <c r="AJ15">
        <f>'CN FD B'!AJ15-('CN FD A'!AJ15*'CN FD C'!AJ16)/'CN FD alpha'!AJ16</f>
        <v>1</v>
      </c>
      <c r="AK15">
        <f>'CN FD B'!AK15-('CN FD A'!AK15*'CN FD C'!AK16)/'CN FD alpha'!AK16</f>
        <v>1</v>
      </c>
      <c r="AL15">
        <f>'CN FD B'!AL15-('CN FD A'!AL15*'CN FD C'!AL16)/'CN FD alpha'!AL16</f>
        <v>1</v>
      </c>
      <c r="AM15">
        <f>'CN FD B'!AM15-('CN FD A'!AM15*'CN FD C'!AM16)/'CN FD alpha'!AM16</f>
        <v>1</v>
      </c>
      <c r="AN15">
        <f>'CN FD B'!AN15-('CN FD A'!AN15*'CN FD C'!AN16)/'CN FD alpha'!AN16</f>
        <v>1</v>
      </c>
      <c r="AO15">
        <f>'CN FD B'!AO15-('CN FD A'!AO15*'CN FD C'!AO16)/'CN FD alpha'!AO16</f>
        <v>1</v>
      </c>
      <c r="AP15">
        <f>'CN FD B'!AP15-('CN FD A'!AP15*'CN FD C'!AP16)/'CN FD alpha'!AP16</f>
        <v>1</v>
      </c>
      <c r="AQ15">
        <f>'CN FD B'!AQ15-('CN FD A'!AQ15*'CN FD C'!AQ16)/'CN FD alpha'!AQ16</f>
        <v>1</v>
      </c>
      <c r="AR15">
        <f>'CN FD B'!AR15-('CN FD A'!AR15*'CN FD C'!AR16)/'CN FD alpha'!AR16</f>
        <v>1</v>
      </c>
      <c r="AS15">
        <f>'CN FD B'!AS15-('CN FD A'!AS15*'CN FD C'!AS16)/'CN FD alpha'!AS16</f>
        <v>1</v>
      </c>
      <c r="AT15">
        <f>'CN FD B'!AT15-('CN FD A'!AT15*'CN FD C'!AT16)/'CN FD alpha'!AT16</f>
        <v>1</v>
      </c>
      <c r="AU15">
        <f>'CN FD B'!AU15-('CN FD A'!AU15*'CN FD C'!AU16)/'CN FD alpha'!AU16</f>
        <v>1</v>
      </c>
      <c r="AV15">
        <f>'CN FD B'!AV15-('CN FD A'!AV15*'CN FD C'!AV16)/'CN FD alpha'!AV16</f>
        <v>1</v>
      </c>
      <c r="AW15">
        <f>'CN FD B'!AW15-('CN FD A'!AW15*'CN FD C'!AW16)/'CN FD alpha'!AW16</f>
        <v>1</v>
      </c>
      <c r="AX15">
        <f>'CN FD B'!AX15-('CN FD A'!AX15*'CN FD C'!AX16)/'CN FD alpha'!AX16</f>
        <v>1</v>
      </c>
      <c r="AY15">
        <f>'CN FD B'!AY15-('CN FD A'!AY15*'CN FD C'!AY16)/'CN FD alpha'!AY16</f>
        <v>1</v>
      </c>
      <c r="AZ15">
        <f>'CN FD B'!AZ15-('CN FD A'!AZ15*'CN FD C'!AZ16)/'CN FD alpha'!AZ16</f>
        <v>1</v>
      </c>
      <c r="BA15" s="6"/>
    </row>
    <row r="16" spans="1:53" x14ac:dyDescent="0.2">
      <c r="A16">
        <f>A15-1</f>
        <v>49</v>
      </c>
      <c r="B16" s="3">
        <f t="shared" si="0"/>
        <v>98</v>
      </c>
      <c r="C16">
        <f>'CN FD B'!C16-(('CN FD A'!C16*'CN FD C'!C17)/'CN FD alpha'!C17)</f>
        <v>-144.16914181954456</v>
      </c>
      <c r="D16">
        <f>'CN FD B'!D16-(('CN FD A'!D16*'CN FD C'!D17)/'CN FD alpha'!D17)</f>
        <v>-144.16914181954456</v>
      </c>
      <c r="E16">
        <f>'CN FD B'!E16-(('CN FD A'!E16*'CN FD C'!E17)/'CN FD alpha'!E17)</f>
        <v>-144.16914181954456</v>
      </c>
      <c r="F16">
        <f>'CN FD B'!F16-(('CN FD A'!F16*'CN FD C'!F17)/'CN FD alpha'!F17)</f>
        <v>-144.16914181954456</v>
      </c>
      <c r="G16">
        <f>'CN FD B'!G16-(('CN FD A'!G16*'CN FD C'!G17)/'CN FD alpha'!G17)</f>
        <v>-144.16914181954456</v>
      </c>
      <c r="H16">
        <f>'CN FD B'!H16-(('CN FD A'!H16*'CN FD C'!H17)/'CN FD alpha'!H17)</f>
        <v>-144.16914181954456</v>
      </c>
      <c r="I16">
        <f>'CN FD B'!I16-(('CN FD A'!I16*'CN FD C'!I17)/'CN FD alpha'!I17)</f>
        <v>-144.16914181954456</v>
      </c>
      <c r="J16">
        <f>'CN FD B'!J16-(('CN FD A'!J16*'CN FD C'!J17)/'CN FD alpha'!J17)</f>
        <v>-144.16914181954456</v>
      </c>
      <c r="K16">
        <f>'CN FD B'!K16-(('CN FD A'!K16*'CN FD C'!K17)/'CN FD alpha'!K17)</f>
        <v>-144.16914181954456</v>
      </c>
      <c r="L16">
        <f>'CN FD B'!L16-(('CN FD A'!L16*'CN FD C'!L17)/'CN FD alpha'!L17)</f>
        <v>-144.16914181954456</v>
      </c>
      <c r="M16">
        <f>'CN FD B'!M16-(('CN FD A'!M16*'CN FD C'!M17)/'CN FD alpha'!M17)</f>
        <v>-144.16914181954456</v>
      </c>
      <c r="N16">
        <f>'CN FD B'!N16-(('CN FD A'!N16*'CN FD C'!N17)/'CN FD alpha'!N17)</f>
        <v>-144.16914181954456</v>
      </c>
      <c r="O16">
        <f>'CN FD B'!O16-(('CN FD A'!O16*'CN FD C'!O17)/'CN FD alpha'!O17)</f>
        <v>-144.16914181954456</v>
      </c>
      <c r="P16">
        <f>'CN FD B'!P16-(('CN FD A'!P16*'CN FD C'!P17)/'CN FD alpha'!P17)</f>
        <v>-144.16914181954456</v>
      </c>
      <c r="Q16">
        <f>'CN FD B'!Q16-(('CN FD A'!Q16*'CN FD C'!Q17)/'CN FD alpha'!Q17)</f>
        <v>-144.16914181954456</v>
      </c>
      <c r="R16">
        <f>'CN FD B'!R16-(('CN FD A'!R16*'CN FD C'!R17)/'CN FD alpha'!R17)</f>
        <v>-144.16914181954456</v>
      </c>
      <c r="S16">
        <f>'CN FD B'!S16-(('CN FD A'!S16*'CN FD C'!S17)/'CN FD alpha'!S17)</f>
        <v>-144.16914181954456</v>
      </c>
      <c r="T16">
        <f>'CN FD B'!T16-(('CN FD A'!T16*'CN FD C'!T17)/'CN FD alpha'!T17)</f>
        <v>-144.16914181954456</v>
      </c>
      <c r="U16">
        <f>'CN FD B'!U16-(('CN FD A'!U16*'CN FD C'!U17)/'CN FD alpha'!U17)</f>
        <v>-144.16914181954456</v>
      </c>
      <c r="V16">
        <f>'CN FD B'!V16-(('CN FD A'!V16*'CN FD C'!V17)/'CN FD alpha'!V17)</f>
        <v>-144.16914181954456</v>
      </c>
      <c r="W16">
        <f>'CN FD B'!W16-(('CN FD A'!W16*'CN FD C'!W17)/'CN FD alpha'!W17)</f>
        <v>-144.16914181954456</v>
      </c>
      <c r="X16">
        <f>'CN FD B'!X16-(('CN FD A'!X16*'CN FD C'!X17)/'CN FD alpha'!X17)</f>
        <v>-144.16914181954456</v>
      </c>
      <c r="Y16">
        <f>'CN FD B'!Y16-(('CN FD A'!Y16*'CN FD C'!Y17)/'CN FD alpha'!Y17)</f>
        <v>-144.16914181954456</v>
      </c>
      <c r="Z16">
        <f>'CN FD B'!Z16-(('CN FD A'!Z16*'CN FD C'!Z17)/'CN FD alpha'!Z17)</f>
        <v>-144.16914181954456</v>
      </c>
      <c r="AA16">
        <f>'CN FD B'!AA16-(('CN FD A'!AA16*'CN FD C'!AA17)/'CN FD alpha'!AA17)</f>
        <v>-144.16914181954456</v>
      </c>
      <c r="AB16">
        <f>'CN FD B'!AB16-(('CN FD A'!AB16*'CN FD C'!AB17)/'CN FD alpha'!AB17)</f>
        <v>-144.16914181954456</v>
      </c>
      <c r="AC16">
        <f>'CN FD B'!AC16-(('CN FD A'!AC16*'CN FD C'!AC17)/'CN FD alpha'!AC17)</f>
        <v>-144.16914181954456</v>
      </c>
      <c r="AD16">
        <f>'CN FD B'!AD16-(('CN FD A'!AD16*'CN FD C'!AD17)/'CN FD alpha'!AD17)</f>
        <v>-144.16914181954456</v>
      </c>
      <c r="AE16">
        <f>'CN FD B'!AE16-(('CN FD A'!AE16*'CN FD C'!AE17)/'CN FD alpha'!AE17)</f>
        <v>-144.16914181954456</v>
      </c>
      <c r="AF16">
        <f>'CN FD B'!AF16-(('CN FD A'!AF16*'CN FD C'!AF17)/'CN FD alpha'!AF17)</f>
        <v>-144.16914181954456</v>
      </c>
      <c r="AG16">
        <f>'CN FD B'!AG16-(('CN FD A'!AG16*'CN FD C'!AG17)/'CN FD alpha'!AG17)</f>
        <v>-144.16914181954456</v>
      </c>
      <c r="AH16">
        <f>'CN FD B'!AH16-(('CN FD A'!AH16*'CN FD C'!AH17)/'CN FD alpha'!AH17)</f>
        <v>-144.16914181954456</v>
      </c>
      <c r="AI16">
        <f>'CN FD B'!AI16-(('CN FD A'!AI16*'CN FD C'!AI17)/'CN FD alpha'!AI17)</f>
        <v>-144.16914181954456</v>
      </c>
      <c r="AJ16">
        <f>'CN FD B'!AJ16-(('CN FD A'!AJ16*'CN FD C'!AJ17)/'CN FD alpha'!AJ17)</f>
        <v>-144.16914181954456</v>
      </c>
      <c r="AK16">
        <f>'CN FD B'!AK16-(('CN FD A'!AK16*'CN FD C'!AK17)/'CN FD alpha'!AK17)</f>
        <v>-144.16914181954456</v>
      </c>
      <c r="AL16">
        <f>'CN FD B'!AL16-(('CN FD A'!AL16*'CN FD C'!AL17)/'CN FD alpha'!AL17)</f>
        <v>-144.16914181954456</v>
      </c>
      <c r="AM16">
        <f>'CN FD B'!AM16-(('CN FD A'!AM16*'CN FD C'!AM17)/'CN FD alpha'!AM17)</f>
        <v>-144.16914181954456</v>
      </c>
      <c r="AN16">
        <f>'CN FD B'!AN16-(('CN FD A'!AN16*'CN FD C'!AN17)/'CN FD alpha'!AN17)</f>
        <v>-144.16914181954456</v>
      </c>
      <c r="AO16">
        <f>'CN FD B'!AO16-(('CN FD A'!AO16*'CN FD C'!AO17)/'CN FD alpha'!AO17)</f>
        <v>-144.16914181954456</v>
      </c>
      <c r="AP16">
        <f>'CN FD B'!AP16-(('CN FD A'!AP16*'CN FD C'!AP17)/'CN FD alpha'!AP17)</f>
        <v>-144.16914181954456</v>
      </c>
      <c r="AQ16">
        <f>'CN FD B'!AQ16-(('CN FD A'!AQ16*'CN FD C'!AQ17)/'CN FD alpha'!AQ17)</f>
        <v>-144.16914181954456</v>
      </c>
      <c r="AR16">
        <f>'CN FD B'!AR16-(('CN FD A'!AR16*'CN FD C'!AR17)/'CN FD alpha'!AR17)</f>
        <v>-144.16914181954456</v>
      </c>
      <c r="AS16">
        <f>'CN FD B'!AS16-(('CN FD A'!AS16*'CN FD C'!AS17)/'CN FD alpha'!AS17)</f>
        <v>-144.16914181954456</v>
      </c>
      <c r="AT16">
        <f>'CN FD B'!AT16-(('CN FD A'!AT16*'CN FD C'!AT17)/'CN FD alpha'!AT17)</f>
        <v>-144.16914181954456</v>
      </c>
      <c r="AU16">
        <f>'CN FD B'!AU16-(('CN FD A'!AU16*'CN FD C'!AU17)/'CN FD alpha'!AU17)</f>
        <v>-144.16914181954456</v>
      </c>
      <c r="AV16">
        <f>'CN FD B'!AV16-(('CN FD A'!AV16*'CN FD C'!AV17)/'CN FD alpha'!AV17)</f>
        <v>-144.16914181954456</v>
      </c>
      <c r="AW16">
        <f>'CN FD B'!AW16-(('CN FD A'!AW16*'CN FD C'!AW17)/'CN FD alpha'!AW17)</f>
        <v>-144.16914181954456</v>
      </c>
      <c r="AX16">
        <f>'CN FD B'!AX16-(('CN FD A'!AX16*'CN FD C'!AX17)/'CN FD alpha'!AX17)</f>
        <v>-144.16914181954456</v>
      </c>
      <c r="AY16">
        <f>'CN FD B'!AY16-(('CN FD A'!AY16*'CN FD C'!AY17)/'CN FD alpha'!AY17)</f>
        <v>-144.16914181954456</v>
      </c>
      <c r="AZ16">
        <f>'CN FD B'!AZ16-(('CN FD A'!AZ16*'CN FD C'!AZ17)/'CN FD alpha'!AZ17)</f>
        <v>-144.16914181954456</v>
      </c>
      <c r="BA16" s="6"/>
    </row>
    <row r="17" spans="1:53" x14ac:dyDescent="0.2">
      <c r="A17">
        <f t="shared" ref="A17:A65" si="1">A16-1</f>
        <v>48</v>
      </c>
      <c r="B17" s="3">
        <f t="shared" si="0"/>
        <v>96</v>
      </c>
      <c r="C17">
        <f>'CN FD B'!C17-(('CN FD A'!C17*'CN FD C'!C18)/'CN FD alpha'!C18)</f>
        <v>-142.49786369031932</v>
      </c>
      <c r="D17">
        <f>'CN FD B'!D17-(('CN FD A'!D17*'CN FD C'!D18)/'CN FD alpha'!D18)</f>
        <v>-142.49786369031932</v>
      </c>
      <c r="E17">
        <f>'CN FD B'!E17-(('CN FD A'!E17*'CN FD C'!E18)/'CN FD alpha'!E18)</f>
        <v>-142.49786369031932</v>
      </c>
      <c r="F17">
        <f>'CN FD B'!F17-(('CN FD A'!F17*'CN FD C'!F18)/'CN FD alpha'!F18)</f>
        <v>-142.49786369031932</v>
      </c>
      <c r="G17">
        <f>'CN FD B'!G17-(('CN FD A'!G17*'CN FD C'!G18)/'CN FD alpha'!G18)</f>
        <v>-142.49786369031932</v>
      </c>
      <c r="H17">
        <f>'CN FD B'!H17-(('CN FD A'!H17*'CN FD C'!H18)/'CN FD alpha'!H18)</f>
        <v>-142.49786369031932</v>
      </c>
      <c r="I17">
        <f>'CN FD B'!I17-(('CN FD A'!I17*'CN FD C'!I18)/'CN FD alpha'!I18)</f>
        <v>-142.49786369031932</v>
      </c>
      <c r="J17">
        <f>'CN FD B'!J17-(('CN FD A'!J17*'CN FD C'!J18)/'CN FD alpha'!J18)</f>
        <v>-142.49786369031932</v>
      </c>
      <c r="K17">
        <f>'CN FD B'!K17-(('CN FD A'!K17*'CN FD C'!K18)/'CN FD alpha'!K18)</f>
        <v>-142.49786369031932</v>
      </c>
      <c r="L17">
        <f>'CN FD B'!L17-(('CN FD A'!L17*'CN FD C'!L18)/'CN FD alpha'!L18)</f>
        <v>-142.49786369031932</v>
      </c>
      <c r="M17">
        <f>'CN FD B'!M17-(('CN FD A'!M17*'CN FD C'!M18)/'CN FD alpha'!M18)</f>
        <v>-142.49786369031932</v>
      </c>
      <c r="N17">
        <f>'CN FD B'!N17-(('CN FD A'!N17*'CN FD C'!N18)/'CN FD alpha'!N18)</f>
        <v>-142.49786369031932</v>
      </c>
      <c r="O17">
        <f>'CN FD B'!O17-(('CN FD A'!O17*'CN FD C'!O18)/'CN FD alpha'!O18)</f>
        <v>-142.49786369031932</v>
      </c>
      <c r="P17">
        <f>'CN FD B'!P17-(('CN FD A'!P17*'CN FD C'!P18)/'CN FD alpha'!P18)</f>
        <v>-142.49786369031932</v>
      </c>
      <c r="Q17">
        <f>'CN FD B'!Q17-(('CN FD A'!Q17*'CN FD C'!Q18)/'CN FD alpha'!Q18)</f>
        <v>-142.49786369031932</v>
      </c>
      <c r="R17">
        <f>'CN FD B'!R17-(('CN FD A'!R17*'CN FD C'!R18)/'CN FD alpha'!R18)</f>
        <v>-142.49786369031932</v>
      </c>
      <c r="S17">
        <f>'CN FD B'!S17-(('CN FD A'!S17*'CN FD C'!S18)/'CN FD alpha'!S18)</f>
        <v>-142.49786369031932</v>
      </c>
      <c r="T17">
        <f>'CN FD B'!T17-(('CN FD A'!T17*'CN FD C'!T18)/'CN FD alpha'!T18)</f>
        <v>-142.49786369031932</v>
      </c>
      <c r="U17">
        <f>'CN FD B'!U17-(('CN FD A'!U17*'CN FD C'!U18)/'CN FD alpha'!U18)</f>
        <v>-142.49786369031932</v>
      </c>
      <c r="V17">
        <f>'CN FD B'!V17-(('CN FD A'!V17*'CN FD C'!V18)/'CN FD alpha'!V18)</f>
        <v>-142.49786369031932</v>
      </c>
      <c r="W17">
        <f>'CN FD B'!W17-(('CN FD A'!W17*'CN FD C'!W18)/'CN FD alpha'!W18)</f>
        <v>-142.49786369031932</v>
      </c>
      <c r="X17">
        <f>'CN FD B'!X17-(('CN FD A'!X17*'CN FD C'!X18)/'CN FD alpha'!X18)</f>
        <v>-142.49786369031932</v>
      </c>
      <c r="Y17">
        <f>'CN FD B'!Y17-(('CN FD A'!Y17*'CN FD C'!Y18)/'CN FD alpha'!Y18)</f>
        <v>-142.49786369031932</v>
      </c>
      <c r="Z17">
        <f>'CN FD B'!Z17-(('CN FD A'!Z17*'CN FD C'!Z18)/'CN FD alpha'!Z18)</f>
        <v>-142.49786369031932</v>
      </c>
      <c r="AA17">
        <f>'CN FD B'!AA17-(('CN FD A'!AA17*'CN FD C'!AA18)/'CN FD alpha'!AA18)</f>
        <v>-142.49786369031932</v>
      </c>
      <c r="AB17">
        <f>'CN FD B'!AB17-(('CN FD A'!AB17*'CN FD C'!AB18)/'CN FD alpha'!AB18)</f>
        <v>-142.49786369031932</v>
      </c>
      <c r="AC17">
        <f>'CN FD B'!AC17-(('CN FD A'!AC17*'CN FD C'!AC18)/'CN FD alpha'!AC18)</f>
        <v>-142.49786369031932</v>
      </c>
      <c r="AD17">
        <f>'CN FD B'!AD17-(('CN FD A'!AD17*'CN FD C'!AD18)/'CN FD alpha'!AD18)</f>
        <v>-142.49786369031932</v>
      </c>
      <c r="AE17">
        <f>'CN FD B'!AE17-(('CN FD A'!AE17*'CN FD C'!AE18)/'CN FD alpha'!AE18)</f>
        <v>-142.49786369031932</v>
      </c>
      <c r="AF17">
        <f>'CN FD B'!AF17-(('CN FD A'!AF17*'CN FD C'!AF18)/'CN FD alpha'!AF18)</f>
        <v>-142.49786369031932</v>
      </c>
      <c r="AG17">
        <f>'CN FD B'!AG17-(('CN FD A'!AG17*'CN FD C'!AG18)/'CN FD alpha'!AG18)</f>
        <v>-142.49786369031932</v>
      </c>
      <c r="AH17">
        <f>'CN FD B'!AH17-(('CN FD A'!AH17*'CN FD C'!AH18)/'CN FD alpha'!AH18)</f>
        <v>-142.49786369031932</v>
      </c>
      <c r="AI17">
        <f>'CN FD B'!AI17-(('CN FD A'!AI17*'CN FD C'!AI18)/'CN FD alpha'!AI18)</f>
        <v>-142.49786369031932</v>
      </c>
      <c r="AJ17">
        <f>'CN FD B'!AJ17-(('CN FD A'!AJ17*'CN FD C'!AJ18)/'CN FD alpha'!AJ18)</f>
        <v>-142.49786369031932</v>
      </c>
      <c r="AK17">
        <f>'CN FD B'!AK17-(('CN FD A'!AK17*'CN FD C'!AK18)/'CN FD alpha'!AK18)</f>
        <v>-142.49786369031932</v>
      </c>
      <c r="AL17">
        <f>'CN FD B'!AL17-(('CN FD A'!AL17*'CN FD C'!AL18)/'CN FD alpha'!AL18)</f>
        <v>-142.49786369031932</v>
      </c>
      <c r="AM17">
        <f>'CN FD B'!AM17-(('CN FD A'!AM17*'CN FD C'!AM18)/'CN FD alpha'!AM18)</f>
        <v>-142.49786369031932</v>
      </c>
      <c r="AN17">
        <f>'CN FD B'!AN17-(('CN FD A'!AN17*'CN FD C'!AN18)/'CN FD alpha'!AN18)</f>
        <v>-142.49786369031932</v>
      </c>
      <c r="AO17">
        <f>'CN FD B'!AO17-(('CN FD A'!AO17*'CN FD C'!AO18)/'CN FD alpha'!AO18)</f>
        <v>-142.49786369031932</v>
      </c>
      <c r="AP17">
        <f>'CN FD B'!AP17-(('CN FD A'!AP17*'CN FD C'!AP18)/'CN FD alpha'!AP18)</f>
        <v>-142.49786369031932</v>
      </c>
      <c r="AQ17">
        <f>'CN FD B'!AQ17-(('CN FD A'!AQ17*'CN FD C'!AQ18)/'CN FD alpha'!AQ18)</f>
        <v>-142.49786369031932</v>
      </c>
      <c r="AR17">
        <f>'CN FD B'!AR17-(('CN FD A'!AR17*'CN FD C'!AR18)/'CN FD alpha'!AR18)</f>
        <v>-142.49786369031932</v>
      </c>
      <c r="AS17">
        <f>'CN FD B'!AS17-(('CN FD A'!AS17*'CN FD C'!AS18)/'CN FD alpha'!AS18)</f>
        <v>-142.49786369031932</v>
      </c>
      <c r="AT17">
        <f>'CN FD B'!AT17-(('CN FD A'!AT17*'CN FD C'!AT18)/'CN FD alpha'!AT18)</f>
        <v>-142.49786369031932</v>
      </c>
      <c r="AU17">
        <f>'CN FD B'!AU17-(('CN FD A'!AU17*'CN FD C'!AU18)/'CN FD alpha'!AU18)</f>
        <v>-142.49786369031932</v>
      </c>
      <c r="AV17">
        <f>'CN FD B'!AV17-(('CN FD A'!AV17*'CN FD C'!AV18)/'CN FD alpha'!AV18)</f>
        <v>-142.49786369031932</v>
      </c>
      <c r="AW17">
        <f>'CN FD B'!AW17-(('CN FD A'!AW17*'CN FD C'!AW18)/'CN FD alpha'!AW18)</f>
        <v>-142.49786369031932</v>
      </c>
      <c r="AX17">
        <f>'CN FD B'!AX17-(('CN FD A'!AX17*'CN FD C'!AX18)/'CN FD alpha'!AX18)</f>
        <v>-142.49786369031932</v>
      </c>
      <c r="AY17">
        <f>'CN FD B'!AY17-(('CN FD A'!AY17*'CN FD C'!AY18)/'CN FD alpha'!AY18)</f>
        <v>-142.49786369031932</v>
      </c>
      <c r="AZ17">
        <f>'CN FD B'!AZ17-(('CN FD A'!AZ17*'CN FD C'!AZ18)/'CN FD alpha'!AZ18)</f>
        <v>-142.49786369031932</v>
      </c>
      <c r="BA17" s="6"/>
    </row>
    <row r="18" spans="1:53" x14ac:dyDescent="0.2">
      <c r="A18">
        <f t="shared" si="1"/>
        <v>47</v>
      </c>
      <c r="B18" s="3">
        <f t="shared" si="0"/>
        <v>94</v>
      </c>
      <c r="C18">
        <f>'CN FD B'!C18-(('CN FD A'!C18*'CN FD C'!C19)/'CN FD alpha'!C19)</f>
        <v>-140.85415288355406</v>
      </c>
      <c r="D18">
        <f>'CN FD B'!D18-(('CN FD A'!D18*'CN FD C'!D19)/'CN FD alpha'!D19)</f>
        <v>-140.85415288355406</v>
      </c>
      <c r="E18">
        <f>'CN FD B'!E18-(('CN FD A'!E18*'CN FD C'!E19)/'CN FD alpha'!E19)</f>
        <v>-140.85415288355406</v>
      </c>
      <c r="F18">
        <f>'CN FD B'!F18-(('CN FD A'!F18*'CN FD C'!F19)/'CN FD alpha'!F19)</f>
        <v>-140.85415288355406</v>
      </c>
      <c r="G18">
        <f>'CN FD B'!G18-(('CN FD A'!G18*'CN FD C'!G19)/'CN FD alpha'!G19)</f>
        <v>-140.85415288355406</v>
      </c>
      <c r="H18">
        <f>'CN FD B'!H18-(('CN FD A'!H18*'CN FD C'!H19)/'CN FD alpha'!H19)</f>
        <v>-140.85415288355406</v>
      </c>
      <c r="I18">
        <f>'CN FD B'!I18-(('CN FD A'!I18*'CN FD C'!I19)/'CN FD alpha'!I19)</f>
        <v>-140.85415288355406</v>
      </c>
      <c r="J18">
        <f>'CN FD B'!J18-(('CN FD A'!J18*'CN FD C'!J19)/'CN FD alpha'!J19)</f>
        <v>-140.85415288355406</v>
      </c>
      <c r="K18">
        <f>'CN FD B'!K18-(('CN FD A'!K18*'CN FD C'!K19)/'CN FD alpha'!K19)</f>
        <v>-140.85415288355406</v>
      </c>
      <c r="L18">
        <f>'CN FD B'!L18-(('CN FD A'!L18*'CN FD C'!L19)/'CN FD alpha'!L19)</f>
        <v>-140.85415288355406</v>
      </c>
      <c r="M18">
        <f>'CN FD B'!M18-(('CN FD A'!M18*'CN FD C'!M19)/'CN FD alpha'!M19)</f>
        <v>-140.85415288355406</v>
      </c>
      <c r="N18">
        <f>'CN FD B'!N18-(('CN FD A'!N18*'CN FD C'!N19)/'CN FD alpha'!N19)</f>
        <v>-140.85415288355406</v>
      </c>
      <c r="O18">
        <f>'CN FD B'!O18-(('CN FD A'!O18*'CN FD C'!O19)/'CN FD alpha'!O19)</f>
        <v>-140.85415288355406</v>
      </c>
      <c r="P18">
        <f>'CN FD B'!P18-(('CN FD A'!P18*'CN FD C'!P19)/'CN FD alpha'!P19)</f>
        <v>-140.85415288355406</v>
      </c>
      <c r="Q18">
        <f>'CN FD B'!Q18-(('CN FD A'!Q18*'CN FD C'!Q19)/'CN FD alpha'!Q19)</f>
        <v>-140.85415288355406</v>
      </c>
      <c r="R18">
        <f>'CN FD B'!R18-(('CN FD A'!R18*'CN FD C'!R19)/'CN FD alpha'!R19)</f>
        <v>-140.85415288355406</v>
      </c>
      <c r="S18">
        <f>'CN FD B'!S18-(('CN FD A'!S18*'CN FD C'!S19)/'CN FD alpha'!S19)</f>
        <v>-140.85415288355406</v>
      </c>
      <c r="T18">
        <f>'CN FD B'!T18-(('CN FD A'!T18*'CN FD C'!T19)/'CN FD alpha'!T19)</f>
        <v>-140.85415288355406</v>
      </c>
      <c r="U18">
        <f>'CN FD B'!U18-(('CN FD A'!U18*'CN FD C'!U19)/'CN FD alpha'!U19)</f>
        <v>-140.85415288355406</v>
      </c>
      <c r="V18">
        <f>'CN FD B'!V18-(('CN FD A'!V18*'CN FD C'!V19)/'CN FD alpha'!V19)</f>
        <v>-140.85415288355406</v>
      </c>
      <c r="W18">
        <f>'CN FD B'!W18-(('CN FD A'!W18*'CN FD C'!W19)/'CN FD alpha'!W19)</f>
        <v>-140.85415288355406</v>
      </c>
      <c r="X18">
        <f>'CN FD B'!X18-(('CN FD A'!X18*'CN FD C'!X19)/'CN FD alpha'!X19)</f>
        <v>-140.85415288355406</v>
      </c>
      <c r="Y18">
        <f>'CN FD B'!Y18-(('CN FD A'!Y18*'CN FD C'!Y19)/'CN FD alpha'!Y19)</f>
        <v>-140.85415288355406</v>
      </c>
      <c r="Z18">
        <f>'CN FD B'!Z18-(('CN FD A'!Z18*'CN FD C'!Z19)/'CN FD alpha'!Z19)</f>
        <v>-140.85415288355406</v>
      </c>
      <c r="AA18">
        <f>'CN FD B'!AA18-(('CN FD A'!AA18*'CN FD C'!AA19)/'CN FD alpha'!AA19)</f>
        <v>-140.85415288355406</v>
      </c>
      <c r="AB18">
        <f>'CN FD B'!AB18-(('CN FD A'!AB18*'CN FD C'!AB19)/'CN FD alpha'!AB19)</f>
        <v>-140.85415288355406</v>
      </c>
      <c r="AC18">
        <f>'CN FD B'!AC18-(('CN FD A'!AC18*'CN FD C'!AC19)/'CN FD alpha'!AC19)</f>
        <v>-140.85415288355406</v>
      </c>
      <c r="AD18">
        <f>'CN FD B'!AD18-(('CN FD A'!AD18*'CN FD C'!AD19)/'CN FD alpha'!AD19)</f>
        <v>-140.85415288355406</v>
      </c>
      <c r="AE18">
        <f>'CN FD B'!AE18-(('CN FD A'!AE18*'CN FD C'!AE19)/'CN FD alpha'!AE19)</f>
        <v>-140.85415288355406</v>
      </c>
      <c r="AF18">
        <f>'CN FD B'!AF18-(('CN FD A'!AF18*'CN FD C'!AF19)/'CN FD alpha'!AF19)</f>
        <v>-140.85415288355406</v>
      </c>
      <c r="AG18">
        <f>'CN FD B'!AG18-(('CN FD A'!AG18*'CN FD C'!AG19)/'CN FD alpha'!AG19)</f>
        <v>-140.85415288355406</v>
      </c>
      <c r="AH18">
        <f>'CN FD B'!AH18-(('CN FD A'!AH18*'CN FD C'!AH19)/'CN FD alpha'!AH19)</f>
        <v>-140.85415288355406</v>
      </c>
      <c r="AI18">
        <f>'CN FD B'!AI18-(('CN FD A'!AI18*'CN FD C'!AI19)/'CN FD alpha'!AI19)</f>
        <v>-140.85415288355406</v>
      </c>
      <c r="AJ18">
        <f>'CN FD B'!AJ18-(('CN FD A'!AJ18*'CN FD C'!AJ19)/'CN FD alpha'!AJ19)</f>
        <v>-140.85415288355406</v>
      </c>
      <c r="AK18">
        <f>'CN FD B'!AK18-(('CN FD A'!AK18*'CN FD C'!AK19)/'CN FD alpha'!AK19)</f>
        <v>-140.85415288355406</v>
      </c>
      <c r="AL18">
        <f>'CN FD B'!AL18-(('CN FD A'!AL18*'CN FD C'!AL19)/'CN FD alpha'!AL19)</f>
        <v>-140.85415288355406</v>
      </c>
      <c r="AM18">
        <f>'CN FD B'!AM18-(('CN FD A'!AM18*'CN FD C'!AM19)/'CN FD alpha'!AM19)</f>
        <v>-140.85415288355406</v>
      </c>
      <c r="AN18">
        <f>'CN FD B'!AN18-(('CN FD A'!AN18*'CN FD C'!AN19)/'CN FD alpha'!AN19)</f>
        <v>-140.85415288355406</v>
      </c>
      <c r="AO18">
        <f>'CN FD B'!AO18-(('CN FD A'!AO18*'CN FD C'!AO19)/'CN FD alpha'!AO19)</f>
        <v>-140.85415288355406</v>
      </c>
      <c r="AP18">
        <f>'CN FD B'!AP18-(('CN FD A'!AP18*'CN FD C'!AP19)/'CN FD alpha'!AP19)</f>
        <v>-140.85415288355406</v>
      </c>
      <c r="AQ18">
        <f>'CN FD B'!AQ18-(('CN FD A'!AQ18*'CN FD C'!AQ19)/'CN FD alpha'!AQ19)</f>
        <v>-140.85415288355406</v>
      </c>
      <c r="AR18">
        <f>'CN FD B'!AR18-(('CN FD A'!AR18*'CN FD C'!AR19)/'CN FD alpha'!AR19)</f>
        <v>-140.85415288355406</v>
      </c>
      <c r="AS18">
        <f>'CN FD B'!AS18-(('CN FD A'!AS18*'CN FD C'!AS19)/'CN FD alpha'!AS19)</f>
        <v>-140.85415288355406</v>
      </c>
      <c r="AT18">
        <f>'CN FD B'!AT18-(('CN FD A'!AT18*'CN FD C'!AT19)/'CN FD alpha'!AT19)</f>
        <v>-140.85415288355406</v>
      </c>
      <c r="AU18">
        <f>'CN FD B'!AU18-(('CN FD A'!AU18*'CN FD C'!AU19)/'CN FD alpha'!AU19)</f>
        <v>-140.85415288355406</v>
      </c>
      <c r="AV18">
        <f>'CN FD B'!AV18-(('CN FD A'!AV18*'CN FD C'!AV19)/'CN FD alpha'!AV19)</f>
        <v>-140.85415288355406</v>
      </c>
      <c r="AW18">
        <f>'CN FD B'!AW18-(('CN FD A'!AW18*'CN FD C'!AW19)/'CN FD alpha'!AW19)</f>
        <v>-140.85415288355406</v>
      </c>
      <c r="AX18">
        <f>'CN FD B'!AX18-(('CN FD A'!AX18*'CN FD C'!AX19)/'CN FD alpha'!AX19)</f>
        <v>-140.85415288355406</v>
      </c>
      <c r="AY18">
        <f>'CN FD B'!AY18-(('CN FD A'!AY18*'CN FD C'!AY19)/'CN FD alpha'!AY19)</f>
        <v>-140.85415288355406</v>
      </c>
      <c r="AZ18">
        <f>'CN FD B'!AZ18-(('CN FD A'!AZ18*'CN FD C'!AZ19)/'CN FD alpha'!AZ19)</f>
        <v>-140.85415288355406</v>
      </c>
      <c r="BA18" s="6"/>
    </row>
    <row r="19" spans="1:53" x14ac:dyDescent="0.2">
      <c r="A19">
        <f t="shared" si="1"/>
        <v>46</v>
      </c>
      <c r="B19" s="3">
        <f t="shared" si="0"/>
        <v>92</v>
      </c>
      <c r="C19">
        <f>'CN FD B'!C19-(('CN FD A'!C19*'CN FD C'!C20)/'CN FD alpha'!C20)</f>
        <v>-139.23824113145506</v>
      </c>
      <c r="D19">
        <f>'CN FD B'!D19-(('CN FD A'!D19*'CN FD C'!D20)/'CN FD alpha'!D20)</f>
        <v>-139.23824113145506</v>
      </c>
      <c r="E19">
        <f>'CN FD B'!E19-(('CN FD A'!E19*'CN FD C'!E20)/'CN FD alpha'!E20)</f>
        <v>-139.23824113145506</v>
      </c>
      <c r="F19">
        <f>'CN FD B'!F19-(('CN FD A'!F19*'CN FD C'!F20)/'CN FD alpha'!F20)</f>
        <v>-139.23824113145506</v>
      </c>
      <c r="G19">
        <f>'CN FD B'!G19-(('CN FD A'!G19*'CN FD C'!G20)/'CN FD alpha'!G20)</f>
        <v>-139.23824113145506</v>
      </c>
      <c r="H19">
        <f>'CN FD B'!H19-(('CN FD A'!H19*'CN FD C'!H20)/'CN FD alpha'!H20)</f>
        <v>-139.23824113145506</v>
      </c>
      <c r="I19">
        <f>'CN FD B'!I19-(('CN FD A'!I19*'CN FD C'!I20)/'CN FD alpha'!I20)</f>
        <v>-139.23824113145506</v>
      </c>
      <c r="J19">
        <f>'CN FD B'!J19-(('CN FD A'!J19*'CN FD C'!J20)/'CN FD alpha'!J20)</f>
        <v>-139.23824113145506</v>
      </c>
      <c r="K19">
        <f>'CN FD B'!K19-(('CN FD A'!K19*'CN FD C'!K20)/'CN FD alpha'!K20)</f>
        <v>-139.23824113145506</v>
      </c>
      <c r="L19">
        <f>'CN FD B'!L19-(('CN FD A'!L19*'CN FD C'!L20)/'CN FD alpha'!L20)</f>
        <v>-139.23824113145506</v>
      </c>
      <c r="M19">
        <f>'CN FD B'!M19-(('CN FD A'!M19*'CN FD C'!M20)/'CN FD alpha'!M20)</f>
        <v>-139.23824113145506</v>
      </c>
      <c r="N19">
        <f>'CN FD B'!N19-(('CN FD A'!N19*'CN FD C'!N20)/'CN FD alpha'!N20)</f>
        <v>-139.23824113145506</v>
      </c>
      <c r="O19">
        <f>'CN FD B'!O19-(('CN FD A'!O19*'CN FD C'!O20)/'CN FD alpha'!O20)</f>
        <v>-139.23824113145506</v>
      </c>
      <c r="P19">
        <f>'CN FD B'!P19-(('CN FD A'!P19*'CN FD C'!P20)/'CN FD alpha'!P20)</f>
        <v>-139.23824113145506</v>
      </c>
      <c r="Q19">
        <f>'CN FD B'!Q19-(('CN FD A'!Q19*'CN FD C'!Q20)/'CN FD alpha'!Q20)</f>
        <v>-139.23824113145506</v>
      </c>
      <c r="R19">
        <f>'CN FD B'!R19-(('CN FD A'!R19*'CN FD C'!R20)/'CN FD alpha'!R20)</f>
        <v>-139.23824113145506</v>
      </c>
      <c r="S19">
        <f>'CN FD B'!S19-(('CN FD A'!S19*'CN FD C'!S20)/'CN FD alpha'!S20)</f>
        <v>-139.23824113145506</v>
      </c>
      <c r="T19">
        <f>'CN FD B'!T19-(('CN FD A'!T19*'CN FD C'!T20)/'CN FD alpha'!T20)</f>
        <v>-139.23824113145506</v>
      </c>
      <c r="U19">
        <f>'CN FD B'!U19-(('CN FD A'!U19*'CN FD C'!U20)/'CN FD alpha'!U20)</f>
        <v>-139.23824113145506</v>
      </c>
      <c r="V19">
        <f>'CN FD B'!V19-(('CN FD A'!V19*'CN FD C'!V20)/'CN FD alpha'!V20)</f>
        <v>-139.23824113145506</v>
      </c>
      <c r="W19">
        <f>'CN FD B'!W19-(('CN FD A'!W19*'CN FD C'!W20)/'CN FD alpha'!W20)</f>
        <v>-139.23824113145506</v>
      </c>
      <c r="X19">
        <f>'CN FD B'!X19-(('CN FD A'!X19*'CN FD C'!X20)/'CN FD alpha'!X20)</f>
        <v>-139.23824113145506</v>
      </c>
      <c r="Y19">
        <f>'CN FD B'!Y19-(('CN FD A'!Y19*'CN FD C'!Y20)/'CN FD alpha'!Y20)</f>
        <v>-139.23824113145506</v>
      </c>
      <c r="Z19">
        <f>'CN FD B'!Z19-(('CN FD A'!Z19*'CN FD C'!Z20)/'CN FD alpha'!Z20)</f>
        <v>-139.23824113145506</v>
      </c>
      <c r="AA19">
        <f>'CN FD B'!AA19-(('CN FD A'!AA19*'CN FD C'!AA20)/'CN FD alpha'!AA20)</f>
        <v>-139.23824113145506</v>
      </c>
      <c r="AB19">
        <f>'CN FD B'!AB19-(('CN FD A'!AB19*'CN FD C'!AB20)/'CN FD alpha'!AB20)</f>
        <v>-139.23824113145506</v>
      </c>
      <c r="AC19">
        <f>'CN FD B'!AC19-(('CN FD A'!AC19*'CN FD C'!AC20)/'CN FD alpha'!AC20)</f>
        <v>-139.23824113145506</v>
      </c>
      <c r="AD19">
        <f>'CN FD B'!AD19-(('CN FD A'!AD19*'CN FD C'!AD20)/'CN FD alpha'!AD20)</f>
        <v>-139.23824113145506</v>
      </c>
      <c r="AE19">
        <f>'CN FD B'!AE19-(('CN FD A'!AE19*'CN FD C'!AE20)/'CN FD alpha'!AE20)</f>
        <v>-139.23824113145506</v>
      </c>
      <c r="AF19">
        <f>'CN FD B'!AF19-(('CN FD A'!AF19*'CN FD C'!AF20)/'CN FD alpha'!AF20)</f>
        <v>-139.23824113145506</v>
      </c>
      <c r="AG19">
        <f>'CN FD B'!AG19-(('CN FD A'!AG19*'CN FD C'!AG20)/'CN FD alpha'!AG20)</f>
        <v>-139.23824113145506</v>
      </c>
      <c r="AH19">
        <f>'CN FD B'!AH19-(('CN FD A'!AH19*'CN FD C'!AH20)/'CN FD alpha'!AH20)</f>
        <v>-139.23824113145506</v>
      </c>
      <c r="AI19">
        <f>'CN FD B'!AI19-(('CN FD A'!AI19*'CN FD C'!AI20)/'CN FD alpha'!AI20)</f>
        <v>-139.23824113145506</v>
      </c>
      <c r="AJ19">
        <f>'CN FD B'!AJ19-(('CN FD A'!AJ19*'CN FD C'!AJ20)/'CN FD alpha'!AJ20)</f>
        <v>-139.23824113145506</v>
      </c>
      <c r="AK19">
        <f>'CN FD B'!AK19-(('CN FD A'!AK19*'CN FD C'!AK20)/'CN FD alpha'!AK20)</f>
        <v>-139.23824113145506</v>
      </c>
      <c r="AL19">
        <f>'CN FD B'!AL19-(('CN FD A'!AL19*'CN FD C'!AL20)/'CN FD alpha'!AL20)</f>
        <v>-139.23824113145506</v>
      </c>
      <c r="AM19">
        <f>'CN FD B'!AM19-(('CN FD A'!AM19*'CN FD C'!AM20)/'CN FD alpha'!AM20)</f>
        <v>-139.23824113145506</v>
      </c>
      <c r="AN19">
        <f>'CN FD B'!AN19-(('CN FD A'!AN19*'CN FD C'!AN20)/'CN FD alpha'!AN20)</f>
        <v>-139.23824113145506</v>
      </c>
      <c r="AO19">
        <f>'CN FD B'!AO19-(('CN FD A'!AO19*'CN FD C'!AO20)/'CN FD alpha'!AO20)</f>
        <v>-139.23824113145506</v>
      </c>
      <c r="AP19">
        <f>'CN FD B'!AP19-(('CN FD A'!AP19*'CN FD C'!AP20)/'CN FD alpha'!AP20)</f>
        <v>-139.23824113145506</v>
      </c>
      <c r="AQ19">
        <f>'CN FD B'!AQ19-(('CN FD A'!AQ19*'CN FD C'!AQ20)/'CN FD alpha'!AQ20)</f>
        <v>-139.23824113145506</v>
      </c>
      <c r="AR19">
        <f>'CN FD B'!AR19-(('CN FD A'!AR19*'CN FD C'!AR20)/'CN FD alpha'!AR20)</f>
        <v>-139.23824113145506</v>
      </c>
      <c r="AS19">
        <f>'CN FD B'!AS19-(('CN FD A'!AS19*'CN FD C'!AS20)/'CN FD alpha'!AS20)</f>
        <v>-139.23824113145506</v>
      </c>
      <c r="AT19">
        <f>'CN FD B'!AT19-(('CN FD A'!AT19*'CN FD C'!AT20)/'CN FD alpha'!AT20)</f>
        <v>-139.23824113145506</v>
      </c>
      <c r="AU19">
        <f>'CN FD B'!AU19-(('CN FD A'!AU19*'CN FD C'!AU20)/'CN FD alpha'!AU20)</f>
        <v>-139.23824113145506</v>
      </c>
      <c r="AV19">
        <f>'CN FD B'!AV19-(('CN FD A'!AV19*'CN FD C'!AV20)/'CN FD alpha'!AV20)</f>
        <v>-139.23824113145506</v>
      </c>
      <c r="AW19">
        <f>'CN FD B'!AW19-(('CN FD A'!AW19*'CN FD C'!AW20)/'CN FD alpha'!AW20)</f>
        <v>-139.23824113145506</v>
      </c>
      <c r="AX19">
        <f>'CN FD B'!AX19-(('CN FD A'!AX19*'CN FD C'!AX20)/'CN FD alpha'!AX20)</f>
        <v>-139.23824113145506</v>
      </c>
      <c r="AY19">
        <f>'CN FD B'!AY19-(('CN FD A'!AY19*'CN FD C'!AY20)/'CN FD alpha'!AY20)</f>
        <v>-139.23824113145506</v>
      </c>
      <c r="AZ19">
        <f>'CN FD B'!AZ19-(('CN FD A'!AZ19*'CN FD C'!AZ20)/'CN FD alpha'!AZ20)</f>
        <v>-139.23824113145506</v>
      </c>
      <c r="BA19" s="6"/>
    </row>
    <row r="20" spans="1:53" x14ac:dyDescent="0.2">
      <c r="A20">
        <f t="shared" si="1"/>
        <v>45</v>
      </c>
      <c r="B20" s="3">
        <f t="shared" si="0"/>
        <v>90</v>
      </c>
      <c r="C20">
        <f>'CN FD B'!C20-(('CN FD A'!C20*'CN FD C'!C21)/'CN FD alpha'!C21)</f>
        <v>-137.65036691300148</v>
      </c>
      <c r="D20">
        <f>'CN FD B'!D20-(('CN FD A'!D20*'CN FD C'!D21)/'CN FD alpha'!D21)</f>
        <v>-137.65036691300148</v>
      </c>
      <c r="E20">
        <f>'CN FD B'!E20-(('CN FD A'!E20*'CN FD C'!E21)/'CN FD alpha'!E21)</f>
        <v>-137.65036691300148</v>
      </c>
      <c r="F20">
        <f>'CN FD B'!F20-(('CN FD A'!F20*'CN FD C'!F21)/'CN FD alpha'!F21)</f>
        <v>-137.65036691300148</v>
      </c>
      <c r="G20">
        <f>'CN FD B'!G20-(('CN FD A'!G20*'CN FD C'!G21)/'CN FD alpha'!G21)</f>
        <v>-137.65036691300148</v>
      </c>
      <c r="H20">
        <f>'CN FD B'!H20-(('CN FD A'!H20*'CN FD C'!H21)/'CN FD alpha'!H21)</f>
        <v>-137.65036691300148</v>
      </c>
      <c r="I20">
        <f>'CN FD B'!I20-(('CN FD A'!I20*'CN FD C'!I21)/'CN FD alpha'!I21)</f>
        <v>-137.65036691300148</v>
      </c>
      <c r="J20">
        <f>'CN FD B'!J20-(('CN FD A'!J20*'CN FD C'!J21)/'CN FD alpha'!J21)</f>
        <v>-137.65036691300148</v>
      </c>
      <c r="K20">
        <f>'CN FD B'!K20-(('CN FD A'!K20*'CN FD C'!K21)/'CN FD alpha'!K21)</f>
        <v>-137.65036691300148</v>
      </c>
      <c r="L20">
        <f>'CN FD B'!L20-(('CN FD A'!L20*'CN FD C'!L21)/'CN FD alpha'!L21)</f>
        <v>-137.65036691300148</v>
      </c>
      <c r="M20">
        <f>'CN FD B'!M20-(('CN FD A'!M20*'CN FD C'!M21)/'CN FD alpha'!M21)</f>
        <v>-137.65036691300148</v>
      </c>
      <c r="N20">
        <f>'CN FD B'!N20-(('CN FD A'!N20*'CN FD C'!N21)/'CN FD alpha'!N21)</f>
        <v>-137.65036691300148</v>
      </c>
      <c r="O20">
        <f>'CN FD B'!O20-(('CN FD A'!O20*'CN FD C'!O21)/'CN FD alpha'!O21)</f>
        <v>-137.65036691300148</v>
      </c>
      <c r="P20">
        <f>'CN FD B'!P20-(('CN FD A'!P20*'CN FD C'!P21)/'CN FD alpha'!P21)</f>
        <v>-137.65036691300148</v>
      </c>
      <c r="Q20">
        <f>'CN FD B'!Q20-(('CN FD A'!Q20*'CN FD C'!Q21)/'CN FD alpha'!Q21)</f>
        <v>-137.65036691300148</v>
      </c>
      <c r="R20">
        <f>'CN FD B'!R20-(('CN FD A'!R20*'CN FD C'!R21)/'CN FD alpha'!R21)</f>
        <v>-137.65036691300148</v>
      </c>
      <c r="S20">
        <f>'CN FD B'!S20-(('CN FD A'!S20*'CN FD C'!S21)/'CN FD alpha'!S21)</f>
        <v>-137.65036691300148</v>
      </c>
      <c r="T20">
        <f>'CN FD B'!T20-(('CN FD A'!T20*'CN FD C'!T21)/'CN FD alpha'!T21)</f>
        <v>-137.65036691300148</v>
      </c>
      <c r="U20">
        <f>'CN FD B'!U20-(('CN FD A'!U20*'CN FD C'!U21)/'CN FD alpha'!U21)</f>
        <v>-137.65036691300148</v>
      </c>
      <c r="V20">
        <f>'CN FD B'!V20-(('CN FD A'!V20*'CN FD C'!V21)/'CN FD alpha'!V21)</f>
        <v>-137.65036691300148</v>
      </c>
      <c r="W20">
        <f>'CN FD B'!W20-(('CN FD A'!W20*'CN FD C'!W21)/'CN FD alpha'!W21)</f>
        <v>-137.65036691300148</v>
      </c>
      <c r="X20">
        <f>'CN FD B'!X20-(('CN FD A'!X20*'CN FD C'!X21)/'CN FD alpha'!X21)</f>
        <v>-137.65036691300148</v>
      </c>
      <c r="Y20">
        <f>'CN FD B'!Y20-(('CN FD A'!Y20*'CN FD C'!Y21)/'CN FD alpha'!Y21)</f>
        <v>-137.65036691300148</v>
      </c>
      <c r="Z20">
        <f>'CN FD B'!Z20-(('CN FD A'!Z20*'CN FD C'!Z21)/'CN FD alpha'!Z21)</f>
        <v>-137.65036691300148</v>
      </c>
      <c r="AA20">
        <f>'CN FD B'!AA20-(('CN FD A'!AA20*'CN FD C'!AA21)/'CN FD alpha'!AA21)</f>
        <v>-137.65036691300148</v>
      </c>
      <c r="AB20">
        <f>'CN FD B'!AB20-(('CN FD A'!AB20*'CN FD C'!AB21)/'CN FD alpha'!AB21)</f>
        <v>-137.65036691300148</v>
      </c>
      <c r="AC20">
        <f>'CN FD B'!AC20-(('CN FD A'!AC20*'CN FD C'!AC21)/'CN FD alpha'!AC21)</f>
        <v>-137.65036691300148</v>
      </c>
      <c r="AD20">
        <f>'CN FD B'!AD20-(('CN FD A'!AD20*'CN FD C'!AD21)/'CN FD alpha'!AD21)</f>
        <v>-137.65036691300148</v>
      </c>
      <c r="AE20">
        <f>'CN FD B'!AE20-(('CN FD A'!AE20*'CN FD C'!AE21)/'CN FD alpha'!AE21)</f>
        <v>-137.65036691300148</v>
      </c>
      <c r="AF20">
        <f>'CN FD B'!AF20-(('CN FD A'!AF20*'CN FD C'!AF21)/'CN FD alpha'!AF21)</f>
        <v>-137.65036691300148</v>
      </c>
      <c r="AG20">
        <f>'CN FD B'!AG20-(('CN FD A'!AG20*'CN FD C'!AG21)/'CN FD alpha'!AG21)</f>
        <v>-137.65036691300148</v>
      </c>
      <c r="AH20">
        <f>'CN FD B'!AH20-(('CN FD A'!AH20*'CN FD C'!AH21)/'CN FD alpha'!AH21)</f>
        <v>-137.65036691300148</v>
      </c>
      <c r="AI20">
        <f>'CN FD B'!AI20-(('CN FD A'!AI20*'CN FD C'!AI21)/'CN FD alpha'!AI21)</f>
        <v>-137.65036691300148</v>
      </c>
      <c r="AJ20">
        <f>'CN FD B'!AJ20-(('CN FD A'!AJ20*'CN FD C'!AJ21)/'CN FD alpha'!AJ21)</f>
        <v>-137.65036691300148</v>
      </c>
      <c r="AK20">
        <f>'CN FD B'!AK20-(('CN FD A'!AK20*'CN FD C'!AK21)/'CN FD alpha'!AK21)</f>
        <v>-137.65036691300148</v>
      </c>
      <c r="AL20">
        <f>'CN FD B'!AL20-(('CN FD A'!AL20*'CN FD C'!AL21)/'CN FD alpha'!AL21)</f>
        <v>-137.65036691300148</v>
      </c>
      <c r="AM20">
        <f>'CN FD B'!AM20-(('CN FD A'!AM20*'CN FD C'!AM21)/'CN FD alpha'!AM21)</f>
        <v>-137.65036691300148</v>
      </c>
      <c r="AN20">
        <f>'CN FD B'!AN20-(('CN FD A'!AN20*'CN FD C'!AN21)/'CN FD alpha'!AN21)</f>
        <v>-137.65036691300148</v>
      </c>
      <c r="AO20">
        <f>'CN FD B'!AO20-(('CN FD A'!AO20*'CN FD C'!AO21)/'CN FD alpha'!AO21)</f>
        <v>-137.65036691300148</v>
      </c>
      <c r="AP20">
        <f>'CN FD B'!AP20-(('CN FD A'!AP20*'CN FD C'!AP21)/'CN FD alpha'!AP21)</f>
        <v>-137.65036691300148</v>
      </c>
      <c r="AQ20">
        <f>'CN FD B'!AQ20-(('CN FD A'!AQ20*'CN FD C'!AQ21)/'CN FD alpha'!AQ21)</f>
        <v>-137.65036691300148</v>
      </c>
      <c r="AR20">
        <f>'CN FD B'!AR20-(('CN FD A'!AR20*'CN FD C'!AR21)/'CN FD alpha'!AR21)</f>
        <v>-137.65036691300148</v>
      </c>
      <c r="AS20">
        <f>'CN FD B'!AS20-(('CN FD A'!AS20*'CN FD C'!AS21)/'CN FD alpha'!AS21)</f>
        <v>-137.65036691300148</v>
      </c>
      <c r="AT20">
        <f>'CN FD B'!AT20-(('CN FD A'!AT20*'CN FD C'!AT21)/'CN FD alpha'!AT21)</f>
        <v>-137.65036691300148</v>
      </c>
      <c r="AU20">
        <f>'CN FD B'!AU20-(('CN FD A'!AU20*'CN FD C'!AU21)/'CN FD alpha'!AU21)</f>
        <v>-137.65036691300148</v>
      </c>
      <c r="AV20">
        <f>'CN FD B'!AV20-(('CN FD A'!AV20*'CN FD C'!AV21)/'CN FD alpha'!AV21)</f>
        <v>-137.65036691300148</v>
      </c>
      <c r="AW20">
        <f>'CN FD B'!AW20-(('CN FD A'!AW20*'CN FD C'!AW21)/'CN FD alpha'!AW21)</f>
        <v>-137.65036691300148</v>
      </c>
      <c r="AX20">
        <f>'CN FD B'!AX20-(('CN FD A'!AX20*'CN FD C'!AX21)/'CN FD alpha'!AX21)</f>
        <v>-137.65036691300148</v>
      </c>
      <c r="AY20">
        <f>'CN FD B'!AY20-(('CN FD A'!AY20*'CN FD C'!AY21)/'CN FD alpha'!AY21)</f>
        <v>-137.65036691300148</v>
      </c>
      <c r="AZ20">
        <f>'CN FD B'!AZ20-(('CN FD A'!AZ20*'CN FD C'!AZ21)/'CN FD alpha'!AZ21)</f>
        <v>-137.65036691300148</v>
      </c>
      <c r="BA20" s="6"/>
    </row>
    <row r="21" spans="1:53" x14ac:dyDescent="0.2">
      <c r="A21">
        <f t="shared" si="1"/>
        <v>44</v>
      </c>
      <c r="B21" s="3">
        <f t="shared" si="0"/>
        <v>88</v>
      </c>
      <c r="C21">
        <f>'CN FD B'!C21-(('CN FD A'!C21*'CN FD C'!C22)/'CN FD alpha'!C22)</f>
        <v>-136.09077551212334</v>
      </c>
      <c r="D21">
        <f>'CN FD B'!D21-(('CN FD A'!D21*'CN FD C'!D22)/'CN FD alpha'!D22)</f>
        <v>-136.09077551212334</v>
      </c>
      <c r="E21">
        <f>'CN FD B'!E21-(('CN FD A'!E21*'CN FD C'!E22)/'CN FD alpha'!E22)</f>
        <v>-136.09077551212334</v>
      </c>
      <c r="F21">
        <f>'CN FD B'!F21-(('CN FD A'!F21*'CN FD C'!F22)/'CN FD alpha'!F22)</f>
        <v>-136.09077551212334</v>
      </c>
      <c r="G21">
        <f>'CN FD B'!G21-(('CN FD A'!G21*'CN FD C'!G22)/'CN FD alpha'!G22)</f>
        <v>-136.09077551212334</v>
      </c>
      <c r="H21">
        <f>'CN FD B'!H21-(('CN FD A'!H21*'CN FD C'!H22)/'CN FD alpha'!H22)</f>
        <v>-136.09077551212334</v>
      </c>
      <c r="I21">
        <f>'CN FD B'!I21-(('CN FD A'!I21*'CN FD C'!I22)/'CN FD alpha'!I22)</f>
        <v>-136.09077551212334</v>
      </c>
      <c r="J21">
        <f>'CN FD B'!J21-(('CN FD A'!J21*'CN FD C'!J22)/'CN FD alpha'!J22)</f>
        <v>-136.09077551212334</v>
      </c>
      <c r="K21">
        <f>'CN FD B'!K21-(('CN FD A'!K21*'CN FD C'!K22)/'CN FD alpha'!K22)</f>
        <v>-136.09077551212334</v>
      </c>
      <c r="L21">
        <f>'CN FD B'!L21-(('CN FD A'!L21*'CN FD C'!L22)/'CN FD alpha'!L22)</f>
        <v>-136.09077551212334</v>
      </c>
      <c r="M21">
        <f>'CN FD B'!M21-(('CN FD A'!M21*'CN FD C'!M22)/'CN FD alpha'!M22)</f>
        <v>-136.09077551212334</v>
      </c>
      <c r="N21">
        <f>'CN FD B'!N21-(('CN FD A'!N21*'CN FD C'!N22)/'CN FD alpha'!N22)</f>
        <v>-136.09077551212334</v>
      </c>
      <c r="O21">
        <f>'CN FD B'!O21-(('CN FD A'!O21*'CN FD C'!O22)/'CN FD alpha'!O22)</f>
        <v>-136.09077551212334</v>
      </c>
      <c r="P21">
        <f>'CN FD B'!P21-(('CN FD A'!P21*'CN FD C'!P22)/'CN FD alpha'!P22)</f>
        <v>-136.09077551212334</v>
      </c>
      <c r="Q21">
        <f>'CN FD B'!Q21-(('CN FD A'!Q21*'CN FD C'!Q22)/'CN FD alpha'!Q22)</f>
        <v>-136.09077551212334</v>
      </c>
      <c r="R21">
        <f>'CN FD B'!R21-(('CN FD A'!R21*'CN FD C'!R22)/'CN FD alpha'!R22)</f>
        <v>-136.09077551212334</v>
      </c>
      <c r="S21">
        <f>'CN FD B'!S21-(('CN FD A'!S21*'CN FD C'!S22)/'CN FD alpha'!S22)</f>
        <v>-136.09077551212334</v>
      </c>
      <c r="T21">
        <f>'CN FD B'!T21-(('CN FD A'!T21*'CN FD C'!T22)/'CN FD alpha'!T22)</f>
        <v>-136.09077551212334</v>
      </c>
      <c r="U21">
        <f>'CN FD B'!U21-(('CN FD A'!U21*'CN FD C'!U22)/'CN FD alpha'!U22)</f>
        <v>-136.09077551212334</v>
      </c>
      <c r="V21">
        <f>'CN FD B'!V21-(('CN FD A'!V21*'CN FD C'!V22)/'CN FD alpha'!V22)</f>
        <v>-136.09077551212334</v>
      </c>
      <c r="W21">
        <f>'CN FD B'!W21-(('CN FD A'!W21*'CN FD C'!W22)/'CN FD alpha'!W22)</f>
        <v>-136.09077551212334</v>
      </c>
      <c r="X21">
        <f>'CN FD B'!X21-(('CN FD A'!X21*'CN FD C'!X22)/'CN FD alpha'!X22)</f>
        <v>-136.09077551212334</v>
      </c>
      <c r="Y21">
        <f>'CN FD B'!Y21-(('CN FD A'!Y21*'CN FD C'!Y22)/'CN FD alpha'!Y22)</f>
        <v>-136.09077551212334</v>
      </c>
      <c r="Z21">
        <f>'CN FD B'!Z21-(('CN FD A'!Z21*'CN FD C'!Z22)/'CN FD alpha'!Z22)</f>
        <v>-136.09077551212334</v>
      </c>
      <c r="AA21">
        <f>'CN FD B'!AA21-(('CN FD A'!AA21*'CN FD C'!AA22)/'CN FD alpha'!AA22)</f>
        <v>-136.09077551212334</v>
      </c>
      <c r="AB21">
        <f>'CN FD B'!AB21-(('CN FD A'!AB21*'CN FD C'!AB22)/'CN FD alpha'!AB22)</f>
        <v>-136.09077551212334</v>
      </c>
      <c r="AC21">
        <f>'CN FD B'!AC21-(('CN FD A'!AC21*'CN FD C'!AC22)/'CN FD alpha'!AC22)</f>
        <v>-136.09077551212334</v>
      </c>
      <c r="AD21">
        <f>'CN FD B'!AD21-(('CN FD A'!AD21*'CN FD C'!AD22)/'CN FD alpha'!AD22)</f>
        <v>-136.09077551212334</v>
      </c>
      <c r="AE21">
        <f>'CN FD B'!AE21-(('CN FD A'!AE21*'CN FD C'!AE22)/'CN FD alpha'!AE22)</f>
        <v>-136.09077551212334</v>
      </c>
      <c r="AF21">
        <f>'CN FD B'!AF21-(('CN FD A'!AF21*'CN FD C'!AF22)/'CN FD alpha'!AF22)</f>
        <v>-136.09077551212334</v>
      </c>
      <c r="AG21">
        <f>'CN FD B'!AG21-(('CN FD A'!AG21*'CN FD C'!AG22)/'CN FD alpha'!AG22)</f>
        <v>-136.09077551212334</v>
      </c>
      <c r="AH21">
        <f>'CN FD B'!AH21-(('CN FD A'!AH21*'CN FD C'!AH22)/'CN FD alpha'!AH22)</f>
        <v>-136.09077551212334</v>
      </c>
      <c r="AI21">
        <f>'CN FD B'!AI21-(('CN FD A'!AI21*'CN FD C'!AI22)/'CN FD alpha'!AI22)</f>
        <v>-136.09077551212334</v>
      </c>
      <c r="AJ21">
        <f>'CN FD B'!AJ21-(('CN FD A'!AJ21*'CN FD C'!AJ22)/'CN FD alpha'!AJ22)</f>
        <v>-136.09077551212334</v>
      </c>
      <c r="AK21">
        <f>'CN FD B'!AK21-(('CN FD A'!AK21*'CN FD C'!AK22)/'CN FD alpha'!AK22)</f>
        <v>-136.09077551212334</v>
      </c>
      <c r="AL21">
        <f>'CN FD B'!AL21-(('CN FD A'!AL21*'CN FD C'!AL22)/'CN FD alpha'!AL22)</f>
        <v>-136.09077551212334</v>
      </c>
      <c r="AM21">
        <f>'CN FD B'!AM21-(('CN FD A'!AM21*'CN FD C'!AM22)/'CN FD alpha'!AM22)</f>
        <v>-136.09077551212334</v>
      </c>
      <c r="AN21">
        <f>'CN FD B'!AN21-(('CN FD A'!AN21*'CN FD C'!AN22)/'CN FD alpha'!AN22)</f>
        <v>-136.09077551212334</v>
      </c>
      <c r="AO21">
        <f>'CN FD B'!AO21-(('CN FD A'!AO21*'CN FD C'!AO22)/'CN FD alpha'!AO22)</f>
        <v>-136.09077551212334</v>
      </c>
      <c r="AP21">
        <f>'CN FD B'!AP21-(('CN FD A'!AP21*'CN FD C'!AP22)/'CN FD alpha'!AP22)</f>
        <v>-136.09077551212334</v>
      </c>
      <c r="AQ21">
        <f>'CN FD B'!AQ21-(('CN FD A'!AQ21*'CN FD C'!AQ22)/'CN FD alpha'!AQ22)</f>
        <v>-136.09077551212334</v>
      </c>
      <c r="AR21">
        <f>'CN FD B'!AR21-(('CN FD A'!AR21*'CN FD C'!AR22)/'CN FD alpha'!AR22)</f>
        <v>-136.09077551212334</v>
      </c>
      <c r="AS21">
        <f>'CN FD B'!AS21-(('CN FD A'!AS21*'CN FD C'!AS22)/'CN FD alpha'!AS22)</f>
        <v>-136.09077551212334</v>
      </c>
      <c r="AT21">
        <f>'CN FD B'!AT21-(('CN FD A'!AT21*'CN FD C'!AT22)/'CN FD alpha'!AT22)</f>
        <v>-136.09077551212334</v>
      </c>
      <c r="AU21">
        <f>'CN FD B'!AU21-(('CN FD A'!AU21*'CN FD C'!AU22)/'CN FD alpha'!AU22)</f>
        <v>-136.09077551212334</v>
      </c>
      <c r="AV21">
        <f>'CN FD B'!AV21-(('CN FD A'!AV21*'CN FD C'!AV22)/'CN FD alpha'!AV22)</f>
        <v>-136.09077551212334</v>
      </c>
      <c r="AW21">
        <f>'CN FD B'!AW21-(('CN FD A'!AW21*'CN FD C'!AW22)/'CN FD alpha'!AW22)</f>
        <v>-136.09077551212334</v>
      </c>
      <c r="AX21">
        <f>'CN FD B'!AX21-(('CN FD A'!AX21*'CN FD C'!AX22)/'CN FD alpha'!AX22)</f>
        <v>-136.09077551212334</v>
      </c>
      <c r="AY21">
        <f>'CN FD B'!AY21-(('CN FD A'!AY21*'CN FD C'!AY22)/'CN FD alpha'!AY22)</f>
        <v>-136.09077551212334</v>
      </c>
      <c r="AZ21">
        <f>'CN FD B'!AZ21-(('CN FD A'!AZ21*'CN FD C'!AZ22)/'CN FD alpha'!AZ22)</f>
        <v>-136.09077551212334</v>
      </c>
      <c r="BA21" s="6"/>
    </row>
    <row r="22" spans="1:53" x14ac:dyDescent="0.2">
      <c r="A22">
        <f t="shared" si="1"/>
        <v>43</v>
      </c>
      <c r="B22" s="3">
        <f t="shared" si="0"/>
        <v>86</v>
      </c>
      <c r="C22">
        <f>'CN FD B'!C22-(('CN FD A'!C22*'CN FD C'!C23)/'CN FD alpha'!C23)</f>
        <v>-134.55971905768533</v>
      </c>
      <c r="D22">
        <f>'CN FD B'!D22-(('CN FD A'!D22*'CN FD C'!D23)/'CN FD alpha'!D23)</f>
        <v>-134.55971905768533</v>
      </c>
      <c r="E22">
        <f>'CN FD B'!E22-(('CN FD A'!E22*'CN FD C'!E23)/'CN FD alpha'!E23)</f>
        <v>-134.55971905768533</v>
      </c>
      <c r="F22">
        <f>'CN FD B'!F22-(('CN FD A'!F22*'CN FD C'!F23)/'CN FD alpha'!F23)</f>
        <v>-134.55971905768533</v>
      </c>
      <c r="G22">
        <f>'CN FD B'!G22-(('CN FD A'!G22*'CN FD C'!G23)/'CN FD alpha'!G23)</f>
        <v>-134.55971905768533</v>
      </c>
      <c r="H22">
        <f>'CN FD B'!H22-(('CN FD A'!H22*'CN FD C'!H23)/'CN FD alpha'!H23)</f>
        <v>-134.55971905768533</v>
      </c>
      <c r="I22">
        <f>'CN FD B'!I22-(('CN FD A'!I22*'CN FD C'!I23)/'CN FD alpha'!I23)</f>
        <v>-134.55971905768533</v>
      </c>
      <c r="J22">
        <f>'CN FD B'!J22-(('CN FD A'!J22*'CN FD C'!J23)/'CN FD alpha'!J23)</f>
        <v>-134.55971905768533</v>
      </c>
      <c r="K22">
        <f>'CN FD B'!K22-(('CN FD A'!K22*'CN FD C'!K23)/'CN FD alpha'!K23)</f>
        <v>-134.55971905768533</v>
      </c>
      <c r="L22">
        <f>'CN FD B'!L22-(('CN FD A'!L22*'CN FD C'!L23)/'CN FD alpha'!L23)</f>
        <v>-134.55971905768533</v>
      </c>
      <c r="M22">
        <f>'CN FD B'!M22-(('CN FD A'!M22*'CN FD C'!M23)/'CN FD alpha'!M23)</f>
        <v>-134.55971905768533</v>
      </c>
      <c r="N22">
        <f>'CN FD B'!N22-(('CN FD A'!N22*'CN FD C'!N23)/'CN FD alpha'!N23)</f>
        <v>-134.55971905768533</v>
      </c>
      <c r="O22">
        <f>'CN FD B'!O22-(('CN FD A'!O22*'CN FD C'!O23)/'CN FD alpha'!O23)</f>
        <v>-134.55971905768533</v>
      </c>
      <c r="P22">
        <f>'CN FD B'!P22-(('CN FD A'!P22*'CN FD C'!P23)/'CN FD alpha'!P23)</f>
        <v>-134.55971905768533</v>
      </c>
      <c r="Q22">
        <f>'CN FD B'!Q22-(('CN FD A'!Q22*'CN FD C'!Q23)/'CN FD alpha'!Q23)</f>
        <v>-134.55971905768533</v>
      </c>
      <c r="R22">
        <f>'CN FD B'!R22-(('CN FD A'!R22*'CN FD C'!R23)/'CN FD alpha'!R23)</f>
        <v>-134.55971905768533</v>
      </c>
      <c r="S22">
        <f>'CN FD B'!S22-(('CN FD A'!S22*'CN FD C'!S23)/'CN FD alpha'!S23)</f>
        <v>-134.55971905768533</v>
      </c>
      <c r="T22">
        <f>'CN FD B'!T22-(('CN FD A'!T22*'CN FD C'!T23)/'CN FD alpha'!T23)</f>
        <v>-134.55971905768533</v>
      </c>
      <c r="U22">
        <f>'CN FD B'!U22-(('CN FD A'!U22*'CN FD C'!U23)/'CN FD alpha'!U23)</f>
        <v>-134.55971905768533</v>
      </c>
      <c r="V22">
        <f>'CN FD B'!V22-(('CN FD A'!V22*'CN FD C'!V23)/'CN FD alpha'!V23)</f>
        <v>-134.55971905768533</v>
      </c>
      <c r="W22">
        <f>'CN FD B'!W22-(('CN FD A'!W22*'CN FD C'!W23)/'CN FD alpha'!W23)</f>
        <v>-134.55971905768533</v>
      </c>
      <c r="X22">
        <f>'CN FD B'!X22-(('CN FD A'!X22*'CN FD C'!X23)/'CN FD alpha'!X23)</f>
        <v>-134.55971905768533</v>
      </c>
      <c r="Y22">
        <f>'CN FD B'!Y22-(('CN FD A'!Y22*'CN FD C'!Y23)/'CN FD alpha'!Y23)</f>
        <v>-134.55971905768533</v>
      </c>
      <c r="Z22">
        <f>'CN FD B'!Z22-(('CN FD A'!Z22*'CN FD C'!Z23)/'CN FD alpha'!Z23)</f>
        <v>-134.55971905768533</v>
      </c>
      <c r="AA22">
        <f>'CN FD B'!AA22-(('CN FD A'!AA22*'CN FD C'!AA23)/'CN FD alpha'!AA23)</f>
        <v>-134.55971905768533</v>
      </c>
      <c r="AB22">
        <f>'CN FD B'!AB22-(('CN FD A'!AB22*'CN FD C'!AB23)/'CN FD alpha'!AB23)</f>
        <v>-134.55971905768533</v>
      </c>
      <c r="AC22">
        <f>'CN FD B'!AC22-(('CN FD A'!AC22*'CN FD C'!AC23)/'CN FD alpha'!AC23)</f>
        <v>-134.55971905768533</v>
      </c>
      <c r="AD22">
        <f>'CN FD B'!AD22-(('CN FD A'!AD22*'CN FD C'!AD23)/'CN FD alpha'!AD23)</f>
        <v>-134.55971905768533</v>
      </c>
      <c r="AE22">
        <f>'CN FD B'!AE22-(('CN FD A'!AE22*'CN FD C'!AE23)/'CN FD alpha'!AE23)</f>
        <v>-134.55971905768533</v>
      </c>
      <c r="AF22">
        <f>'CN FD B'!AF22-(('CN FD A'!AF22*'CN FD C'!AF23)/'CN FD alpha'!AF23)</f>
        <v>-134.55971905768533</v>
      </c>
      <c r="AG22">
        <f>'CN FD B'!AG22-(('CN FD A'!AG22*'CN FD C'!AG23)/'CN FD alpha'!AG23)</f>
        <v>-134.55971905768533</v>
      </c>
      <c r="AH22">
        <f>'CN FD B'!AH22-(('CN FD A'!AH22*'CN FD C'!AH23)/'CN FD alpha'!AH23)</f>
        <v>-134.55971905768533</v>
      </c>
      <c r="AI22">
        <f>'CN FD B'!AI22-(('CN FD A'!AI22*'CN FD C'!AI23)/'CN FD alpha'!AI23)</f>
        <v>-134.55971905768533</v>
      </c>
      <c r="AJ22">
        <f>'CN FD B'!AJ22-(('CN FD A'!AJ22*'CN FD C'!AJ23)/'CN FD alpha'!AJ23)</f>
        <v>-134.55971905768533</v>
      </c>
      <c r="AK22">
        <f>'CN FD B'!AK22-(('CN FD A'!AK22*'CN FD C'!AK23)/'CN FD alpha'!AK23)</f>
        <v>-134.55971905768533</v>
      </c>
      <c r="AL22">
        <f>'CN FD B'!AL22-(('CN FD A'!AL22*'CN FD C'!AL23)/'CN FD alpha'!AL23)</f>
        <v>-134.55971905768533</v>
      </c>
      <c r="AM22">
        <f>'CN FD B'!AM22-(('CN FD A'!AM22*'CN FD C'!AM23)/'CN FD alpha'!AM23)</f>
        <v>-134.55971905768533</v>
      </c>
      <c r="AN22">
        <f>'CN FD B'!AN22-(('CN FD A'!AN22*'CN FD C'!AN23)/'CN FD alpha'!AN23)</f>
        <v>-134.55971905768533</v>
      </c>
      <c r="AO22">
        <f>'CN FD B'!AO22-(('CN FD A'!AO22*'CN FD C'!AO23)/'CN FD alpha'!AO23)</f>
        <v>-134.55971905768533</v>
      </c>
      <c r="AP22">
        <f>'CN FD B'!AP22-(('CN FD A'!AP22*'CN FD C'!AP23)/'CN FD alpha'!AP23)</f>
        <v>-134.55971905768533</v>
      </c>
      <c r="AQ22">
        <f>'CN FD B'!AQ22-(('CN FD A'!AQ22*'CN FD C'!AQ23)/'CN FD alpha'!AQ23)</f>
        <v>-134.55971905768533</v>
      </c>
      <c r="AR22">
        <f>'CN FD B'!AR22-(('CN FD A'!AR22*'CN FD C'!AR23)/'CN FD alpha'!AR23)</f>
        <v>-134.55971905768533</v>
      </c>
      <c r="AS22">
        <f>'CN FD B'!AS22-(('CN FD A'!AS22*'CN FD C'!AS23)/'CN FD alpha'!AS23)</f>
        <v>-134.55971905768533</v>
      </c>
      <c r="AT22">
        <f>'CN FD B'!AT22-(('CN FD A'!AT22*'CN FD C'!AT23)/'CN FD alpha'!AT23)</f>
        <v>-134.55971905768533</v>
      </c>
      <c r="AU22">
        <f>'CN FD B'!AU22-(('CN FD A'!AU22*'CN FD C'!AU23)/'CN FD alpha'!AU23)</f>
        <v>-134.55971905768533</v>
      </c>
      <c r="AV22">
        <f>'CN FD B'!AV22-(('CN FD A'!AV22*'CN FD C'!AV23)/'CN FD alpha'!AV23)</f>
        <v>-134.55971905768533</v>
      </c>
      <c r="AW22">
        <f>'CN FD B'!AW22-(('CN FD A'!AW22*'CN FD C'!AW23)/'CN FD alpha'!AW23)</f>
        <v>-134.55971905768533</v>
      </c>
      <c r="AX22">
        <f>'CN FD B'!AX22-(('CN FD A'!AX22*'CN FD C'!AX23)/'CN FD alpha'!AX23)</f>
        <v>-134.55971905768533</v>
      </c>
      <c r="AY22">
        <f>'CN FD B'!AY22-(('CN FD A'!AY22*'CN FD C'!AY23)/'CN FD alpha'!AY23)</f>
        <v>-134.55971905768533</v>
      </c>
      <c r="AZ22">
        <f>'CN FD B'!AZ22-(('CN FD A'!AZ22*'CN FD C'!AZ23)/'CN FD alpha'!AZ23)</f>
        <v>-134.55971905768533</v>
      </c>
      <c r="BA22" s="6"/>
    </row>
    <row r="23" spans="1:53" x14ac:dyDescent="0.2">
      <c r="A23">
        <f t="shared" si="1"/>
        <v>42</v>
      </c>
      <c r="B23" s="3">
        <f t="shared" si="0"/>
        <v>84</v>
      </c>
      <c r="C23">
        <f>'CN FD B'!C23-(('CN FD A'!C23*'CN FD C'!C24)/'CN FD alpha'!C24)</f>
        <v>-133.05745654292929</v>
      </c>
      <c r="D23">
        <f>'CN FD B'!D23-(('CN FD A'!D23*'CN FD C'!D24)/'CN FD alpha'!D24)</f>
        <v>-133.05745654292929</v>
      </c>
      <c r="E23">
        <f>'CN FD B'!E23-(('CN FD A'!E23*'CN FD C'!E24)/'CN FD alpha'!E24)</f>
        <v>-133.05745654292929</v>
      </c>
      <c r="F23">
        <f>'CN FD B'!F23-(('CN FD A'!F23*'CN FD C'!F24)/'CN FD alpha'!F24)</f>
        <v>-133.05745654292929</v>
      </c>
      <c r="G23">
        <f>'CN FD B'!G23-(('CN FD A'!G23*'CN FD C'!G24)/'CN FD alpha'!G24)</f>
        <v>-133.05745654292929</v>
      </c>
      <c r="H23">
        <f>'CN FD B'!H23-(('CN FD A'!H23*'CN FD C'!H24)/'CN FD alpha'!H24)</f>
        <v>-133.05745654292929</v>
      </c>
      <c r="I23">
        <f>'CN FD B'!I23-(('CN FD A'!I23*'CN FD C'!I24)/'CN FD alpha'!I24)</f>
        <v>-133.05745654292929</v>
      </c>
      <c r="J23">
        <f>'CN FD B'!J23-(('CN FD A'!J23*'CN FD C'!J24)/'CN FD alpha'!J24)</f>
        <v>-133.05745654292929</v>
      </c>
      <c r="K23">
        <f>'CN FD B'!K23-(('CN FD A'!K23*'CN FD C'!K24)/'CN FD alpha'!K24)</f>
        <v>-133.05745654292929</v>
      </c>
      <c r="L23">
        <f>'CN FD B'!L23-(('CN FD A'!L23*'CN FD C'!L24)/'CN FD alpha'!L24)</f>
        <v>-133.05745654292929</v>
      </c>
      <c r="M23">
        <f>'CN FD B'!M23-(('CN FD A'!M23*'CN FD C'!M24)/'CN FD alpha'!M24)</f>
        <v>-133.05745654292929</v>
      </c>
      <c r="N23">
        <f>'CN FD B'!N23-(('CN FD A'!N23*'CN FD C'!N24)/'CN FD alpha'!N24)</f>
        <v>-133.05745654292929</v>
      </c>
      <c r="O23">
        <f>'CN FD B'!O23-(('CN FD A'!O23*'CN FD C'!O24)/'CN FD alpha'!O24)</f>
        <v>-133.05745654292929</v>
      </c>
      <c r="P23">
        <f>'CN FD B'!P23-(('CN FD A'!P23*'CN FD C'!P24)/'CN FD alpha'!P24)</f>
        <v>-133.05745654292929</v>
      </c>
      <c r="Q23">
        <f>'CN FD B'!Q23-(('CN FD A'!Q23*'CN FD C'!Q24)/'CN FD alpha'!Q24)</f>
        <v>-133.05745654292929</v>
      </c>
      <c r="R23">
        <f>'CN FD B'!R23-(('CN FD A'!R23*'CN FD C'!R24)/'CN FD alpha'!R24)</f>
        <v>-133.05745654292929</v>
      </c>
      <c r="S23">
        <f>'CN FD B'!S23-(('CN FD A'!S23*'CN FD C'!S24)/'CN FD alpha'!S24)</f>
        <v>-133.05745654292929</v>
      </c>
      <c r="T23">
        <f>'CN FD B'!T23-(('CN FD A'!T23*'CN FD C'!T24)/'CN FD alpha'!T24)</f>
        <v>-133.05745654292929</v>
      </c>
      <c r="U23">
        <f>'CN FD B'!U23-(('CN FD A'!U23*'CN FD C'!U24)/'CN FD alpha'!U24)</f>
        <v>-133.05745654292929</v>
      </c>
      <c r="V23">
        <f>'CN FD B'!V23-(('CN FD A'!V23*'CN FD C'!V24)/'CN FD alpha'!V24)</f>
        <v>-133.05745654292929</v>
      </c>
      <c r="W23">
        <f>'CN FD B'!W23-(('CN FD A'!W23*'CN FD C'!W24)/'CN FD alpha'!W24)</f>
        <v>-133.05745654292929</v>
      </c>
      <c r="X23">
        <f>'CN FD B'!X23-(('CN FD A'!X23*'CN FD C'!X24)/'CN FD alpha'!X24)</f>
        <v>-133.05745654292929</v>
      </c>
      <c r="Y23">
        <f>'CN FD B'!Y23-(('CN FD A'!Y23*'CN FD C'!Y24)/'CN FD alpha'!Y24)</f>
        <v>-133.05745654292929</v>
      </c>
      <c r="Z23">
        <f>'CN FD B'!Z23-(('CN FD A'!Z23*'CN FD C'!Z24)/'CN FD alpha'!Z24)</f>
        <v>-133.05745654292929</v>
      </c>
      <c r="AA23">
        <f>'CN FD B'!AA23-(('CN FD A'!AA23*'CN FD C'!AA24)/'CN FD alpha'!AA24)</f>
        <v>-133.05745654292929</v>
      </c>
      <c r="AB23">
        <f>'CN FD B'!AB23-(('CN FD A'!AB23*'CN FD C'!AB24)/'CN FD alpha'!AB24)</f>
        <v>-133.05745654292929</v>
      </c>
      <c r="AC23">
        <f>'CN FD B'!AC23-(('CN FD A'!AC23*'CN FD C'!AC24)/'CN FD alpha'!AC24)</f>
        <v>-133.05745654292929</v>
      </c>
      <c r="AD23">
        <f>'CN FD B'!AD23-(('CN FD A'!AD23*'CN FD C'!AD24)/'CN FD alpha'!AD24)</f>
        <v>-133.05745654292929</v>
      </c>
      <c r="AE23">
        <f>'CN FD B'!AE23-(('CN FD A'!AE23*'CN FD C'!AE24)/'CN FD alpha'!AE24)</f>
        <v>-133.05745654292929</v>
      </c>
      <c r="AF23">
        <f>'CN FD B'!AF23-(('CN FD A'!AF23*'CN FD C'!AF24)/'CN FD alpha'!AF24)</f>
        <v>-133.05745654292929</v>
      </c>
      <c r="AG23">
        <f>'CN FD B'!AG23-(('CN FD A'!AG23*'CN FD C'!AG24)/'CN FD alpha'!AG24)</f>
        <v>-133.05745654292929</v>
      </c>
      <c r="AH23">
        <f>'CN FD B'!AH23-(('CN FD A'!AH23*'CN FD C'!AH24)/'CN FD alpha'!AH24)</f>
        <v>-133.05745654292929</v>
      </c>
      <c r="AI23">
        <f>'CN FD B'!AI23-(('CN FD A'!AI23*'CN FD C'!AI24)/'CN FD alpha'!AI24)</f>
        <v>-133.05745654292929</v>
      </c>
      <c r="AJ23">
        <f>'CN FD B'!AJ23-(('CN FD A'!AJ23*'CN FD C'!AJ24)/'CN FD alpha'!AJ24)</f>
        <v>-133.05745654292929</v>
      </c>
      <c r="AK23">
        <f>'CN FD B'!AK23-(('CN FD A'!AK23*'CN FD C'!AK24)/'CN FD alpha'!AK24)</f>
        <v>-133.05745654292929</v>
      </c>
      <c r="AL23">
        <f>'CN FD B'!AL23-(('CN FD A'!AL23*'CN FD C'!AL24)/'CN FD alpha'!AL24)</f>
        <v>-133.05745654292929</v>
      </c>
      <c r="AM23">
        <f>'CN FD B'!AM23-(('CN FD A'!AM23*'CN FD C'!AM24)/'CN FD alpha'!AM24)</f>
        <v>-133.05745654292929</v>
      </c>
      <c r="AN23">
        <f>'CN FD B'!AN23-(('CN FD A'!AN23*'CN FD C'!AN24)/'CN FD alpha'!AN24)</f>
        <v>-133.05745654292929</v>
      </c>
      <c r="AO23">
        <f>'CN FD B'!AO23-(('CN FD A'!AO23*'CN FD C'!AO24)/'CN FD alpha'!AO24)</f>
        <v>-133.05745654292929</v>
      </c>
      <c r="AP23">
        <f>'CN FD B'!AP23-(('CN FD A'!AP23*'CN FD C'!AP24)/'CN FD alpha'!AP24)</f>
        <v>-133.05745654292929</v>
      </c>
      <c r="AQ23">
        <f>'CN FD B'!AQ23-(('CN FD A'!AQ23*'CN FD C'!AQ24)/'CN FD alpha'!AQ24)</f>
        <v>-133.05745654292929</v>
      </c>
      <c r="AR23">
        <f>'CN FD B'!AR23-(('CN FD A'!AR23*'CN FD C'!AR24)/'CN FD alpha'!AR24)</f>
        <v>-133.05745654292929</v>
      </c>
      <c r="AS23">
        <f>'CN FD B'!AS23-(('CN FD A'!AS23*'CN FD C'!AS24)/'CN FD alpha'!AS24)</f>
        <v>-133.05745654292929</v>
      </c>
      <c r="AT23">
        <f>'CN FD B'!AT23-(('CN FD A'!AT23*'CN FD C'!AT24)/'CN FD alpha'!AT24)</f>
        <v>-133.05745654292929</v>
      </c>
      <c r="AU23">
        <f>'CN FD B'!AU23-(('CN FD A'!AU23*'CN FD C'!AU24)/'CN FD alpha'!AU24)</f>
        <v>-133.05745654292929</v>
      </c>
      <c r="AV23">
        <f>'CN FD B'!AV23-(('CN FD A'!AV23*'CN FD C'!AV24)/'CN FD alpha'!AV24)</f>
        <v>-133.05745654292929</v>
      </c>
      <c r="AW23">
        <f>'CN FD B'!AW23-(('CN FD A'!AW23*'CN FD C'!AW24)/'CN FD alpha'!AW24)</f>
        <v>-133.05745654292929</v>
      </c>
      <c r="AX23">
        <f>'CN FD B'!AX23-(('CN FD A'!AX23*'CN FD C'!AX24)/'CN FD alpha'!AX24)</f>
        <v>-133.05745654292929</v>
      </c>
      <c r="AY23">
        <f>'CN FD B'!AY23-(('CN FD A'!AY23*'CN FD C'!AY24)/'CN FD alpha'!AY24)</f>
        <v>-133.05745654292929</v>
      </c>
      <c r="AZ23">
        <f>'CN FD B'!AZ23-(('CN FD A'!AZ23*'CN FD C'!AZ24)/'CN FD alpha'!AZ24)</f>
        <v>-133.05745654292929</v>
      </c>
      <c r="BA23" s="6"/>
    </row>
    <row r="24" spans="1:53" x14ac:dyDescent="0.2">
      <c r="A24">
        <f t="shared" si="1"/>
        <v>41</v>
      </c>
      <c r="B24" s="3">
        <f t="shared" si="0"/>
        <v>82</v>
      </c>
      <c r="C24">
        <f>'CN FD B'!C24-(('CN FD A'!C24*'CN FD C'!C25)/'CN FD alpha'!C25)</f>
        <v>-131.58425382187653</v>
      </c>
      <c r="D24">
        <f>'CN FD B'!D24-(('CN FD A'!D24*'CN FD C'!D25)/'CN FD alpha'!D25)</f>
        <v>-131.58425382187653</v>
      </c>
      <c r="E24">
        <f>'CN FD B'!E24-(('CN FD A'!E24*'CN FD C'!E25)/'CN FD alpha'!E25)</f>
        <v>-131.58425382187653</v>
      </c>
      <c r="F24">
        <f>'CN FD B'!F24-(('CN FD A'!F24*'CN FD C'!F25)/'CN FD alpha'!F25)</f>
        <v>-131.58425382187653</v>
      </c>
      <c r="G24">
        <f>'CN FD B'!G24-(('CN FD A'!G24*'CN FD C'!G25)/'CN FD alpha'!G25)</f>
        <v>-131.58425382187653</v>
      </c>
      <c r="H24">
        <f>'CN FD B'!H24-(('CN FD A'!H24*'CN FD C'!H25)/'CN FD alpha'!H25)</f>
        <v>-131.58425382187653</v>
      </c>
      <c r="I24">
        <f>'CN FD B'!I24-(('CN FD A'!I24*'CN FD C'!I25)/'CN FD alpha'!I25)</f>
        <v>-131.58425382187653</v>
      </c>
      <c r="J24">
        <f>'CN FD B'!J24-(('CN FD A'!J24*'CN FD C'!J25)/'CN FD alpha'!J25)</f>
        <v>-131.58425382187653</v>
      </c>
      <c r="K24">
        <f>'CN FD B'!K24-(('CN FD A'!K24*'CN FD C'!K25)/'CN FD alpha'!K25)</f>
        <v>-131.58425382187653</v>
      </c>
      <c r="L24">
        <f>'CN FD B'!L24-(('CN FD A'!L24*'CN FD C'!L25)/'CN FD alpha'!L25)</f>
        <v>-131.58425382187653</v>
      </c>
      <c r="M24">
        <f>'CN FD B'!M24-(('CN FD A'!M24*'CN FD C'!M25)/'CN FD alpha'!M25)</f>
        <v>-131.58425382187653</v>
      </c>
      <c r="N24">
        <f>'CN FD B'!N24-(('CN FD A'!N24*'CN FD C'!N25)/'CN FD alpha'!N25)</f>
        <v>-131.58425382187653</v>
      </c>
      <c r="O24">
        <f>'CN FD B'!O24-(('CN FD A'!O24*'CN FD C'!O25)/'CN FD alpha'!O25)</f>
        <v>-131.58425382187653</v>
      </c>
      <c r="P24">
        <f>'CN FD B'!P24-(('CN FD A'!P24*'CN FD C'!P25)/'CN FD alpha'!P25)</f>
        <v>-131.58425382187653</v>
      </c>
      <c r="Q24">
        <f>'CN FD B'!Q24-(('CN FD A'!Q24*'CN FD C'!Q25)/'CN FD alpha'!Q25)</f>
        <v>-131.58425382187653</v>
      </c>
      <c r="R24">
        <f>'CN FD B'!R24-(('CN FD A'!R24*'CN FD C'!R25)/'CN FD alpha'!R25)</f>
        <v>-131.58425382187653</v>
      </c>
      <c r="S24">
        <f>'CN FD B'!S24-(('CN FD A'!S24*'CN FD C'!S25)/'CN FD alpha'!S25)</f>
        <v>-131.58425382187653</v>
      </c>
      <c r="T24">
        <f>'CN FD B'!T24-(('CN FD A'!T24*'CN FD C'!T25)/'CN FD alpha'!T25)</f>
        <v>-131.58425382187653</v>
      </c>
      <c r="U24">
        <f>'CN FD B'!U24-(('CN FD A'!U24*'CN FD C'!U25)/'CN FD alpha'!U25)</f>
        <v>-131.58425382187653</v>
      </c>
      <c r="V24">
        <f>'CN FD B'!V24-(('CN FD A'!V24*'CN FD C'!V25)/'CN FD alpha'!V25)</f>
        <v>-131.58425382187653</v>
      </c>
      <c r="W24">
        <f>'CN FD B'!W24-(('CN FD A'!W24*'CN FD C'!W25)/'CN FD alpha'!W25)</f>
        <v>-131.58425382187653</v>
      </c>
      <c r="X24">
        <f>'CN FD B'!X24-(('CN FD A'!X24*'CN FD C'!X25)/'CN FD alpha'!X25)</f>
        <v>-131.58425382187653</v>
      </c>
      <c r="Y24">
        <f>'CN FD B'!Y24-(('CN FD A'!Y24*'CN FD C'!Y25)/'CN FD alpha'!Y25)</f>
        <v>-131.58425382187653</v>
      </c>
      <c r="Z24">
        <f>'CN FD B'!Z24-(('CN FD A'!Z24*'CN FD C'!Z25)/'CN FD alpha'!Z25)</f>
        <v>-131.58425382187653</v>
      </c>
      <c r="AA24">
        <f>'CN FD B'!AA24-(('CN FD A'!AA24*'CN FD C'!AA25)/'CN FD alpha'!AA25)</f>
        <v>-131.58425382187653</v>
      </c>
      <c r="AB24">
        <f>'CN FD B'!AB24-(('CN FD A'!AB24*'CN FD C'!AB25)/'CN FD alpha'!AB25)</f>
        <v>-131.58425382187653</v>
      </c>
      <c r="AC24">
        <f>'CN FD B'!AC24-(('CN FD A'!AC24*'CN FD C'!AC25)/'CN FD alpha'!AC25)</f>
        <v>-131.58425382187653</v>
      </c>
      <c r="AD24">
        <f>'CN FD B'!AD24-(('CN FD A'!AD24*'CN FD C'!AD25)/'CN FD alpha'!AD25)</f>
        <v>-131.58425382187653</v>
      </c>
      <c r="AE24">
        <f>'CN FD B'!AE24-(('CN FD A'!AE24*'CN FD C'!AE25)/'CN FD alpha'!AE25)</f>
        <v>-131.58425382187653</v>
      </c>
      <c r="AF24">
        <f>'CN FD B'!AF24-(('CN FD A'!AF24*'CN FD C'!AF25)/'CN FD alpha'!AF25)</f>
        <v>-131.58425382187653</v>
      </c>
      <c r="AG24">
        <f>'CN FD B'!AG24-(('CN FD A'!AG24*'CN FD C'!AG25)/'CN FD alpha'!AG25)</f>
        <v>-131.58425382187653</v>
      </c>
      <c r="AH24">
        <f>'CN FD B'!AH24-(('CN FD A'!AH24*'CN FD C'!AH25)/'CN FD alpha'!AH25)</f>
        <v>-131.58425382187653</v>
      </c>
      <c r="AI24">
        <f>'CN FD B'!AI24-(('CN FD A'!AI24*'CN FD C'!AI25)/'CN FD alpha'!AI25)</f>
        <v>-131.58425382187653</v>
      </c>
      <c r="AJ24">
        <f>'CN FD B'!AJ24-(('CN FD A'!AJ24*'CN FD C'!AJ25)/'CN FD alpha'!AJ25)</f>
        <v>-131.58425382187653</v>
      </c>
      <c r="AK24">
        <f>'CN FD B'!AK24-(('CN FD A'!AK24*'CN FD C'!AK25)/'CN FD alpha'!AK25)</f>
        <v>-131.58425382187653</v>
      </c>
      <c r="AL24">
        <f>'CN FD B'!AL24-(('CN FD A'!AL24*'CN FD C'!AL25)/'CN FD alpha'!AL25)</f>
        <v>-131.58425382187653</v>
      </c>
      <c r="AM24">
        <f>'CN FD B'!AM24-(('CN FD A'!AM24*'CN FD C'!AM25)/'CN FD alpha'!AM25)</f>
        <v>-131.58425382187653</v>
      </c>
      <c r="AN24">
        <f>'CN FD B'!AN24-(('CN FD A'!AN24*'CN FD C'!AN25)/'CN FD alpha'!AN25)</f>
        <v>-131.58425382187653</v>
      </c>
      <c r="AO24">
        <f>'CN FD B'!AO24-(('CN FD A'!AO24*'CN FD C'!AO25)/'CN FD alpha'!AO25)</f>
        <v>-131.58425382187653</v>
      </c>
      <c r="AP24">
        <f>'CN FD B'!AP24-(('CN FD A'!AP24*'CN FD C'!AP25)/'CN FD alpha'!AP25)</f>
        <v>-131.58425382187653</v>
      </c>
      <c r="AQ24">
        <f>'CN FD B'!AQ24-(('CN FD A'!AQ24*'CN FD C'!AQ25)/'CN FD alpha'!AQ25)</f>
        <v>-131.58425382187653</v>
      </c>
      <c r="AR24">
        <f>'CN FD B'!AR24-(('CN FD A'!AR24*'CN FD C'!AR25)/'CN FD alpha'!AR25)</f>
        <v>-131.58425382187653</v>
      </c>
      <c r="AS24">
        <f>'CN FD B'!AS24-(('CN FD A'!AS24*'CN FD C'!AS25)/'CN FD alpha'!AS25)</f>
        <v>-131.58425382187653</v>
      </c>
      <c r="AT24">
        <f>'CN FD B'!AT24-(('CN FD A'!AT24*'CN FD C'!AT25)/'CN FD alpha'!AT25)</f>
        <v>-131.58425382187653</v>
      </c>
      <c r="AU24">
        <f>'CN FD B'!AU24-(('CN FD A'!AU24*'CN FD C'!AU25)/'CN FD alpha'!AU25)</f>
        <v>-131.58425382187653</v>
      </c>
      <c r="AV24">
        <f>'CN FD B'!AV24-(('CN FD A'!AV24*'CN FD C'!AV25)/'CN FD alpha'!AV25)</f>
        <v>-131.58425382187653</v>
      </c>
      <c r="AW24">
        <f>'CN FD B'!AW24-(('CN FD A'!AW24*'CN FD C'!AW25)/'CN FD alpha'!AW25)</f>
        <v>-131.58425382187653</v>
      </c>
      <c r="AX24">
        <f>'CN FD B'!AX24-(('CN FD A'!AX24*'CN FD C'!AX25)/'CN FD alpha'!AX25)</f>
        <v>-131.58425382187653</v>
      </c>
      <c r="AY24">
        <f>'CN FD B'!AY24-(('CN FD A'!AY24*'CN FD C'!AY25)/'CN FD alpha'!AY25)</f>
        <v>-131.58425382187653</v>
      </c>
      <c r="AZ24">
        <f>'CN FD B'!AZ24-(('CN FD A'!AZ24*'CN FD C'!AZ25)/'CN FD alpha'!AZ25)</f>
        <v>-131.58425382187653</v>
      </c>
      <c r="BA24" s="6"/>
    </row>
    <row r="25" spans="1:53" x14ac:dyDescent="0.2">
      <c r="A25">
        <f t="shared" si="1"/>
        <v>40</v>
      </c>
      <c r="B25" s="3">
        <f t="shared" si="0"/>
        <v>80</v>
      </c>
      <c r="C25">
        <f>'CN FD B'!C25-(('CN FD A'!C25*'CN FD C'!C26)/'CN FD alpha'!C26)</f>
        <v>-130.1403835800453</v>
      </c>
      <c r="D25">
        <f>'CN FD B'!D25-(('CN FD A'!D25*'CN FD C'!D26)/'CN FD alpha'!D26)</f>
        <v>-130.1403835800453</v>
      </c>
      <c r="E25">
        <f>'CN FD B'!E25-(('CN FD A'!E25*'CN FD C'!E26)/'CN FD alpha'!E26)</f>
        <v>-130.1403835800453</v>
      </c>
      <c r="F25">
        <f>'CN FD B'!F25-(('CN FD A'!F25*'CN FD C'!F26)/'CN FD alpha'!F26)</f>
        <v>-130.1403835800453</v>
      </c>
      <c r="G25">
        <f>'CN FD B'!G25-(('CN FD A'!G25*'CN FD C'!G26)/'CN FD alpha'!G26)</f>
        <v>-130.1403835800453</v>
      </c>
      <c r="H25">
        <f>'CN FD B'!H25-(('CN FD A'!H25*'CN FD C'!H26)/'CN FD alpha'!H26)</f>
        <v>-130.1403835800453</v>
      </c>
      <c r="I25">
        <f>'CN FD B'!I25-(('CN FD A'!I25*'CN FD C'!I26)/'CN FD alpha'!I26)</f>
        <v>-130.1403835800453</v>
      </c>
      <c r="J25">
        <f>'CN FD B'!J25-(('CN FD A'!J25*'CN FD C'!J26)/'CN FD alpha'!J26)</f>
        <v>-130.1403835800453</v>
      </c>
      <c r="K25">
        <f>'CN FD B'!K25-(('CN FD A'!K25*'CN FD C'!K26)/'CN FD alpha'!K26)</f>
        <v>-130.1403835800453</v>
      </c>
      <c r="L25">
        <f>'CN FD B'!L25-(('CN FD A'!L25*'CN FD C'!L26)/'CN FD alpha'!L26)</f>
        <v>-130.1403835800453</v>
      </c>
      <c r="M25">
        <f>'CN FD B'!M25-(('CN FD A'!M25*'CN FD C'!M26)/'CN FD alpha'!M26)</f>
        <v>-130.1403835800453</v>
      </c>
      <c r="N25">
        <f>'CN FD B'!N25-(('CN FD A'!N25*'CN FD C'!N26)/'CN FD alpha'!N26)</f>
        <v>-130.1403835800453</v>
      </c>
      <c r="O25">
        <f>'CN FD B'!O25-(('CN FD A'!O25*'CN FD C'!O26)/'CN FD alpha'!O26)</f>
        <v>-130.1403835800453</v>
      </c>
      <c r="P25">
        <f>'CN FD B'!P25-(('CN FD A'!P25*'CN FD C'!P26)/'CN FD alpha'!P26)</f>
        <v>-130.1403835800453</v>
      </c>
      <c r="Q25">
        <f>'CN FD B'!Q25-(('CN FD A'!Q25*'CN FD C'!Q26)/'CN FD alpha'!Q26)</f>
        <v>-130.1403835800453</v>
      </c>
      <c r="R25">
        <f>'CN FD B'!R25-(('CN FD A'!R25*'CN FD C'!R26)/'CN FD alpha'!R26)</f>
        <v>-130.1403835800453</v>
      </c>
      <c r="S25">
        <f>'CN FD B'!S25-(('CN FD A'!S25*'CN FD C'!S26)/'CN FD alpha'!S26)</f>
        <v>-130.1403835800453</v>
      </c>
      <c r="T25">
        <f>'CN FD B'!T25-(('CN FD A'!T25*'CN FD C'!T26)/'CN FD alpha'!T26)</f>
        <v>-130.1403835800453</v>
      </c>
      <c r="U25">
        <f>'CN FD B'!U25-(('CN FD A'!U25*'CN FD C'!U26)/'CN FD alpha'!U26)</f>
        <v>-130.1403835800453</v>
      </c>
      <c r="V25">
        <f>'CN FD B'!V25-(('CN FD A'!V25*'CN FD C'!V26)/'CN FD alpha'!V26)</f>
        <v>-130.1403835800453</v>
      </c>
      <c r="W25">
        <f>'CN FD B'!W25-(('CN FD A'!W25*'CN FD C'!W26)/'CN FD alpha'!W26)</f>
        <v>-130.1403835800453</v>
      </c>
      <c r="X25">
        <f>'CN FD B'!X25-(('CN FD A'!X25*'CN FD C'!X26)/'CN FD alpha'!X26)</f>
        <v>-130.1403835800453</v>
      </c>
      <c r="Y25">
        <f>'CN FD B'!Y25-(('CN FD A'!Y25*'CN FD C'!Y26)/'CN FD alpha'!Y26)</f>
        <v>-130.1403835800453</v>
      </c>
      <c r="Z25">
        <f>'CN FD B'!Z25-(('CN FD A'!Z25*'CN FD C'!Z26)/'CN FD alpha'!Z26)</f>
        <v>-130.1403835800453</v>
      </c>
      <c r="AA25">
        <f>'CN FD B'!AA25-(('CN FD A'!AA25*'CN FD C'!AA26)/'CN FD alpha'!AA26)</f>
        <v>-130.1403835800453</v>
      </c>
      <c r="AB25">
        <f>'CN FD B'!AB25-(('CN FD A'!AB25*'CN FD C'!AB26)/'CN FD alpha'!AB26)</f>
        <v>-130.1403835800453</v>
      </c>
      <c r="AC25">
        <f>'CN FD B'!AC25-(('CN FD A'!AC25*'CN FD C'!AC26)/'CN FD alpha'!AC26)</f>
        <v>-130.1403835800453</v>
      </c>
      <c r="AD25">
        <f>'CN FD B'!AD25-(('CN FD A'!AD25*'CN FD C'!AD26)/'CN FD alpha'!AD26)</f>
        <v>-130.1403835800453</v>
      </c>
      <c r="AE25">
        <f>'CN FD B'!AE25-(('CN FD A'!AE25*'CN FD C'!AE26)/'CN FD alpha'!AE26)</f>
        <v>-130.1403835800453</v>
      </c>
      <c r="AF25">
        <f>'CN FD B'!AF25-(('CN FD A'!AF25*'CN FD C'!AF26)/'CN FD alpha'!AF26)</f>
        <v>-130.1403835800453</v>
      </c>
      <c r="AG25">
        <f>'CN FD B'!AG25-(('CN FD A'!AG25*'CN FD C'!AG26)/'CN FD alpha'!AG26)</f>
        <v>-130.1403835800453</v>
      </c>
      <c r="AH25">
        <f>'CN FD B'!AH25-(('CN FD A'!AH25*'CN FD C'!AH26)/'CN FD alpha'!AH26)</f>
        <v>-130.1403835800453</v>
      </c>
      <c r="AI25">
        <f>'CN FD B'!AI25-(('CN FD A'!AI25*'CN FD C'!AI26)/'CN FD alpha'!AI26)</f>
        <v>-130.1403835800453</v>
      </c>
      <c r="AJ25">
        <f>'CN FD B'!AJ25-(('CN FD A'!AJ25*'CN FD C'!AJ26)/'CN FD alpha'!AJ26)</f>
        <v>-130.1403835800453</v>
      </c>
      <c r="AK25">
        <f>'CN FD B'!AK25-(('CN FD A'!AK25*'CN FD C'!AK26)/'CN FD alpha'!AK26)</f>
        <v>-130.1403835800453</v>
      </c>
      <c r="AL25">
        <f>'CN FD B'!AL25-(('CN FD A'!AL25*'CN FD C'!AL26)/'CN FD alpha'!AL26)</f>
        <v>-130.1403835800453</v>
      </c>
      <c r="AM25">
        <f>'CN FD B'!AM25-(('CN FD A'!AM25*'CN FD C'!AM26)/'CN FD alpha'!AM26)</f>
        <v>-130.1403835800453</v>
      </c>
      <c r="AN25">
        <f>'CN FD B'!AN25-(('CN FD A'!AN25*'CN FD C'!AN26)/'CN FD alpha'!AN26)</f>
        <v>-130.1403835800453</v>
      </c>
      <c r="AO25">
        <f>'CN FD B'!AO25-(('CN FD A'!AO25*'CN FD C'!AO26)/'CN FD alpha'!AO26)</f>
        <v>-130.1403835800453</v>
      </c>
      <c r="AP25">
        <f>'CN FD B'!AP25-(('CN FD A'!AP25*'CN FD C'!AP26)/'CN FD alpha'!AP26)</f>
        <v>-130.1403835800453</v>
      </c>
      <c r="AQ25">
        <f>'CN FD B'!AQ25-(('CN FD A'!AQ25*'CN FD C'!AQ26)/'CN FD alpha'!AQ26)</f>
        <v>-130.1403835800453</v>
      </c>
      <c r="AR25">
        <f>'CN FD B'!AR25-(('CN FD A'!AR25*'CN FD C'!AR26)/'CN FD alpha'!AR26)</f>
        <v>-130.1403835800453</v>
      </c>
      <c r="AS25">
        <f>'CN FD B'!AS25-(('CN FD A'!AS25*'CN FD C'!AS26)/'CN FD alpha'!AS26)</f>
        <v>-130.1403835800453</v>
      </c>
      <c r="AT25">
        <f>'CN FD B'!AT25-(('CN FD A'!AT25*'CN FD C'!AT26)/'CN FD alpha'!AT26)</f>
        <v>-130.1403835800453</v>
      </c>
      <c r="AU25">
        <f>'CN FD B'!AU25-(('CN FD A'!AU25*'CN FD C'!AU26)/'CN FD alpha'!AU26)</f>
        <v>-130.1403835800453</v>
      </c>
      <c r="AV25">
        <f>'CN FD B'!AV25-(('CN FD A'!AV25*'CN FD C'!AV26)/'CN FD alpha'!AV26)</f>
        <v>-130.1403835800453</v>
      </c>
      <c r="AW25">
        <f>'CN FD B'!AW25-(('CN FD A'!AW25*'CN FD C'!AW26)/'CN FD alpha'!AW26)</f>
        <v>-130.1403835800453</v>
      </c>
      <c r="AX25">
        <f>'CN FD B'!AX25-(('CN FD A'!AX25*'CN FD C'!AX26)/'CN FD alpha'!AX26)</f>
        <v>-130.1403835800453</v>
      </c>
      <c r="AY25">
        <f>'CN FD B'!AY25-(('CN FD A'!AY25*'CN FD C'!AY26)/'CN FD alpha'!AY26)</f>
        <v>-130.1403835800453</v>
      </c>
      <c r="AZ25">
        <f>'CN FD B'!AZ25-(('CN FD A'!AZ25*'CN FD C'!AZ26)/'CN FD alpha'!AZ26)</f>
        <v>-130.1403835800453</v>
      </c>
      <c r="BA25" s="6"/>
    </row>
    <row r="26" spans="1:53" x14ac:dyDescent="0.2">
      <c r="A26">
        <f t="shared" si="1"/>
        <v>39</v>
      </c>
      <c r="B26" s="3">
        <f t="shared" si="0"/>
        <v>78</v>
      </c>
      <c r="C26">
        <f>'CN FD B'!C26-(('CN FD A'!C26*'CN FD C'!C27)/'CN FD alpha'!C27)</f>
        <v>-128.72612527669978</v>
      </c>
      <c r="D26">
        <f>'CN FD B'!D26-(('CN FD A'!D26*'CN FD C'!D27)/'CN FD alpha'!D27)</f>
        <v>-128.72612527669978</v>
      </c>
      <c r="E26">
        <f>'CN FD B'!E26-(('CN FD A'!E26*'CN FD C'!E27)/'CN FD alpha'!E27)</f>
        <v>-128.72612527669978</v>
      </c>
      <c r="F26">
        <f>'CN FD B'!F26-(('CN FD A'!F26*'CN FD C'!F27)/'CN FD alpha'!F27)</f>
        <v>-128.72612527669978</v>
      </c>
      <c r="G26">
        <f>'CN FD B'!G26-(('CN FD A'!G26*'CN FD C'!G27)/'CN FD alpha'!G27)</f>
        <v>-128.72612527669978</v>
      </c>
      <c r="H26">
        <f>'CN FD B'!H26-(('CN FD A'!H26*'CN FD C'!H27)/'CN FD alpha'!H27)</f>
        <v>-128.72612527669978</v>
      </c>
      <c r="I26">
        <f>'CN FD B'!I26-(('CN FD A'!I26*'CN FD C'!I27)/'CN FD alpha'!I27)</f>
        <v>-128.72612527669978</v>
      </c>
      <c r="J26">
        <f>'CN FD B'!J26-(('CN FD A'!J26*'CN FD C'!J27)/'CN FD alpha'!J27)</f>
        <v>-128.72612527669978</v>
      </c>
      <c r="K26">
        <f>'CN FD B'!K26-(('CN FD A'!K26*'CN FD C'!K27)/'CN FD alpha'!K27)</f>
        <v>-128.72612527669978</v>
      </c>
      <c r="L26">
        <f>'CN FD B'!L26-(('CN FD A'!L26*'CN FD C'!L27)/'CN FD alpha'!L27)</f>
        <v>-128.72612527669978</v>
      </c>
      <c r="M26">
        <f>'CN FD B'!M26-(('CN FD A'!M26*'CN FD C'!M27)/'CN FD alpha'!M27)</f>
        <v>-128.72612527669978</v>
      </c>
      <c r="N26">
        <f>'CN FD B'!N26-(('CN FD A'!N26*'CN FD C'!N27)/'CN FD alpha'!N27)</f>
        <v>-128.72612527669978</v>
      </c>
      <c r="O26">
        <f>'CN FD B'!O26-(('CN FD A'!O26*'CN FD C'!O27)/'CN FD alpha'!O27)</f>
        <v>-128.72612527669978</v>
      </c>
      <c r="P26">
        <f>'CN FD B'!P26-(('CN FD A'!P26*'CN FD C'!P27)/'CN FD alpha'!P27)</f>
        <v>-128.72612527669978</v>
      </c>
      <c r="Q26">
        <f>'CN FD B'!Q26-(('CN FD A'!Q26*'CN FD C'!Q27)/'CN FD alpha'!Q27)</f>
        <v>-128.72612527669978</v>
      </c>
      <c r="R26">
        <f>'CN FD B'!R26-(('CN FD A'!R26*'CN FD C'!R27)/'CN FD alpha'!R27)</f>
        <v>-128.72612527669978</v>
      </c>
      <c r="S26">
        <f>'CN FD B'!S26-(('CN FD A'!S26*'CN FD C'!S27)/'CN FD alpha'!S27)</f>
        <v>-128.72612527669978</v>
      </c>
      <c r="T26">
        <f>'CN FD B'!T26-(('CN FD A'!T26*'CN FD C'!T27)/'CN FD alpha'!T27)</f>
        <v>-128.72612527669978</v>
      </c>
      <c r="U26">
        <f>'CN FD B'!U26-(('CN FD A'!U26*'CN FD C'!U27)/'CN FD alpha'!U27)</f>
        <v>-128.72612527669978</v>
      </c>
      <c r="V26">
        <f>'CN FD B'!V26-(('CN FD A'!V26*'CN FD C'!V27)/'CN FD alpha'!V27)</f>
        <v>-128.72612527669978</v>
      </c>
      <c r="W26">
        <f>'CN FD B'!W26-(('CN FD A'!W26*'CN FD C'!W27)/'CN FD alpha'!W27)</f>
        <v>-128.72612527669978</v>
      </c>
      <c r="X26">
        <f>'CN FD B'!X26-(('CN FD A'!X26*'CN FD C'!X27)/'CN FD alpha'!X27)</f>
        <v>-128.72612527669978</v>
      </c>
      <c r="Y26">
        <f>'CN FD B'!Y26-(('CN FD A'!Y26*'CN FD C'!Y27)/'CN FD alpha'!Y27)</f>
        <v>-128.72612527669978</v>
      </c>
      <c r="Z26">
        <f>'CN FD B'!Z26-(('CN FD A'!Z26*'CN FD C'!Z27)/'CN FD alpha'!Z27)</f>
        <v>-128.72612527669978</v>
      </c>
      <c r="AA26">
        <f>'CN FD B'!AA26-(('CN FD A'!AA26*'CN FD C'!AA27)/'CN FD alpha'!AA27)</f>
        <v>-128.72612527669978</v>
      </c>
      <c r="AB26">
        <f>'CN FD B'!AB26-(('CN FD A'!AB26*'CN FD C'!AB27)/'CN FD alpha'!AB27)</f>
        <v>-128.72612527669978</v>
      </c>
      <c r="AC26">
        <f>'CN FD B'!AC26-(('CN FD A'!AC26*'CN FD C'!AC27)/'CN FD alpha'!AC27)</f>
        <v>-128.72612527669978</v>
      </c>
      <c r="AD26">
        <f>'CN FD B'!AD26-(('CN FD A'!AD26*'CN FD C'!AD27)/'CN FD alpha'!AD27)</f>
        <v>-128.72612527669978</v>
      </c>
      <c r="AE26">
        <f>'CN FD B'!AE26-(('CN FD A'!AE26*'CN FD C'!AE27)/'CN FD alpha'!AE27)</f>
        <v>-128.72612527669978</v>
      </c>
      <c r="AF26">
        <f>'CN FD B'!AF26-(('CN FD A'!AF26*'CN FD C'!AF27)/'CN FD alpha'!AF27)</f>
        <v>-128.72612527669978</v>
      </c>
      <c r="AG26">
        <f>'CN FD B'!AG26-(('CN FD A'!AG26*'CN FD C'!AG27)/'CN FD alpha'!AG27)</f>
        <v>-128.72612527669978</v>
      </c>
      <c r="AH26">
        <f>'CN FD B'!AH26-(('CN FD A'!AH26*'CN FD C'!AH27)/'CN FD alpha'!AH27)</f>
        <v>-128.72612527669978</v>
      </c>
      <c r="AI26">
        <f>'CN FD B'!AI26-(('CN FD A'!AI26*'CN FD C'!AI27)/'CN FD alpha'!AI27)</f>
        <v>-128.72612527669978</v>
      </c>
      <c r="AJ26">
        <f>'CN FD B'!AJ26-(('CN FD A'!AJ26*'CN FD C'!AJ27)/'CN FD alpha'!AJ27)</f>
        <v>-128.72612527669978</v>
      </c>
      <c r="AK26">
        <f>'CN FD B'!AK26-(('CN FD A'!AK26*'CN FD C'!AK27)/'CN FD alpha'!AK27)</f>
        <v>-128.72612527669978</v>
      </c>
      <c r="AL26">
        <f>'CN FD B'!AL26-(('CN FD A'!AL26*'CN FD C'!AL27)/'CN FD alpha'!AL27)</f>
        <v>-128.72612527669978</v>
      </c>
      <c r="AM26">
        <f>'CN FD B'!AM26-(('CN FD A'!AM26*'CN FD C'!AM27)/'CN FD alpha'!AM27)</f>
        <v>-128.72612527669978</v>
      </c>
      <c r="AN26">
        <f>'CN FD B'!AN26-(('CN FD A'!AN26*'CN FD C'!AN27)/'CN FD alpha'!AN27)</f>
        <v>-128.72612527669978</v>
      </c>
      <c r="AO26">
        <f>'CN FD B'!AO26-(('CN FD A'!AO26*'CN FD C'!AO27)/'CN FD alpha'!AO27)</f>
        <v>-128.72612527669978</v>
      </c>
      <c r="AP26">
        <f>'CN FD B'!AP26-(('CN FD A'!AP26*'CN FD C'!AP27)/'CN FD alpha'!AP27)</f>
        <v>-128.72612527669978</v>
      </c>
      <c r="AQ26">
        <f>'CN FD B'!AQ26-(('CN FD A'!AQ26*'CN FD C'!AQ27)/'CN FD alpha'!AQ27)</f>
        <v>-128.72612527669978</v>
      </c>
      <c r="AR26">
        <f>'CN FD B'!AR26-(('CN FD A'!AR26*'CN FD C'!AR27)/'CN FD alpha'!AR27)</f>
        <v>-128.72612527669978</v>
      </c>
      <c r="AS26">
        <f>'CN FD B'!AS26-(('CN FD A'!AS26*'CN FD C'!AS27)/'CN FD alpha'!AS27)</f>
        <v>-128.72612527669978</v>
      </c>
      <c r="AT26">
        <f>'CN FD B'!AT26-(('CN FD A'!AT26*'CN FD C'!AT27)/'CN FD alpha'!AT27)</f>
        <v>-128.72612527669978</v>
      </c>
      <c r="AU26">
        <f>'CN FD B'!AU26-(('CN FD A'!AU26*'CN FD C'!AU27)/'CN FD alpha'!AU27)</f>
        <v>-128.72612527669978</v>
      </c>
      <c r="AV26">
        <f>'CN FD B'!AV26-(('CN FD A'!AV26*'CN FD C'!AV27)/'CN FD alpha'!AV27)</f>
        <v>-128.72612527669978</v>
      </c>
      <c r="AW26">
        <f>'CN FD B'!AW26-(('CN FD A'!AW26*'CN FD C'!AW27)/'CN FD alpha'!AW27)</f>
        <v>-128.72612527669978</v>
      </c>
      <c r="AX26">
        <f>'CN FD B'!AX26-(('CN FD A'!AX26*'CN FD C'!AX27)/'CN FD alpha'!AX27)</f>
        <v>-128.72612527669978</v>
      </c>
      <c r="AY26">
        <f>'CN FD B'!AY26-(('CN FD A'!AY26*'CN FD C'!AY27)/'CN FD alpha'!AY27)</f>
        <v>-128.72612527669978</v>
      </c>
      <c r="AZ26">
        <f>'CN FD B'!AZ26-(('CN FD A'!AZ26*'CN FD C'!AZ27)/'CN FD alpha'!AZ27)</f>
        <v>-128.72612527669978</v>
      </c>
      <c r="BA26" s="6"/>
    </row>
    <row r="27" spans="1:53" x14ac:dyDescent="0.2">
      <c r="A27">
        <f t="shared" si="1"/>
        <v>38</v>
      </c>
      <c r="B27" s="3">
        <f t="shared" si="0"/>
        <v>76</v>
      </c>
      <c r="C27">
        <f>'CN FD B'!C27-(('CN FD A'!C27*'CN FD C'!C28)/'CN FD alpha'!C28)</f>
        <v>-127.34176505572309</v>
      </c>
      <c r="D27">
        <f>'CN FD B'!D27-(('CN FD A'!D27*'CN FD C'!D28)/'CN FD alpha'!D28)</f>
        <v>-127.34176505572309</v>
      </c>
      <c r="E27">
        <f>'CN FD B'!E27-(('CN FD A'!E27*'CN FD C'!E28)/'CN FD alpha'!E28)</f>
        <v>-127.34176505572309</v>
      </c>
      <c r="F27">
        <f>'CN FD B'!F27-(('CN FD A'!F27*'CN FD C'!F28)/'CN FD alpha'!F28)</f>
        <v>-127.34176505572309</v>
      </c>
      <c r="G27">
        <f>'CN FD B'!G27-(('CN FD A'!G27*'CN FD C'!G28)/'CN FD alpha'!G28)</f>
        <v>-127.34176505572309</v>
      </c>
      <c r="H27">
        <f>'CN FD B'!H27-(('CN FD A'!H27*'CN FD C'!H28)/'CN FD alpha'!H28)</f>
        <v>-127.34176505572309</v>
      </c>
      <c r="I27">
        <f>'CN FD B'!I27-(('CN FD A'!I27*'CN FD C'!I28)/'CN FD alpha'!I28)</f>
        <v>-127.34176505572309</v>
      </c>
      <c r="J27">
        <f>'CN FD B'!J27-(('CN FD A'!J27*'CN FD C'!J28)/'CN FD alpha'!J28)</f>
        <v>-127.34176505572309</v>
      </c>
      <c r="K27">
        <f>'CN FD B'!K27-(('CN FD A'!K27*'CN FD C'!K28)/'CN FD alpha'!K28)</f>
        <v>-127.34176505572309</v>
      </c>
      <c r="L27">
        <f>'CN FD B'!L27-(('CN FD A'!L27*'CN FD C'!L28)/'CN FD alpha'!L28)</f>
        <v>-127.34176505572309</v>
      </c>
      <c r="M27">
        <f>'CN FD B'!M27-(('CN FD A'!M27*'CN FD C'!M28)/'CN FD alpha'!M28)</f>
        <v>-127.34176505572309</v>
      </c>
      <c r="N27">
        <f>'CN FD B'!N27-(('CN FD A'!N27*'CN FD C'!N28)/'CN FD alpha'!N28)</f>
        <v>-127.34176505572309</v>
      </c>
      <c r="O27">
        <f>'CN FD B'!O27-(('CN FD A'!O27*'CN FD C'!O28)/'CN FD alpha'!O28)</f>
        <v>-127.34176505572309</v>
      </c>
      <c r="P27">
        <f>'CN FD B'!P27-(('CN FD A'!P27*'CN FD C'!P28)/'CN FD alpha'!P28)</f>
        <v>-127.34176505572309</v>
      </c>
      <c r="Q27">
        <f>'CN FD B'!Q27-(('CN FD A'!Q27*'CN FD C'!Q28)/'CN FD alpha'!Q28)</f>
        <v>-127.34176505572309</v>
      </c>
      <c r="R27">
        <f>'CN FD B'!R27-(('CN FD A'!R27*'CN FD C'!R28)/'CN FD alpha'!R28)</f>
        <v>-127.34176505572309</v>
      </c>
      <c r="S27">
        <f>'CN FD B'!S27-(('CN FD A'!S27*'CN FD C'!S28)/'CN FD alpha'!S28)</f>
        <v>-127.34176505572309</v>
      </c>
      <c r="T27">
        <f>'CN FD B'!T27-(('CN FD A'!T27*'CN FD C'!T28)/'CN FD alpha'!T28)</f>
        <v>-127.34176505572309</v>
      </c>
      <c r="U27">
        <f>'CN FD B'!U27-(('CN FD A'!U27*'CN FD C'!U28)/'CN FD alpha'!U28)</f>
        <v>-127.34176505572309</v>
      </c>
      <c r="V27">
        <f>'CN FD B'!V27-(('CN FD A'!V27*'CN FD C'!V28)/'CN FD alpha'!V28)</f>
        <v>-127.34176505572309</v>
      </c>
      <c r="W27">
        <f>'CN FD B'!W27-(('CN FD A'!W27*'CN FD C'!W28)/'CN FD alpha'!W28)</f>
        <v>-127.34176505572309</v>
      </c>
      <c r="X27">
        <f>'CN FD B'!X27-(('CN FD A'!X27*'CN FD C'!X28)/'CN FD alpha'!X28)</f>
        <v>-127.34176505572309</v>
      </c>
      <c r="Y27">
        <f>'CN FD B'!Y27-(('CN FD A'!Y27*'CN FD C'!Y28)/'CN FD alpha'!Y28)</f>
        <v>-127.34176505572309</v>
      </c>
      <c r="Z27">
        <f>'CN FD B'!Z27-(('CN FD A'!Z27*'CN FD C'!Z28)/'CN FD alpha'!Z28)</f>
        <v>-127.34176505572309</v>
      </c>
      <c r="AA27">
        <f>'CN FD B'!AA27-(('CN FD A'!AA27*'CN FD C'!AA28)/'CN FD alpha'!AA28)</f>
        <v>-127.34176505572309</v>
      </c>
      <c r="AB27">
        <f>'CN FD B'!AB27-(('CN FD A'!AB27*'CN FD C'!AB28)/'CN FD alpha'!AB28)</f>
        <v>-127.34176505572309</v>
      </c>
      <c r="AC27">
        <f>'CN FD B'!AC27-(('CN FD A'!AC27*'CN FD C'!AC28)/'CN FD alpha'!AC28)</f>
        <v>-127.34176505572309</v>
      </c>
      <c r="AD27">
        <f>'CN FD B'!AD27-(('CN FD A'!AD27*'CN FD C'!AD28)/'CN FD alpha'!AD28)</f>
        <v>-127.34176505572309</v>
      </c>
      <c r="AE27">
        <f>'CN FD B'!AE27-(('CN FD A'!AE27*'CN FD C'!AE28)/'CN FD alpha'!AE28)</f>
        <v>-127.34176505572309</v>
      </c>
      <c r="AF27">
        <f>'CN FD B'!AF27-(('CN FD A'!AF27*'CN FD C'!AF28)/'CN FD alpha'!AF28)</f>
        <v>-127.34176505572309</v>
      </c>
      <c r="AG27">
        <f>'CN FD B'!AG27-(('CN FD A'!AG27*'CN FD C'!AG28)/'CN FD alpha'!AG28)</f>
        <v>-127.34176505572309</v>
      </c>
      <c r="AH27">
        <f>'CN FD B'!AH27-(('CN FD A'!AH27*'CN FD C'!AH28)/'CN FD alpha'!AH28)</f>
        <v>-127.34176505572309</v>
      </c>
      <c r="AI27">
        <f>'CN FD B'!AI27-(('CN FD A'!AI27*'CN FD C'!AI28)/'CN FD alpha'!AI28)</f>
        <v>-127.34176505572309</v>
      </c>
      <c r="AJ27">
        <f>'CN FD B'!AJ27-(('CN FD A'!AJ27*'CN FD C'!AJ28)/'CN FD alpha'!AJ28)</f>
        <v>-127.34176505572309</v>
      </c>
      <c r="AK27">
        <f>'CN FD B'!AK27-(('CN FD A'!AK27*'CN FD C'!AK28)/'CN FD alpha'!AK28)</f>
        <v>-127.34176505572309</v>
      </c>
      <c r="AL27">
        <f>'CN FD B'!AL27-(('CN FD A'!AL27*'CN FD C'!AL28)/'CN FD alpha'!AL28)</f>
        <v>-127.34176505572309</v>
      </c>
      <c r="AM27">
        <f>'CN FD B'!AM27-(('CN FD A'!AM27*'CN FD C'!AM28)/'CN FD alpha'!AM28)</f>
        <v>-127.34176505572309</v>
      </c>
      <c r="AN27">
        <f>'CN FD B'!AN27-(('CN FD A'!AN27*'CN FD C'!AN28)/'CN FD alpha'!AN28)</f>
        <v>-127.34176505572309</v>
      </c>
      <c r="AO27">
        <f>'CN FD B'!AO27-(('CN FD A'!AO27*'CN FD C'!AO28)/'CN FD alpha'!AO28)</f>
        <v>-127.34176505572309</v>
      </c>
      <c r="AP27">
        <f>'CN FD B'!AP27-(('CN FD A'!AP27*'CN FD C'!AP28)/'CN FD alpha'!AP28)</f>
        <v>-127.34176505572309</v>
      </c>
      <c r="AQ27">
        <f>'CN FD B'!AQ27-(('CN FD A'!AQ27*'CN FD C'!AQ28)/'CN FD alpha'!AQ28)</f>
        <v>-127.34176505572309</v>
      </c>
      <c r="AR27">
        <f>'CN FD B'!AR27-(('CN FD A'!AR27*'CN FD C'!AR28)/'CN FD alpha'!AR28)</f>
        <v>-127.34176505572309</v>
      </c>
      <c r="AS27">
        <f>'CN FD B'!AS27-(('CN FD A'!AS27*'CN FD C'!AS28)/'CN FD alpha'!AS28)</f>
        <v>-127.34176505572309</v>
      </c>
      <c r="AT27">
        <f>'CN FD B'!AT27-(('CN FD A'!AT27*'CN FD C'!AT28)/'CN FD alpha'!AT28)</f>
        <v>-127.34176505572309</v>
      </c>
      <c r="AU27">
        <f>'CN FD B'!AU27-(('CN FD A'!AU27*'CN FD C'!AU28)/'CN FD alpha'!AU28)</f>
        <v>-127.34176505572309</v>
      </c>
      <c r="AV27">
        <f>'CN FD B'!AV27-(('CN FD A'!AV27*'CN FD C'!AV28)/'CN FD alpha'!AV28)</f>
        <v>-127.34176505572309</v>
      </c>
      <c r="AW27">
        <f>'CN FD B'!AW27-(('CN FD A'!AW27*'CN FD C'!AW28)/'CN FD alpha'!AW28)</f>
        <v>-127.34176505572309</v>
      </c>
      <c r="AX27">
        <f>'CN FD B'!AX27-(('CN FD A'!AX27*'CN FD C'!AX28)/'CN FD alpha'!AX28)</f>
        <v>-127.34176505572309</v>
      </c>
      <c r="AY27">
        <f>'CN FD B'!AY27-(('CN FD A'!AY27*'CN FD C'!AY28)/'CN FD alpha'!AY28)</f>
        <v>-127.34176505572309</v>
      </c>
      <c r="AZ27">
        <f>'CN FD B'!AZ27-(('CN FD A'!AZ27*'CN FD C'!AZ28)/'CN FD alpha'!AZ28)</f>
        <v>-127.34176505572309</v>
      </c>
      <c r="BA27" s="6"/>
    </row>
    <row r="28" spans="1:53" x14ac:dyDescent="0.2">
      <c r="A28">
        <f t="shared" si="1"/>
        <v>37</v>
      </c>
      <c r="B28" s="3">
        <f t="shared" si="0"/>
        <v>74</v>
      </c>
      <c r="C28">
        <f>'CN FD B'!C28-(('CN FD A'!C28*'CN FD C'!C29)/'CN FD alpha'!C29)</f>
        <v>-125.98759562209685</v>
      </c>
      <c r="D28">
        <f>'CN FD B'!D28-(('CN FD A'!D28*'CN FD C'!D29)/'CN FD alpha'!D29)</f>
        <v>-125.98759562209685</v>
      </c>
      <c r="E28">
        <f>'CN FD B'!E28-(('CN FD A'!E28*'CN FD C'!E29)/'CN FD alpha'!E29)</f>
        <v>-125.98759562209685</v>
      </c>
      <c r="F28">
        <f>'CN FD B'!F28-(('CN FD A'!F28*'CN FD C'!F29)/'CN FD alpha'!F29)</f>
        <v>-125.98759562209685</v>
      </c>
      <c r="G28">
        <f>'CN FD B'!G28-(('CN FD A'!G28*'CN FD C'!G29)/'CN FD alpha'!G29)</f>
        <v>-125.98759562209685</v>
      </c>
      <c r="H28">
        <f>'CN FD B'!H28-(('CN FD A'!H28*'CN FD C'!H29)/'CN FD alpha'!H29)</f>
        <v>-125.98759562209685</v>
      </c>
      <c r="I28">
        <f>'CN FD B'!I28-(('CN FD A'!I28*'CN FD C'!I29)/'CN FD alpha'!I29)</f>
        <v>-125.98759562209685</v>
      </c>
      <c r="J28">
        <f>'CN FD B'!J28-(('CN FD A'!J28*'CN FD C'!J29)/'CN FD alpha'!J29)</f>
        <v>-125.98759562209685</v>
      </c>
      <c r="K28">
        <f>'CN FD B'!K28-(('CN FD A'!K28*'CN FD C'!K29)/'CN FD alpha'!K29)</f>
        <v>-125.98759562209685</v>
      </c>
      <c r="L28">
        <f>'CN FD B'!L28-(('CN FD A'!L28*'CN FD C'!L29)/'CN FD alpha'!L29)</f>
        <v>-125.98759562209685</v>
      </c>
      <c r="M28">
        <f>'CN FD B'!M28-(('CN FD A'!M28*'CN FD C'!M29)/'CN FD alpha'!M29)</f>
        <v>-125.98759562209685</v>
      </c>
      <c r="N28">
        <f>'CN FD B'!N28-(('CN FD A'!N28*'CN FD C'!N29)/'CN FD alpha'!N29)</f>
        <v>-125.98759562209685</v>
      </c>
      <c r="O28">
        <f>'CN FD B'!O28-(('CN FD A'!O28*'CN FD C'!O29)/'CN FD alpha'!O29)</f>
        <v>-125.98759562209685</v>
      </c>
      <c r="P28">
        <f>'CN FD B'!P28-(('CN FD A'!P28*'CN FD C'!P29)/'CN FD alpha'!P29)</f>
        <v>-125.98759562209685</v>
      </c>
      <c r="Q28">
        <f>'CN FD B'!Q28-(('CN FD A'!Q28*'CN FD C'!Q29)/'CN FD alpha'!Q29)</f>
        <v>-125.98759562209685</v>
      </c>
      <c r="R28">
        <f>'CN FD B'!R28-(('CN FD A'!R28*'CN FD C'!R29)/'CN FD alpha'!R29)</f>
        <v>-125.98759562209685</v>
      </c>
      <c r="S28">
        <f>'CN FD B'!S28-(('CN FD A'!S28*'CN FD C'!S29)/'CN FD alpha'!S29)</f>
        <v>-125.98759562209685</v>
      </c>
      <c r="T28">
        <f>'CN FD B'!T28-(('CN FD A'!T28*'CN FD C'!T29)/'CN FD alpha'!T29)</f>
        <v>-125.98759562209685</v>
      </c>
      <c r="U28">
        <f>'CN FD B'!U28-(('CN FD A'!U28*'CN FD C'!U29)/'CN FD alpha'!U29)</f>
        <v>-125.98759562209685</v>
      </c>
      <c r="V28">
        <f>'CN FD B'!V28-(('CN FD A'!V28*'CN FD C'!V29)/'CN FD alpha'!V29)</f>
        <v>-125.98759562209685</v>
      </c>
      <c r="W28">
        <f>'CN FD B'!W28-(('CN FD A'!W28*'CN FD C'!W29)/'CN FD alpha'!W29)</f>
        <v>-125.98759562209685</v>
      </c>
      <c r="X28">
        <f>'CN FD B'!X28-(('CN FD A'!X28*'CN FD C'!X29)/'CN FD alpha'!X29)</f>
        <v>-125.98759562209685</v>
      </c>
      <c r="Y28">
        <f>'CN FD B'!Y28-(('CN FD A'!Y28*'CN FD C'!Y29)/'CN FD alpha'!Y29)</f>
        <v>-125.98759562209685</v>
      </c>
      <c r="Z28">
        <f>'CN FD B'!Z28-(('CN FD A'!Z28*'CN FD C'!Z29)/'CN FD alpha'!Z29)</f>
        <v>-125.98759562209685</v>
      </c>
      <c r="AA28">
        <f>'CN FD B'!AA28-(('CN FD A'!AA28*'CN FD C'!AA29)/'CN FD alpha'!AA29)</f>
        <v>-125.98759562209685</v>
      </c>
      <c r="AB28">
        <f>'CN FD B'!AB28-(('CN FD A'!AB28*'CN FD C'!AB29)/'CN FD alpha'!AB29)</f>
        <v>-125.98759562209685</v>
      </c>
      <c r="AC28">
        <f>'CN FD B'!AC28-(('CN FD A'!AC28*'CN FD C'!AC29)/'CN FD alpha'!AC29)</f>
        <v>-125.98759562209685</v>
      </c>
      <c r="AD28">
        <f>'CN FD B'!AD28-(('CN FD A'!AD28*'CN FD C'!AD29)/'CN FD alpha'!AD29)</f>
        <v>-125.98759562209685</v>
      </c>
      <c r="AE28">
        <f>'CN FD B'!AE28-(('CN FD A'!AE28*'CN FD C'!AE29)/'CN FD alpha'!AE29)</f>
        <v>-125.98759562209685</v>
      </c>
      <c r="AF28">
        <f>'CN FD B'!AF28-(('CN FD A'!AF28*'CN FD C'!AF29)/'CN FD alpha'!AF29)</f>
        <v>-125.98759562209685</v>
      </c>
      <c r="AG28">
        <f>'CN FD B'!AG28-(('CN FD A'!AG28*'CN FD C'!AG29)/'CN FD alpha'!AG29)</f>
        <v>-125.98759562209685</v>
      </c>
      <c r="AH28">
        <f>'CN FD B'!AH28-(('CN FD A'!AH28*'CN FD C'!AH29)/'CN FD alpha'!AH29)</f>
        <v>-125.98759562209685</v>
      </c>
      <c r="AI28">
        <f>'CN FD B'!AI28-(('CN FD A'!AI28*'CN FD C'!AI29)/'CN FD alpha'!AI29)</f>
        <v>-125.98759562209685</v>
      </c>
      <c r="AJ28">
        <f>'CN FD B'!AJ28-(('CN FD A'!AJ28*'CN FD C'!AJ29)/'CN FD alpha'!AJ29)</f>
        <v>-125.98759562209685</v>
      </c>
      <c r="AK28">
        <f>'CN FD B'!AK28-(('CN FD A'!AK28*'CN FD C'!AK29)/'CN FD alpha'!AK29)</f>
        <v>-125.98759562209685</v>
      </c>
      <c r="AL28">
        <f>'CN FD B'!AL28-(('CN FD A'!AL28*'CN FD C'!AL29)/'CN FD alpha'!AL29)</f>
        <v>-125.98759562209685</v>
      </c>
      <c r="AM28">
        <f>'CN FD B'!AM28-(('CN FD A'!AM28*'CN FD C'!AM29)/'CN FD alpha'!AM29)</f>
        <v>-125.98759562209685</v>
      </c>
      <c r="AN28">
        <f>'CN FD B'!AN28-(('CN FD A'!AN28*'CN FD C'!AN29)/'CN FD alpha'!AN29)</f>
        <v>-125.98759562209685</v>
      </c>
      <c r="AO28">
        <f>'CN FD B'!AO28-(('CN FD A'!AO28*'CN FD C'!AO29)/'CN FD alpha'!AO29)</f>
        <v>-125.98759562209685</v>
      </c>
      <c r="AP28">
        <f>'CN FD B'!AP28-(('CN FD A'!AP28*'CN FD C'!AP29)/'CN FD alpha'!AP29)</f>
        <v>-125.98759562209685</v>
      </c>
      <c r="AQ28">
        <f>'CN FD B'!AQ28-(('CN FD A'!AQ28*'CN FD C'!AQ29)/'CN FD alpha'!AQ29)</f>
        <v>-125.98759562209685</v>
      </c>
      <c r="AR28">
        <f>'CN FD B'!AR28-(('CN FD A'!AR28*'CN FD C'!AR29)/'CN FD alpha'!AR29)</f>
        <v>-125.98759562209685</v>
      </c>
      <c r="AS28">
        <f>'CN FD B'!AS28-(('CN FD A'!AS28*'CN FD C'!AS29)/'CN FD alpha'!AS29)</f>
        <v>-125.98759562209685</v>
      </c>
      <c r="AT28">
        <f>'CN FD B'!AT28-(('CN FD A'!AT28*'CN FD C'!AT29)/'CN FD alpha'!AT29)</f>
        <v>-125.98759562209685</v>
      </c>
      <c r="AU28">
        <f>'CN FD B'!AU28-(('CN FD A'!AU28*'CN FD C'!AU29)/'CN FD alpha'!AU29)</f>
        <v>-125.98759562209685</v>
      </c>
      <c r="AV28">
        <f>'CN FD B'!AV28-(('CN FD A'!AV28*'CN FD C'!AV29)/'CN FD alpha'!AV29)</f>
        <v>-125.98759562209685</v>
      </c>
      <c r="AW28">
        <f>'CN FD B'!AW28-(('CN FD A'!AW28*'CN FD C'!AW29)/'CN FD alpha'!AW29)</f>
        <v>-125.98759562209685</v>
      </c>
      <c r="AX28">
        <f>'CN FD B'!AX28-(('CN FD A'!AX28*'CN FD C'!AX29)/'CN FD alpha'!AX29)</f>
        <v>-125.98759562209685</v>
      </c>
      <c r="AY28">
        <f>'CN FD B'!AY28-(('CN FD A'!AY28*'CN FD C'!AY29)/'CN FD alpha'!AY29)</f>
        <v>-125.98759562209685</v>
      </c>
      <c r="AZ28">
        <f>'CN FD B'!AZ28-(('CN FD A'!AZ28*'CN FD C'!AZ29)/'CN FD alpha'!AZ29)</f>
        <v>-125.98759562209685</v>
      </c>
      <c r="BA28" s="6"/>
    </row>
    <row r="29" spans="1:53" x14ac:dyDescent="0.2">
      <c r="A29">
        <f t="shared" si="1"/>
        <v>36</v>
      </c>
      <c r="B29" s="3">
        <f t="shared" si="0"/>
        <v>72</v>
      </c>
      <c r="C29">
        <f>'CN FD B'!C29-(('CN FD A'!C29*'CN FD C'!C30)/'CN FD alpha'!C30)</f>
        <v>-124.66391608088263</v>
      </c>
      <c r="D29">
        <f>'CN FD B'!D29-(('CN FD A'!D29*'CN FD C'!D30)/'CN FD alpha'!D30)</f>
        <v>-124.66391608088263</v>
      </c>
      <c r="E29">
        <f>'CN FD B'!E29-(('CN FD A'!E29*'CN FD C'!E30)/'CN FD alpha'!E30)</f>
        <v>-124.66391608088263</v>
      </c>
      <c r="F29">
        <f>'CN FD B'!F29-(('CN FD A'!F29*'CN FD C'!F30)/'CN FD alpha'!F30)</f>
        <v>-124.66391608088263</v>
      </c>
      <c r="G29">
        <f>'CN FD B'!G29-(('CN FD A'!G29*'CN FD C'!G30)/'CN FD alpha'!G30)</f>
        <v>-124.66391608088263</v>
      </c>
      <c r="H29">
        <f>'CN FD B'!H29-(('CN FD A'!H29*'CN FD C'!H30)/'CN FD alpha'!H30)</f>
        <v>-124.66391608088263</v>
      </c>
      <c r="I29">
        <f>'CN FD B'!I29-(('CN FD A'!I29*'CN FD C'!I30)/'CN FD alpha'!I30)</f>
        <v>-124.66391608088263</v>
      </c>
      <c r="J29">
        <f>'CN FD B'!J29-(('CN FD A'!J29*'CN FD C'!J30)/'CN FD alpha'!J30)</f>
        <v>-124.66391608088263</v>
      </c>
      <c r="K29">
        <f>'CN FD B'!K29-(('CN FD A'!K29*'CN FD C'!K30)/'CN FD alpha'!K30)</f>
        <v>-124.66391608088263</v>
      </c>
      <c r="L29">
        <f>'CN FD B'!L29-(('CN FD A'!L29*'CN FD C'!L30)/'CN FD alpha'!L30)</f>
        <v>-124.66391608088263</v>
      </c>
      <c r="M29">
        <f>'CN FD B'!M29-(('CN FD A'!M29*'CN FD C'!M30)/'CN FD alpha'!M30)</f>
        <v>-124.66391608088263</v>
      </c>
      <c r="N29">
        <f>'CN FD B'!N29-(('CN FD A'!N29*'CN FD C'!N30)/'CN FD alpha'!N30)</f>
        <v>-124.66391608088263</v>
      </c>
      <c r="O29">
        <f>'CN FD B'!O29-(('CN FD A'!O29*'CN FD C'!O30)/'CN FD alpha'!O30)</f>
        <v>-124.66391608088263</v>
      </c>
      <c r="P29">
        <f>'CN FD B'!P29-(('CN FD A'!P29*'CN FD C'!P30)/'CN FD alpha'!P30)</f>
        <v>-124.66391608088263</v>
      </c>
      <c r="Q29">
        <f>'CN FD B'!Q29-(('CN FD A'!Q29*'CN FD C'!Q30)/'CN FD alpha'!Q30)</f>
        <v>-124.66391608088263</v>
      </c>
      <c r="R29">
        <f>'CN FD B'!R29-(('CN FD A'!R29*'CN FD C'!R30)/'CN FD alpha'!R30)</f>
        <v>-124.66391608088263</v>
      </c>
      <c r="S29">
        <f>'CN FD B'!S29-(('CN FD A'!S29*'CN FD C'!S30)/'CN FD alpha'!S30)</f>
        <v>-124.66391608088263</v>
      </c>
      <c r="T29">
        <f>'CN FD B'!T29-(('CN FD A'!T29*'CN FD C'!T30)/'CN FD alpha'!T30)</f>
        <v>-124.66391608088263</v>
      </c>
      <c r="U29">
        <f>'CN FD B'!U29-(('CN FD A'!U29*'CN FD C'!U30)/'CN FD alpha'!U30)</f>
        <v>-124.66391608088263</v>
      </c>
      <c r="V29">
        <f>'CN FD B'!V29-(('CN FD A'!V29*'CN FD C'!V30)/'CN FD alpha'!V30)</f>
        <v>-124.66391608088263</v>
      </c>
      <c r="W29">
        <f>'CN FD B'!W29-(('CN FD A'!W29*'CN FD C'!W30)/'CN FD alpha'!W30)</f>
        <v>-124.66391608088263</v>
      </c>
      <c r="X29">
        <f>'CN FD B'!X29-(('CN FD A'!X29*'CN FD C'!X30)/'CN FD alpha'!X30)</f>
        <v>-124.66391608088263</v>
      </c>
      <c r="Y29">
        <f>'CN FD B'!Y29-(('CN FD A'!Y29*'CN FD C'!Y30)/'CN FD alpha'!Y30)</f>
        <v>-124.66391608088263</v>
      </c>
      <c r="Z29">
        <f>'CN FD B'!Z29-(('CN FD A'!Z29*'CN FD C'!Z30)/'CN FD alpha'!Z30)</f>
        <v>-124.66391608088263</v>
      </c>
      <c r="AA29">
        <f>'CN FD B'!AA29-(('CN FD A'!AA29*'CN FD C'!AA30)/'CN FD alpha'!AA30)</f>
        <v>-124.66391608088263</v>
      </c>
      <c r="AB29">
        <f>'CN FD B'!AB29-(('CN FD A'!AB29*'CN FD C'!AB30)/'CN FD alpha'!AB30)</f>
        <v>-124.66391608088263</v>
      </c>
      <c r="AC29">
        <f>'CN FD B'!AC29-(('CN FD A'!AC29*'CN FD C'!AC30)/'CN FD alpha'!AC30)</f>
        <v>-124.66391608088263</v>
      </c>
      <c r="AD29">
        <f>'CN FD B'!AD29-(('CN FD A'!AD29*'CN FD C'!AD30)/'CN FD alpha'!AD30)</f>
        <v>-124.66391608088263</v>
      </c>
      <c r="AE29">
        <f>'CN FD B'!AE29-(('CN FD A'!AE29*'CN FD C'!AE30)/'CN FD alpha'!AE30)</f>
        <v>-124.66391608088263</v>
      </c>
      <c r="AF29">
        <f>'CN FD B'!AF29-(('CN FD A'!AF29*'CN FD C'!AF30)/'CN FD alpha'!AF30)</f>
        <v>-124.66391608088263</v>
      </c>
      <c r="AG29">
        <f>'CN FD B'!AG29-(('CN FD A'!AG29*'CN FD C'!AG30)/'CN FD alpha'!AG30)</f>
        <v>-124.66391608088263</v>
      </c>
      <c r="AH29">
        <f>'CN FD B'!AH29-(('CN FD A'!AH29*'CN FD C'!AH30)/'CN FD alpha'!AH30)</f>
        <v>-124.66391608088263</v>
      </c>
      <c r="AI29">
        <f>'CN FD B'!AI29-(('CN FD A'!AI29*'CN FD C'!AI30)/'CN FD alpha'!AI30)</f>
        <v>-124.66391608088263</v>
      </c>
      <c r="AJ29">
        <f>'CN FD B'!AJ29-(('CN FD A'!AJ29*'CN FD C'!AJ30)/'CN FD alpha'!AJ30)</f>
        <v>-124.66391608088263</v>
      </c>
      <c r="AK29">
        <f>'CN FD B'!AK29-(('CN FD A'!AK29*'CN FD C'!AK30)/'CN FD alpha'!AK30)</f>
        <v>-124.66391608088263</v>
      </c>
      <c r="AL29">
        <f>'CN FD B'!AL29-(('CN FD A'!AL29*'CN FD C'!AL30)/'CN FD alpha'!AL30)</f>
        <v>-124.66391608088263</v>
      </c>
      <c r="AM29">
        <f>'CN FD B'!AM29-(('CN FD A'!AM29*'CN FD C'!AM30)/'CN FD alpha'!AM30)</f>
        <v>-124.66391608088263</v>
      </c>
      <c r="AN29">
        <f>'CN FD B'!AN29-(('CN FD A'!AN29*'CN FD C'!AN30)/'CN FD alpha'!AN30)</f>
        <v>-124.66391608088263</v>
      </c>
      <c r="AO29">
        <f>'CN FD B'!AO29-(('CN FD A'!AO29*'CN FD C'!AO30)/'CN FD alpha'!AO30)</f>
        <v>-124.66391608088263</v>
      </c>
      <c r="AP29">
        <f>'CN FD B'!AP29-(('CN FD A'!AP29*'CN FD C'!AP30)/'CN FD alpha'!AP30)</f>
        <v>-124.66391608088263</v>
      </c>
      <c r="AQ29">
        <f>'CN FD B'!AQ29-(('CN FD A'!AQ29*'CN FD C'!AQ30)/'CN FD alpha'!AQ30)</f>
        <v>-124.66391608088263</v>
      </c>
      <c r="AR29">
        <f>'CN FD B'!AR29-(('CN FD A'!AR29*'CN FD C'!AR30)/'CN FD alpha'!AR30)</f>
        <v>-124.66391608088263</v>
      </c>
      <c r="AS29">
        <f>'CN FD B'!AS29-(('CN FD A'!AS29*'CN FD C'!AS30)/'CN FD alpha'!AS30)</f>
        <v>-124.66391608088263</v>
      </c>
      <c r="AT29">
        <f>'CN FD B'!AT29-(('CN FD A'!AT29*'CN FD C'!AT30)/'CN FD alpha'!AT30)</f>
        <v>-124.66391608088263</v>
      </c>
      <c r="AU29">
        <f>'CN FD B'!AU29-(('CN FD A'!AU29*'CN FD C'!AU30)/'CN FD alpha'!AU30)</f>
        <v>-124.66391608088263</v>
      </c>
      <c r="AV29">
        <f>'CN FD B'!AV29-(('CN FD A'!AV29*'CN FD C'!AV30)/'CN FD alpha'!AV30)</f>
        <v>-124.66391608088263</v>
      </c>
      <c r="AW29">
        <f>'CN FD B'!AW29-(('CN FD A'!AW29*'CN FD C'!AW30)/'CN FD alpha'!AW30)</f>
        <v>-124.66391608088263</v>
      </c>
      <c r="AX29">
        <f>'CN FD B'!AX29-(('CN FD A'!AX29*'CN FD C'!AX30)/'CN FD alpha'!AX30)</f>
        <v>-124.66391608088263</v>
      </c>
      <c r="AY29">
        <f>'CN FD B'!AY29-(('CN FD A'!AY29*'CN FD C'!AY30)/'CN FD alpha'!AY30)</f>
        <v>-124.66391608088263</v>
      </c>
      <c r="AZ29">
        <f>'CN FD B'!AZ29-(('CN FD A'!AZ29*'CN FD C'!AZ30)/'CN FD alpha'!AZ30)</f>
        <v>-124.66391608088263</v>
      </c>
      <c r="BA29" s="6"/>
    </row>
    <row r="30" spans="1:53" x14ac:dyDescent="0.2">
      <c r="A30">
        <f t="shared" si="1"/>
        <v>35</v>
      </c>
      <c r="B30" s="3">
        <f t="shared" si="0"/>
        <v>70</v>
      </c>
      <c r="C30">
        <f>'CN FD B'!C30-(('CN FD A'!C30*'CN FD C'!C31)/'CN FD alpha'!C31)</f>
        <v>-123.37103173554192</v>
      </c>
      <c r="D30">
        <f>'CN FD B'!D30-(('CN FD A'!D30*'CN FD C'!D31)/'CN FD alpha'!D31)</f>
        <v>-123.37103173554192</v>
      </c>
      <c r="E30">
        <f>'CN FD B'!E30-(('CN FD A'!E30*'CN FD C'!E31)/'CN FD alpha'!E31)</f>
        <v>-123.37103173554192</v>
      </c>
      <c r="F30">
        <f>'CN FD B'!F30-(('CN FD A'!F30*'CN FD C'!F31)/'CN FD alpha'!F31)</f>
        <v>-123.37103173554192</v>
      </c>
      <c r="G30">
        <f>'CN FD B'!G30-(('CN FD A'!G30*'CN FD C'!G31)/'CN FD alpha'!G31)</f>
        <v>-123.37103173554192</v>
      </c>
      <c r="H30">
        <f>'CN FD B'!H30-(('CN FD A'!H30*'CN FD C'!H31)/'CN FD alpha'!H31)</f>
        <v>-123.37103173554192</v>
      </c>
      <c r="I30">
        <f>'CN FD B'!I30-(('CN FD A'!I30*'CN FD C'!I31)/'CN FD alpha'!I31)</f>
        <v>-123.37103173554192</v>
      </c>
      <c r="J30">
        <f>'CN FD B'!J30-(('CN FD A'!J30*'CN FD C'!J31)/'CN FD alpha'!J31)</f>
        <v>-123.37103173554192</v>
      </c>
      <c r="K30">
        <f>'CN FD B'!K30-(('CN FD A'!K30*'CN FD C'!K31)/'CN FD alpha'!K31)</f>
        <v>-123.37103173554192</v>
      </c>
      <c r="L30">
        <f>'CN FD B'!L30-(('CN FD A'!L30*'CN FD C'!L31)/'CN FD alpha'!L31)</f>
        <v>-123.37103173554192</v>
      </c>
      <c r="M30">
        <f>'CN FD B'!M30-(('CN FD A'!M30*'CN FD C'!M31)/'CN FD alpha'!M31)</f>
        <v>-123.37103173554192</v>
      </c>
      <c r="N30">
        <f>'CN FD B'!N30-(('CN FD A'!N30*'CN FD C'!N31)/'CN FD alpha'!N31)</f>
        <v>-123.37103173554192</v>
      </c>
      <c r="O30">
        <f>'CN FD B'!O30-(('CN FD A'!O30*'CN FD C'!O31)/'CN FD alpha'!O31)</f>
        <v>-123.37103173554192</v>
      </c>
      <c r="P30">
        <f>'CN FD B'!P30-(('CN FD A'!P30*'CN FD C'!P31)/'CN FD alpha'!P31)</f>
        <v>-123.37103173554192</v>
      </c>
      <c r="Q30">
        <f>'CN FD B'!Q30-(('CN FD A'!Q30*'CN FD C'!Q31)/'CN FD alpha'!Q31)</f>
        <v>-123.37103173554192</v>
      </c>
      <c r="R30">
        <f>'CN FD B'!R30-(('CN FD A'!R30*'CN FD C'!R31)/'CN FD alpha'!R31)</f>
        <v>-123.37103173554192</v>
      </c>
      <c r="S30">
        <f>'CN FD B'!S30-(('CN FD A'!S30*'CN FD C'!S31)/'CN FD alpha'!S31)</f>
        <v>-123.37103173554192</v>
      </c>
      <c r="T30">
        <f>'CN FD B'!T30-(('CN FD A'!T30*'CN FD C'!T31)/'CN FD alpha'!T31)</f>
        <v>-123.37103173554192</v>
      </c>
      <c r="U30">
        <f>'CN FD B'!U30-(('CN FD A'!U30*'CN FD C'!U31)/'CN FD alpha'!U31)</f>
        <v>-123.37103173554192</v>
      </c>
      <c r="V30">
        <f>'CN FD B'!V30-(('CN FD A'!V30*'CN FD C'!V31)/'CN FD alpha'!V31)</f>
        <v>-123.37103173554192</v>
      </c>
      <c r="W30">
        <f>'CN FD B'!W30-(('CN FD A'!W30*'CN FD C'!W31)/'CN FD alpha'!W31)</f>
        <v>-123.37103173554192</v>
      </c>
      <c r="X30">
        <f>'CN FD B'!X30-(('CN FD A'!X30*'CN FD C'!X31)/'CN FD alpha'!X31)</f>
        <v>-123.37103173554192</v>
      </c>
      <c r="Y30">
        <f>'CN FD B'!Y30-(('CN FD A'!Y30*'CN FD C'!Y31)/'CN FD alpha'!Y31)</f>
        <v>-123.37103173554192</v>
      </c>
      <c r="Z30">
        <f>'CN FD B'!Z30-(('CN FD A'!Z30*'CN FD C'!Z31)/'CN FD alpha'!Z31)</f>
        <v>-123.37103173554192</v>
      </c>
      <c r="AA30">
        <f>'CN FD B'!AA30-(('CN FD A'!AA30*'CN FD C'!AA31)/'CN FD alpha'!AA31)</f>
        <v>-123.37103173554192</v>
      </c>
      <c r="AB30">
        <f>'CN FD B'!AB30-(('CN FD A'!AB30*'CN FD C'!AB31)/'CN FD alpha'!AB31)</f>
        <v>-123.37103173554192</v>
      </c>
      <c r="AC30">
        <f>'CN FD B'!AC30-(('CN FD A'!AC30*'CN FD C'!AC31)/'CN FD alpha'!AC31)</f>
        <v>-123.37103173554192</v>
      </c>
      <c r="AD30">
        <f>'CN FD B'!AD30-(('CN FD A'!AD30*'CN FD C'!AD31)/'CN FD alpha'!AD31)</f>
        <v>-123.37103173554192</v>
      </c>
      <c r="AE30">
        <f>'CN FD B'!AE30-(('CN FD A'!AE30*'CN FD C'!AE31)/'CN FD alpha'!AE31)</f>
        <v>-123.37103173554192</v>
      </c>
      <c r="AF30">
        <f>'CN FD B'!AF30-(('CN FD A'!AF30*'CN FD C'!AF31)/'CN FD alpha'!AF31)</f>
        <v>-123.37103173554192</v>
      </c>
      <c r="AG30">
        <f>'CN FD B'!AG30-(('CN FD A'!AG30*'CN FD C'!AG31)/'CN FD alpha'!AG31)</f>
        <v>-123.37103173554192</v>
      </c>
      <c r="AH30">
        <f>'CN FD B'!AH30-(('CN FD A'!AH30*'CN FD C'!AH31)/'CN FD alpha'!AH31)</f>
        <v>-123.37103173554192</v>
      </c>
      <c r="AI30">
        <f>'CN FD B'!AI30-(('CN FD A'!AI30*'CN FD C'!AI31)/'CN FD alpha'!AI31)</f>
        <v>-123.37103173554192</v>
      </c>
      <c r="AJ30">
        <f>'CN FD B'!AJ30-(('CN FD A'!AJ30*'CN FD C'!AJ31)/'CN FD alpha'!AJ31)</f>
        <v>-123.37103173554192</v>
      </c>
      <c r="AK30">
        <f>'CN FD B'!AK30-(('CN FD A'!AK30*'CN FD C'!AK31)/'CN FD alpha'!AK31)</f>
        <v>-123.37103173554192</v>
      </c>
      <c r="AL30">
        <f>'CN FD B'!AL30-(('CN FD A'!AL30*'CN FD C'!AL31)/'CN FD alpha'!AL31)</f>
        <v>-123.37103173554192</v>
      </c>
      <c r="AM30">
        <f>'CN FD B'!AM30-(('CN FD A'!AM30*'CN FD C'!AM31)/'CN FD alpha'!AM31)</f>
        <v>-123.37103173554192</v>
      </c>
      <c r="AN30">
        <f>'CN FD B'!AN30-(('CN FD A'!AN30*'CN FD C'!AN31)/'CN FD alpha'!AN31)</f>
        <v>-123.37103173554192</v>
      </c>
      <c r="AO30">
        <f>'CN FD B'!AO30-(('CN FD A'!AO30*'CN FD C'!AO31)/'CN FD alpha'!AO31)</f>
        <v>-123.37103173554192</v>
      </c>
      <c r="AP30">
        <f>'CN FD B'!AP30-(('CN FD A'!AP30*'CN FD C'!AP31)/'CN FD alpha'!AP31)</f>
        <v>-123.37103173554192</v>
      </c>
      <c r="AQ30">
        <f>'CN FD B'!AQ30-(('CN FD A'!AQ30*'CN FD C'!AQ31)/'CN FD alpha'!AQ31)</f>
        <v>-123.37103173554192</v>
      </c>
      <c r="AR30">
        <f>'CN FD B'!AR30-(('CN FD A'!AR30*'CN FD C'!AR31)/'CN FD alpha'!AR31)</f>
        <v>-123.37103173554192</v>
      </c>
      <c r="AS30">
        <f>'CN FD B'!AS30-(('CN FD A'!AS30*'CN FD C'!AS31)/'CN FD alpha'!AS31)</f>
        <v>-123.37103173554192</v>
      </c>
      <c r="AT30">
        <f>'CN FD B'!AT30-(('CN FD A'!AT30*'CN FD C'!AT31)/'CN FD alpha'!AT31)</f>
        <v>-123.37103173554192</v>
      </c>
      <c r="AU30">
        <f>'CN FD B'!AU30-(('CN FD A'!AU30*'CN FD C'!AU31)/'CN FD alpha'!AU31)</f>
        <v>-123.37103173554192</v>
      </c>
      <c r="AV30">
        <f>'CN FD B'!AV30-(('CN FD A'!AV30*'CN FD C'!AV31)/'CN FD alpha'!AV31)</f>
        <v>-123.37103173554192</v>
      </c>
      <c r="AW30">
        <f>'CN FD B'!AW30-(('CN FD A'!AW30*'CN FD C'!AW31)/'CN FD alpha'!AW31)</f>
        <v>-123.37103173554192</v>
      </c>
      <c r="AX30">
        <f>'CN FD B'!AX30-(('CN FD A'!AX30*'CN FD C'!AX31)/'CN FD alpha'!AX31)</f>
        <v>-123.37103173554192</v>
      </c>
      <c r="AY30">
        <f>'CN FD B'!AY30-(('CN FD A'!AY30*'CN FD C'!AY31)/'CN FD alpha'!AY31)</f>
        <v>-123.37103173554192</v>
      </c>
      <c r="AZ30">
        <f>'CN FD B'!AZ30-(('CN FD A'!AZ30*'CN FD C'!AZ31)/'CN FD alpha'!AZ31)</f>
        <v>-123.37103173554192</v>
      </c>
      <c r="BA30" s="6"/>
    </row>
    <row r="31" spans="1:53" x14ac:dyDescent="0.2">
      <c r="A31">
        <f t="shared" si="1"/>
        <v>34</v>
      </c>
      <c r="B31" s="3">
        <f t="shared" si="0"/>
        <v>68</v>
      </c>
      <c r="C31">
        <f>'CN FD B'!C31-(('CN FD A'!C31*'CN FD C'!C32)/'CN FD alpha'!C32)</f>
        <v>-122.1092538424018</v>
      </c>
      <c r="D31">
        <f>'CN FD B'!D31-(('CN FD A'!D31*'CN FD C'!D32)/'CN FD alpha'!D32)</f>
        <v>-122.1092538424018</v>
      </c>
      <c r="E31">
        <f>'CN FD B'!E31-(('CN FD A'!E31*'CN FD C'!E32)/'CN FD alpha'!E32)</f>
        <v>-122.1092538424018</v>
      </c>
      <c r="F31">
        <f>'CN FD B'!F31-(('CN FD A'!F31*'CN FD C'!F32)/'CN FD alpha'!F32)</f>
        <v>-122.1092538424018</v>
      </c>
      <c r="G31">
        <f>'CN FD B'!G31-(('CN FD A'!G31*'CN FD C'!G32)/'CN FD alpha'!G32)</f>
        <v>-122.1092538424018</v>
      </c>
      <c r="H31">
        <f>'CN FD B'!H31-(('CN FD A'!H31*'CN FD C'!H32)/'CN FD alpha'!H32)</f>
        <v>-122.1092538424018</v>
      </c>
      <c r="I31">
        <f>'CN FD B'!I31-(('CN FD A'!I31*'CN FD C'!I32)/'CN FD alpha'!I32)</f>
        <v>-122.1092538424018</v>
      </c>
      <c r="J31">
        <f>'CN FD B'!J31-(('CN FD A'!J31*'CN FD C'!J32)/'CN FD alpha'!J32)</f>
        <v>-122.1092538424018</v>
      </c>
      <c r="K31">
        <f>'CN FD B'!K31-(('CN FD A'!K31*'CN FD C'!K32)/'CN FD alpha'!K32)</f>
        <v>-122.1092538424018</v>
      </c>
      <c r="L31">
        <f>'CN FD B'!L31-(('CN FD A'!L31*'CN FD C'!L32)/'CN FD alpha'!L32)</f>
        <v>-122.1092538424018</v>
      </c>
      <c r="M31">
        <f>'CN FD B'!M31-(('CN FD A'!M31*'CN FD C'!M32)/'CN FD alpha'!M32)</f>
        <v>-122.1092538424018</v>
      </c>
      <c r="N31">
        <f>'CN FD B'!N31-(('CN FD A'!N31*'CN FD C'!N32)/'CN FD alpha'!N32)</f>
        <v>-122.1092538424018</v>
      </c>
      <c r="O31">
        <f>'CN FD B'!O31-(('CN FD A'!O31*'CN FD C'!O32)/'CN FD alpha'!O32)</f>
        <v>-122.1092538424018</v>
      </c>
      <c r="P31">
        <f>'CN FD B'!P31-(('CN FD A'!P31*'CN FD C'!P32)/'CN FD alpha'!P32)</f>
        <v>-122.1092538424018</v>
      </c>
      <c r="Q31">
        <f>'CN FD B'!Q31-(('CN FD A'!Q31*'CN FD C'!Q32)/'CN FD alpha'!Q32)</f>
        <v>-122.1092538424018</v>
      </c>
      <c r="R31">
        <f>'CN FD B'!R31-(('CN FD A'!R31*'CN FD C'!R32)/'CN FD alpha'!R32)</f>
        <v>-122.1092538424018</v>
      </c>
      <c r="S31">
        <f>'CN FD B'!S31-(('CN FD A'!S31*'CN FD C'!S32)/'CN FD alpha'!S32)</f>
        <v>-122.1092538424018</v>
      </c>
      <c r="T31">
        <f>'CN FD B'!T31-(('CN FD A'!T31*'CN FD C'!T32)/'CN FD alpha'!T32)</f>
        <v>-122.1092538424018</v>
      </c>
      <c r="U31">
        <f>'CN FD B'!U31-(('CN FD A'!U31*'CN FD C'!U32)/'CN FD alpha'!U32)</f>
        <v>-122.1092538424018</v>
      </c>
      <c r="V31">
        <f>'CN FD B'!V31-(('CN FD A'!V31*'CN FD C'!V32)/'CN FD alpha'!V32)</f>
        <v>-122.1092538424018</v>
      </c>
      <c r="W31">
        <f>'CN FD B'!W31-(('CN FD A'!W31*'CN FD C'!W32)/'CN FD alpha'!W32)</f>
        <v>-122.1092538424018</v>
      </c>
      <c r="X31">
        <f>'CN FD B'!X31-(('CN FD A'!X31*'CN FD C'!X32)/'CN FD alpha'!X32)</f>
        <v>-122.1092538424018</v>
      </c>
      <c r="Y31">
        <f>'CN FD B'!Y31-(('CN FD A'!Y31*'CN FD C'!Y32)/'CN FD alpha'!Y32)</f>
        <v>-122.1092538424018</v>
      </c>
      <c r="Z31">
        <f>'CN FD B'!Z31-(('CN FD A'!Z31*'CN FD C'!Z32)/'CN FD alpha'!Z32)</f>
        <v>-122.1092538424018</v>
      </c>
      <c r="AA31">
        <f>'CN FD B'!AA31-(('CN FD A'!AA31*'CN FD C'!AA32)/'CN FD alpha'!AA32)</f>
        <v>-122.1092538424018</v>
      </c>
      <c r="AB31">
        <f>'CN FD B'!AB31-(('CN FD A'!AB31*'CN FD C'!AB32)/'CN FD alpha'!AB32)</f>
        <v>-122.1092538424018</v>
      </c>
      <c r="AC31">
        <f>'CN FD B'!AC31-(('CN FD A'!AC31*'CN FD C'!AC32)/'CN FD alpha'!AC32)</f>
        <v>-122.1092538424018</v>
      </c>
      <c r="AD31">
        <f>'CN FD B'!AD31-(('CN FD A'!AD31*'CN FD C'!AD32)/'CN FD alpha'!AD32)</f>
        <v>-122.1092538424018</v>
      </c>
      <c r="AE31">
        <f>'CN FD B'!AE31-(('CN FD A'!AE31*'CN FD C'!AE32)/'CN FD alpha'!AE32)</f>
        <v>-122.1092538424018</v>
      </c>
      <c r="AF31">
        <f>'CN FD B'!AF31-(('CN FD A'!AF31*'CN FD C'!AF32)/'CN FD alpha'!AF32)</f>
        <v>-122.1092538424018</v>
      </c>
      <c r="AG31">
        <f>'CN FD B'!AG31-(('CN FD A'!AG31*'CN FD C'!AG32)/'CN FD alpha'!AG32)</f>
        <v>-122.1092538424018</v>
      </c>
      <c r="AH31">
        <f>'CN FD B'!AH31-(('CN FD A'!AH31*'CN FD C'!AH32)/'CN FD alpha'!AH32)</f>
        <v>-122.1092538424018</v>
      </c>
      <c r="AI31">
        <f>'CN FD B'!AI31-(('CN FD A'!AI31*'CN FD C'!AI32)/'CN FD alpha'!AI32)</f>
        <v>-122.1092538424018</v>
      </c>
      <c r="AJ31">
        <f>'CN FD B'!AJ31-(('CN FD A'!AJ31*'CN FD C'!AJ32)/'CN FD alpha'!AJ32)</f>
        <v>-122.1092538424018</v>
      </c>
      <c r="AK31">
        <f>'CN FD B'!AK31-(('CN FD A'!AK31*'CN FD C'!AK32)/'CN FD alpha'!AK32)</f>
        <v>-122.1092538424018</v>
      </c>
      <c r="AL31">
        <f>'CN FD B'!AL31-(('CN FD A'!AL31*'CN FD C'!AL32)/'CN FD alpha'!AL32)</f>
        <v>-122.1092538424018</v>
      </c>
      <c r="AM31">
        <f>'CN FD B'!AM31-(('CN FD A'!AM31*'CN FD C'!AM32)/'CN FD alpha'!AM32)</f>
        <v>-122.1092538424018</v>
      </c>
      <c r="AN31">
        <f>'CN FD B'!AN31-(('CN FD A'!AN31*'CN FD C'!AN32)/'CN FD alpha'!AN32)</f>
        <v>-122.1092538424018</v>
      </c>
      <c r="AO31">
        <f>'CN FD B'!AO31-(('CN FD A'!AO31*'CN FD C'!AO32)/'CN FD alpha'!AO32)</f>
        <v>-122.1092538424018</v>
      </c>
      <c r="AP31">
        <f>'CN FD B'!AP31-(('CN FD A'!AP31*'CN FD C'!AP32)/'CN FD alpha'!AP32)</f>
        <v>-122.1092538424018</v>
      </c>
      <c r="AQ31">
        <f>'CN FD B'!AQ31-(('CN FD A'!AQ31*'CN FD C'!AQ32)/'CN FD alpha'!AQ32)</f>
        <v>-122.1092538424018</v>
      </c>
      <c r="AR31">
        <f>'CN FD B'!AR31-(('CN FD A'!AR31*'CN FD C'!AR32)/'CN FD alpha'!AR32)</f>
        <v>-122.1092538424018</v>
      </c>
      <c r="AS31">
        <f>'CN FD B'!AS31-(('CN FD A'!AS31*'CN FD C'!AS32)/'CN FD alpha'!AS32)</f>
        <v>-122.1092538424018</v>
      </c>
      <c r="AT31">
        <f>'CN FD B'!AT31-(('CN FD A'!AT31*'CN FD C'!AT32)/'CN FD alpha'!AT32)</f>
        <v>-122.1092538424018</v>
      </c>
      <c r="AU31">
        <f>'CN FD B'!AU31-(('CN FD A'!AU31*'CN FD C'!AU32)/'CN FD alpha'!AU32)</f>
        <v>-122.1092538424018</v>
      </c>
      <c r="AV31">
        <f>'CN FD B'!AV31-(('CN FD A'!AV31*'CN FD C'!AV32)/'CN FD alpha'!AV32)</f>
        <v>-122.1092538424018</v>
      </c>
      <c r="AW31">
        <f>'CN FD B'!AW31-(('CN FD A'!AW31*'CN FD C'!AW32)/'CN FD alpha'!AW32)</f>
        <v>-122.1092538424018</v>
      </c>
      <c r="AX31">
        <f>'CN FD B'!AX31-(('CN FD A'!AX31*'CN FD C'!AX32)/'CN FD alpha'!AX32)</f>
        <v>-122.1092538424018</v>
      </c>
      <c r="AY31">
        <f>'CN FD B'!AY31-(('CN FD A'!AY31*'CN FD C'!AY32)/'CN FD alpha'!AY32)</f>
        <v>-122.1092538424018</v>
      </c>
      <c r="AZ31">
        <f>'CN FD B'!AZ31-(('CN FD A'!AZ31*'CN FD C'!AZ32)/'CN FD alpha'!AZ32)</f>
        <v>-122.1092538424018</v>
      </c>
      <c r="BA31" s="6"/>
    </row>
    <row r="32" spans="1:53" x14ac:dyDescent="0.2">
      <c r="A32">
        <f t="shared" si="1"/>
        <v>33</v>
      </c>
      <c r="B32" s="3">
        <f t="shared" si="0"/>
        <v>66</v>
      </c>
      <c r="C32">
        <f>'CN FD B'!C32-(('CN FD A'!C32*'CN FD C'!C33)/'CN FD alpha'!C33)</f>
        <v>-120.87889931808702</v>
      </c>
      <c r="D32">
        <f>'CN FD B'!D32-(('CN FD A'!D32*'CN FD C'!D33)/'CN FD alpha'!D33)</f>
        <v>-120.87889931808702</v>
      </c>
      <c r="E32">
        <f>'CN FD B'!E32-(('CN FD A'!E32*'CN FD C'!E33)/'CN FD alpha'!E33)</f>
        <v>-120.87889931808702</v>
      </c>
      <c r="F32">
        <f>'CN FD B'!F32-(('CN FD A'!F32*'CN FD C'!F33)/'CN FD alpha'!F33)</f>
        <v>-120.87889931808702</v>
      </c>
      <c r="G32">
        <f>'CN FD B'!G32-(('CN FD A'!G32*'CN FD C'!G33)/'CN FD alpha'!G33)</f>
        <v>-120.87889931808702</v>
      </c>
      <c r="H32">
        <f>'CN FD B'!H32-(('CN FD A'!H32*'CN FD C'!H33)/'CN FD alpha'!H33)</f>
        <v>-120.87889931808702</v>
      </c>
      <c r="I32">
        <f>'CN FD B'!I32-(('CN FD A'!I32*'CN FD C'!I33)/'CN FD alpha'!I33)</f>
        <v>-120.87889931808702</v>
      </c>
      <c r="J32">
        <f>'CN FD B'!J32-(('CN FD A'!J32*'CN FD C'!J33)/'CN FD alpha'!J33)</f>
        <v>-120.87889931808702</v>
      </c>
      <c r="K32">
        <f>'CN FD B'!K32-(('CN FD A'!K32*'CN FD C'!K33)/'CN FD alpha'!K33)</f>
        <v>-120.87889931808702</v>
      </c>
      <c r="L32">
        <f>'CN FD B'!L32-(('CN FD A'!L32*'CN FD C'!L33)/'CN FD alpha'!L33)</f>
        <v>-120.87889931808702</v>
      </c>
      <c r="M32">
        <f>'CN FD B'!M32-(('CN FD A'!M32*'CN FD C'!M33)/'CN FD alpha'!M33)</f>
        <v>-120.87889931808702</v>
      </c>
      <c r="N32">
        <f>'CN FD B'!N32-(('CN FD A'!N32*'CN FD C'!N33)/'CN FD alpha'!N33)</f>
        <v>-120.87889931808702</v>
      </c>
      <c r="O32">
        <f>'CN FD B'!O32-(('CN FD A'!O32*'CN FD C'!O33)/'CN FD alpha'!O33)</f>
        <v>-120.87889931808702</v>
      </c>
      <c r="P32">
        <f>'CN FD B'!P32-(('CN FD A'!P32*'CN FD C'!P33)/'CN FD alpha'!P33)</f>
        <v>-120.87889931808702</v>
      </c>
      <c r="Q32">
        <f>'CN FD B'!Q32-(('CN FD A'!Q32*'CN FD C'!Q33)/'CN FD alpha'!Q33)</f>
        <v>-120.87889931808702</v>
      </c>
      <c r="R32">
        <f>'CN FD B'!R32-(('CN FD A'!R32*'CN FD C'!R33)/'CN FD alpha'!R33)</f>
        <v>-120.87889931808702</v>
      </c>
      <c r="S32">
        <f>'CN FD B'!S32-(('CN FD A'!S32*'CN FD C'!S33)/'CN FD alpha'!S33)</f>
        <v>-120.87889931808702</v>
      </c>
      <c r="T32">
        <f>'CN FD B'!T32-(('CN FD A'!T32*'CN FD C'!T33)/'CN FD alpha'!T33)</f>
        <v>-120.87889931808702</v>
      </c>
      <c r="U32">
        <f>'CN FD B'!U32-(('CN FD A'!U32*'CN FD C'!U33)/'CN FD alpha'!U33)</f>
        <v>-120.87889931808702</v>
      </c>
      <c r="V32">
        <f>'CN FD B'!V32-(('CN FD A'!V32*'CN FD C'!V33)/'CN FD alpha'!V33)</f>
        <v>-120.87889931808702</v>
      </c>
      <c r="W32">
        <f>'CN FD B'!W32-(('CN FD A'!W32*'CN FD C'!W33)/'CN FD alpha'!W33)</f>
        <v>-120.87889931808702</v>
      </c>
      <c r="X32">
        <f>'CN FD B'!X32-(('CN FD A'!X32*'CN FD C'!X33)/'CN FD alpha'!X33)</f>
        <v>-120.87889931808702</v>
      </c>
      <c r="Y32">
        <f>'CN FD B'!Y32-(('CN FD A'!Y32*'CN FD C'!Y33)/'CN FD alpha'!Y33)</f>
        <v>-120.87889931808702</v>
      </c>
      <c r="Z32">
        <f>'CN FD B'!Z32-(('CN FD A'!Z32*'CN FD C'!Z33)/'CN FD alpha'!Z33)</f>
        <v>-120.87889931808702</v>
      </c>
      <c r="AA32">
        <f>'CN FD B'!AA32-(('CN FD A'!AA32*'CN FD C'!AA33)/'CN FD alpha'!AA33)</f>
        <v>-120.87889931808702</v>
      </c>
      <c r="AB32">
        <f>'CN FD B'!AB32-(('CN FD A'!AB32*'CN FD C'!AB33)/'CN FD alpha'!AB33)</f>
        <v>-120.87889931808702</v>
      </c>
      <c r="AC32">
        <f>'CN FD B'!AC32-(('CN FD A'!AC32*'CN FD C'!AC33)/'CN FD alpha'!AC33)</f>
        <v>-120.87889931808702</v>
      </c>
      <c r="AD32">
        <f>'CN FD B'!AD32-(('CN FD A'!AD32*'CN FD C'!AD33)/'CN FD alpha'!AD33)</f>
        <v>-120.87889931808702</v>
      </c>
      <c r="AE32">
        <f>'CN FD B'!AE32-(('CN FD A'!AE32*'CN FD C'!AE33)/'CN FD alpha'!AE33)</f>
        <v>-120.87889931808702</v>
      </c>
      <c r="AF32">
        <f>'CN FD B'!AF32-(('CN FD A'!AF32*'CN FD C'!AF33)/'CN FD alpha'!AF33)</f>
        <v>-120.87889931808702</v>
      </c>
      <c r="AG32">
        <f>'CN FD B'!AG32-(('CN FD A'!AG32*'CN FD C'!AG33)/'CN FD alpha'!AG33)</f>
        <v>-120.87889931808702</v>
      </c>
      <c r="AH32">
        <f>'CN FD B'!AH32-(('CN FD A'!AH32*'CN FD C'!AH33)/'CN FD alpha'!AH33)</f>
        <v>-120.87889931808702</v>
      </c>
      <c r="AI32">
        <f>'CN FD B'!AI32-(('CN FD A'!AI32*'CN FD C'!AI33)/'CN FD alpha'!AI33)</f>
        <v>-120.87889931808702</v>
      </c>
      <c r="AJ32">
        <f>'CN FD B'!AJ32-(('CN FD A'!AJ32*'CN FD C'!AJ33)/'CN FD alpha'!AJ33)</f>
        <v>-120.87889931808702</v>
      </c>
      <c r="AK32">
        <f>'CN FD B'!AK32-(('CN FD A'!AK32*'CN FD C'!AK33)/'CN FD alpha'!AK33)</f>
        <v>-120.87889931808702</v>
      </c>
      <c r="AL32">
        <f>'CN FD B'!AL32-(('CN FD A'!AL32*'CN FD C'!AL33)/'CN FD alpha'!AL33)</f>
        <v>-120.87889931808702</v>
      </c>
      <c r="AM32">
        <f>'CN FD B'!AM32-(('CN FD A'!AM32*'CN FD C'!AM33)/'CN FD alpha'!AM33)</f>
        <v>-120.87889931808702</v>
      </c>
      <c r="AN32">
        <f>'CN FD B'!AN32-(('CN FD A'!AN32*'CN FD C'!AN33)/'CN FD alpha'!AN33)</f>
        <v>-120.87889931808702</v>
      </c>
      <c r="AO32">
        <f>'CN FD B'!AO32-(('CN FD A'!AO32*'CN FD C'!AO33)/'CN FD alpha'!AO33)</f>
        <v>-120.87889931808702</v>
      </c>
      <c r="AP32">
        <f>'CN FD B'!AP32-(('CN FD A'!AP32*'CN FD C'!AP33)/'CN FD alpha'!AP33)</f>
        <v>-120.87889931808702</v>
      </c>
      <c r="AQ32">
        <f>'CN FD B'!AQ32-(('CN FD A'!AQ32*'CN FD C'!AQ33)/'CN FD alpha'!AQ33)</f>
        <v>-120.87889931808702</v>
      </c>
      <c r="AR32">
        <f>'CN FD B'!AR32-(('CN FD A'!AR32*'CN FD C'!AR33)/'CN FD alpha'!AR33)</f>
        <v>-120.87889931808702</v>
      </c>
      <c r="AS32">
        <f>'CN FD B'!AS32-(('CN FD A'!AS32*'CN FD C'!AS33)/'CN FD alpha'!AS33)</f>
        <v>-120.87889931808702</v>
      </c>
      <c r="AT32">
        <f>'CN FD B'!AT32-(('CN FD A'!AT32*'CN FD C'!AT33)/'CN FD alpha'!AT33)</f>
        <v>-120.87889931808702</v>
      </c>
      <c r="AU32">
        <f>'CN FD B'!AU32-(('CN FD A'!AU32*'CN FD C'!AU33)/'CN FD alpha'!AU33)</f>
        <v>-120.87889931808702</v>
      </c>
      <c r="AV32">
        <f>'CN FD B'!AV32-(('CN FD A'!AV32*'CN FD C'!AV33)/'CN FD alpha'!AV33)</f>
        <v>-120.87889931808702</v>
      </c>
      <c r="AW32">
        <f>'CN FD B'!AW32-(('CN FD A'!AW32*'CN FD C'!AW33)/'CN FD alpha'!AW33)</f>
        <v>-120.87889931808702</v>
      </c>
      <c r="AX32">
        <f>'CN FD B'!AX32-(('CN FD A'!AX32*'CN FD C'!AX33)/'CN FD alpha'!AX33)</f>
        <v>-120.87889931808702</v>
      </c>
      <c r="AY32">
        <f>'CN FD B'!AY32-(('CN FD A'!AY32*'CN FD C'!AY33)/'CN FD alpha'!AY33)</f>
        <v>-120.87889931808702</v>
      </c>
      <c r="AZ32">
        <f>'CN FD B'!AZ32-(('CN FD A'!AZ32*'CN FD C'!AZ33)/'CN FD alpha'!AZ33)</f>
        <v>-120.87889931808702</v>
      </c>
      <c r="BA32" s="6"/>
    </row>
    <row r="33" spans="1:53" x14ac:dyDescent="0.2">
      <c r="A33">
        <f t="shared" si="1"/>
        <v>32</v>
      </c>
      <c r="B33" s="3">
        <f t="shared" si="0"/>
        <v>64</v>
      </c>
      <c r="C33">
        <f>'CN FD B'!C33-(('CN FD A'!C33*'CN FD C'!C34)/'CN FD alpha'!C34)</f>
        <v>-119.68029039679642</v>
      </c>
      <c r="D33">
        <f>'CN FD B'!D33-(('CN FD A'!D33*'CN FD C'!D34)/'CN FD alpha'!D34)</f>
        <v>-119.68029039679642</v>
      </c>
      <c r="E33">
        <f>'CN FD B'!E33-(('CN FD A'!E33*'CN FD C'!E34)/'CN FD alpha'!E34)</f>
        <v>-119.68029039679642</v>
      </c>
      <c r="F33">
        <f>'CN FD B'!F33-(('CN FD A'!F33*'CN FD C'!F34)/'CN FD alpha'!F34)</f>
        <v>-119.68029039679642</v>
      </c>
      <c r="G33">
        <f>'CN FD B'!G33-(('CN FD A'!G33*'CN FD C'!G34)/'CN FD alpha'!G34)</f>
        <v>-119.68029039679642</v>
      </c>
      <c r="H33">
        <f>'CN FD B'!H33-(('CN FD A'!H33*'CN FD C'!H34)/'CN FD alpha'!H34)</f>
        <v>-119.68029039679642</v>
      </c>
      <c r="I33">
        <f>'CN FD B'!I33-(('CN FD A'!I33*'CN FD C'!I34)/'CN FD alpha'!I34)</f>
        <v>-119.68029039679642</v>
      </c>
      <c r="J33">
        <f>'CN FD B'!J33-(('CN FD A'!J33*'CN FD C'!J34)/'CN FD alpha'!J34)</f>
        <v>-119.68029039679642</v>
      </c>
      <c r="K33">
        <f>'CN FD B'!K33-(('CN FD A'!K33*'CN FD C'!K34)/'CN FD alpha'!K34)</f>
        <v>-119.68029039679642</v>
      </c>
      <c r="L33">
        <f>'CN FD B'!L33-(('CN FD A'!L33*'CN FD C'!L34)/'CN FD alpha'!L34)</f>
        <v>-119.68029039679642</v>
      </c>
      <c r="M33">
        <f>'CN FD B'!M33-(('CN FD A'!M33*'CN FD C'!M34)/'CN FD alpha'!M34)</f>
        <v>-119.68029039679642</v>
      </c>
      <c r="N33">
        <f>'CN FD B'!N33-(('CN FD A'!N33*'CN FD C'!N34)/'CN FD alpha'!N34)</f>
        <v>-119.68029039679642</v>
      </c>
      <c r="O33">
        <f>'CN FD B'!O33-(('CN FD A'!O33*'CN FD C'!O34)/'CN FD alpha'!O34)</f>
        <v>-119.68029039679642</v>
      </c>
      <c r="P33">
        <f>'CN FD B'!P33-(('CN FD A'!P33*'CN FD C'!P34)/'CN FD alpha'!P34)</f>
        <v>-119.68029039679642</v>
      </c>
      <c r="Q33">
        <f>'CN FD B'!Q33-(('CN FD A'!Q33*'CN FD C'!Q34)/'CN FD alpha'!Q34)</f>
        <v>-119.68029039679642</v>
      </c>
      <c r="R33">
        <f>'CN FD B'!R33-(('CN FD A'!R33*'CN FD C'!R34)/'CN FD alpha'!R34)</f>
        <v>-119.68029039679642</v>
      </c>
      <c r="S33">
        <f>'CN FD B'!S33-(('CN FD A'!S33*'CN FD C'!S34)/'CN FD alpha'!S34)</f>
        <v>-119.68029039679642</v>
      </c>
      <c r="T33">
        <f>'CN FD B'!T33-(('CN FD A'!T33*'CN FD C'!T34)/'CN FD alpha'!T34)</f>
        <v>-119.68029039679642</v>
      </c>
      <c r="U33">
        <f>'CN FD B'!U33-(('CN FD A'!U33*'CN FD C'!U34)/'CN FD alpha'!U34)</f>
        <v>-119.68029039679642</v>
      </c>
      <c r="V33">
        <f>'CN FD B'!V33-(('CN FD A'!V33*'CN FD C'!V34)/'CN FD alpha'!V34)</f>
        <v>-119.68029039679642</v>
      </c>
      <c r="W33">
        <f>'CN FD B'!W33-(('CN FD A'!W33*'CN FD C'!W34)/'CN FD alpha'!W34)</f>
        <v>-119.68029039679642</v>
      </c>
      <c r="X33">
        <f>'CN FD B'!X33-(('CN FD A'!X33*'CN FD C'!X34)/'CN FD alpha'!X34)</f>
        <v>-119.68029039679642</v>
      </c>
      <c r="Y33">
        <f>'CN FD B'!Y33-(('CN FD A'!Y33*'CN FD C'!Y34)/'CN FD alpha'!Y34)</f>
        <v>-119.68029039679642</v>
      </c>
      <c r="Z33">
        <f>'CN FD B'!Z33-(('CN FD A'!Z33*'CN FD C'!Z34)/'CN FD alpha'!Z34)</f>
        <v>-119.68029039679642</v>
      </c>
      <c r="AA33">
        <f>'CN FD B'!AA33-(('CN FD A'!AA33*'CN FD C'!AA34)/'CN FD alpha'!AA34)</f>
        <v>-119.68029039679642</v>
      </c>
      <c r="AB33">
        <f>'CN FD B'!AB33-(('CN FD A'!AB33*'CN FD C'!AB34)/'CN FD alpha'!AB34)</f>
        <v>-119.68029039679642</v>
      </c>
      <c r="AC33">
        <f>'CN FD B'!AC33-(('CN FD A'!AC33*'CN FD C'!AC34)/'CN FD alpha'!AC34)</f>
        <v>-119.68029039679642</v>
      </c>
      <c r="AD33">
        <f>'CN FD B'!AD33-(('CN FD A'!AD33*'CN FD C'!AD34)/'CN FD alpha'!AD34)</f>
        <v>-119.68029039679642</v>
      </c>
      <c r="AE33">
        <f>'CN FD B'!AE33-(('CN FD A'!AE33*'CN FD C'!AE34)/'CN FD alpha'!AE34)</f>
        <v>-119.68029039679642</v>
      </c>
      <c r="AF33">
        <f>'CN FD B'!AF33-(('CN FD A'!AF33*'CN FD C'!AF34)/'CN FD alpha'!AF34)</f>
        <v>-119.68029039679642</v>
      </c>
      <c r="AG33">
        <f>'CN FD B'!AG33-(('CN FD A'!AG33*'CN FD C'!AG34)/'CN FD alpha'!AG34)</f>
        <v>-119.68029039679642</v>
      </c>
      <c r="AH33">
        <f>'CN FD B'!AH33-(('CN FD A'!AH33*'CN FD C'!AH34)/'CN FD alpha'!AH34)</f>
        <v>-119.68029039679642</v>
      </c>
      <c r="AI33">
        <f>'CN FD B'!AI33-(('CN FD A'!AI33*'CN FD C'!AI34)/'CN FD alpha'!AI34)</f>
        <v>-119.68029039679642</v>
      </c>
      <c r="AJ33">
        <f>'CN FD B'!AJ33-(('CN FD A'!AJ33*'CN FD C'!AJ34)/'CN FD alpha'!AJ34)</f>
        <v>-119.68029039679642</v>
      </c>
      <c r="AK33">
        <f>'CN FD B'!AK33-(('CN FD A'!AK33*'CN FD C'!AK34)/'CN FD alpha'!AK34)</f>
        <v>-119.68029039679642</v>
      </c>
      <c r="AL33">
        <f>'CN FD B'!AL33-(('CN FD A'!AL33*'CN FD C'!AL34)/'CN FD alpha'!AL34)</f>
        <v>-119.68029039679642</v>
      </c>
      <c r="AM33">
        <f>'CN FD B'!AM33-(('CN FD A'!AM33*'CN FD C'!AM34)/'CN FD alpha'!AM34)</f>
        <v>-119.68029039679642</v>
      </c>
      <c r="AN33">
        <f>'CN FD B'!AN33-(('CN FD A'!AN33*'CN FD C'!AN34)/'CN FD alpha'!AN34)</f>
        <v>-119.68029039679642</v>
      </c>
      <c r="AO33">
        <f>'CN FD B'!AO33-(('CN FD A'!AO33*'CN FD C'!AO34)/'CN FD alpha'!AO34)</f>
        <v>-119.68029039679642</v>
      </c>
      <c r="AP33">
        <f>'CN FD B'!AP33-(('CN FD A'!AP33*'CN FD C'!AP34)/'CN FD alpha'!AP34)</f>
        <v>-119.68029039679642</v>
      </c>
      <c r="AQ33">
        <f>'CN FD B'!AQ33-(('CN FD A'!AQ33*'CN FD C'!AQ34)/'CN FD alpha'!AQ34)</f>
        <v>-119.68029039679642</v>
      </c>
      <c r="AR33">
        <f>'CN FD B'!AR33-(('CN FD A'!AR33*'CN FD C'!AR34)/'CN FD alpha'!AR34)</f>
        <v>-119.68029039679642</v>
      </c>
      <c r="AS33">
        <f>'CN FD B'!AS33-(('CN FD A'!AS33*'CN FD C'!AS34)/'CN FD alpha'!AS34)</f>
        <v>-119.68029039679642</v>
      </c>
      <c r="AT33">
        <f>'CN FD B'!AT33-(('CN FD A'!AT33*'CN FD C'!AT34)/'CN FD alpha'!AT34)</f>
        <v>-119.68029039679642</v>
      </c>
      <c r="AU33">
        <f>'CN FD B'!AU33-(('CN FD A'!AU33*'CN FD C'!AU34)/'CN FD alpha'!AU34)</f>
        <v>-119.68029039679642</v>
      </c>
      <c r="AV33">
        <f>'CN FD B'!AV33-(('CN FD A'!AV33*'CN FD C'!AV34)/'CN FD alpha'!AV34)</f>
        <v>-119.68029039679642</v>
      </c>
      <c r="AW33">
        <f>'CN FD B'!AW33-(('CN FD A'!AW33*'CN FD C'!AW34)/'CN FD alpha'!AW34)</f>
        <v>-119.68029039679642</v>
      </c>
      <c r="AX33">
        <f>'CN FD B'!AX33-(('CN FD A'!AX33*'CN FD C'!AX34)/'CN FD alpha'!AX34)</f>
        <v>-119.68029039679642</v>
      </c>
      <c r="AY33">
        <f>'CN FD B'!AY33-(('CN FD A'!AY33*'CN FD C'!AY34)/'CN FD alpha'!AY34)</f>
        <v>-119.68029039679642</v>
      </c>
      <c r="AZ33">
        <f>'CN FD B'!AZ33-(('CN FD A'!AZ33*'CN FD C'!AZ34)/'CN FD alpha'!AZ34)</f>
        <v>-119.68029039679642</v>
      </c>
      <c r="BA33" s="6"/>
    </row>
    <row r="34" spans="1:53" x14ac:dyDescent="0.2">
      <c r="A34">
        <f t="shared" si="1"/>
        <v>31</v>
      </c>
      <c r="B34" s="3">
        <f t="shared" si="0"/>
        <v>62</v>
      </c>
      <c r="C34">
        <f>'CN FD B'!C34-(('CN FD A'!C34*'CN FD C'!C35)/'CN FD alpha'!C35)</f>
        <v>-118.51375423441191</v>
      </c>
      <c r="D34">
        <f>'CN FD B'!D34-(('CN FD A'!D34*'CN FD C'!D35)/'CN FD alpha'!D35)</f>
        <v>-118.51375423441191</v>
      </c>
      <c r="E34">
        <f>'CN FD B'!E34-(('CN FD A'!E34*'CN FD C'!E35)/'CN FD alpha'!E35)</f>
        <v>-118.51375423441191</v>
      </c>
      <c r="F34">
        <f>'CN FD B'!F34-(('CN FD A'!F34*'CN FD C'!F35)/'CN FD alpha'!F35)</f>
        <v>-118.51375423441191</v>
      </c>
      <c r="G34">
        <f>'CN FD B'!G34-(('CN FD A'!G34*'CN FD C'!G35)/'CN FD alpha'!G35)</f>
        <v>-118.51375423441191</v>
      </c>
      <c r="H34">
        <f>'CN FD B'!H34-(('CN FD A'!H34*'CN FD C'!H35)/'CN FD alpha'!H35)</f>
        <v>-118.51375423441191</v>
      </c>
      <c r="I34">
        <f>'CN FD B'!I34-(('CN FD A'!I34*'CN FD C'!I35)/'CN FD alpha'!I35)</f>
        <v>-118.51375423441191</v>
      </c>
      <c r="J34">
        <f>'CN FD B'!J34-(('CN FD A'!J34*'CN FD C'!J35)/'CN FD alpha'!J35)</f>
        <v>-118.51375423441191</v>
      </c>
      <c r="K34">
        <f>'CN FD B'!K34-(('CN FD A'!K34*'CN FD C'!K35)/'CN FD alpha'!K35)</f>
        <v>-118.51375423441191</v>
      </c>
      <c r="L34">
        <f>'CN FD B'!L34-(('CN FD A'!L34*'CN FD C'!L35)/'CN FD alpha'!L35)</f>
        <v>-118.51375423441191</v>
      </c>
      <c r="M34">
        <f>'CN FD B'!M34-(('CN FD A'!M34*'CN FD C'!M35)/'CN FD alpha'!M35)</f>
        <v>-118.51375423441191</v>
      </c>
      <c r="N34">
        <f>'CN FD B'!N34-(('CN FD A'!N34*'CN FD C'!N35)/'CN FD alpha'!N35)</f>
        <v>-118.51375423441191</v>
      </c>
      <c r="O34">
        <f>'CN FD B'!O34-(('CN FD A'!O34*'CN FD C'!O35)/'CN FD alpha'!O35)</f>
        <v>-118.51375423441191</v>
      </c>
      <c r="P34">
        <f>'CN FD B'!P34-(('CN FD A'!P34*'CN FD C'!P35)/'CN FD alpha'!P35)</f>
        <v>-118.51375423441191</v>
      </c>
      <c r="Q34">
        <f>'CN FD B'!Q34-(('CN FD A'!Q34*'CN FD C'!Q35)/'CN FD alpha'!Q35)</f>
        <v>-118.51375423441191</v>
      </c>
      <c r="R34">
        <f>'CN FD B'!R34-(('CN FD A'!R34*'CN FD C'!R35)/'CN FD alpha'!R35)</f>
        <v>-118.51375423441191</v>
      </c>
      <c r="S34">
        <f>'CN FD B'!S34-(('CN FD A'!S34*'CN FD C'!S35)/'CN FD alpha'!S35)</f>
        <v>-118.51375423441191</v>
      </c>
      <c r="T34">
        <f>'CN FD B'!T34-(('CN FD A'!T34*'CN FD C'!T35)/'CN FD alpha'!T35)</f>
        <v>-118.51375423441191</v>
      </c>
      <c r="U34">
        <f>'CN FD B'!U34-(('CN FD A'!U34*'CN FD C'!U35)/'CN FD alpha'!U35)</f>
        <v>-118.51375423441191</v>
      </c>
      <c r="V34">
        <f>'CN FD B'!V34-(('CN FD A'!V34*'CN FD C'!V35)/'CN FD alpha'!V35)</f>
        <v>-118.51375423441191</v>
      </c>
      <c r="W34">
        <f>'CN FD B'!W34-(('CN FD A'!W34*'CN FD C'!W35)/'CN FD alpha'!W35)</f>
        <v>-118.51375423441191</v>
      </c>
      <c r="X34">
        <f>'CN FD B'!X34-(('CN FD A'!X34*'CN FD C'!X35)/'CN FD alpha'!X35)</f>
        <v>-118.51375423441191</v>
      </c>
      <c r="Y34">
        <f>'CN FD B'!Y34-(('CN FD A'!Y34*'CN FD C'!Y35)/'CN FD alpha'!Y35)</f>
        <v>-118.51375423441191</v>
      </c>
      <c r="Z34">
        <f>'CN FD B'!Z34-(('CN FD A'!Z34*'CN FD C'!Z35)/'CN FD alpha'!Z35)</f>
        <v>-118.51375423441191</v>
      </c>
      <c r="AA34">
        <f>'CN FD B'!AA34-(('CN FD A'!AA34*'CN FD C'!AA35)/'CN FD alpha'!AA35)</f>
        <v>-118.51375423441191</v>
      </c>
      <c r="AB34">
        <f>'CN FD B'!AB34-(('CN FD A'!AB34*'CN FD C'!AB35)/'CN FD alpha'!AB35)</f>
        <v>-118.51375423441191</v>
      </c>
      <c r="AC34">
        <f>'CN FD B'!AC34-(('CN FD A'!AC34*'CN FD C'!AC35)/'CN FD alpha'!AC35)</f>
        <v>-118.51375423441191</v>
      </c>
      <c r="AD34">
        <f>'CN FD B'!AD34-(('CN FD A'!AD34*'CN FD C'!AD35)/'CN FD alpha'!AD35)</f>
        <v>-118.51375423441191</v>
      </c>
      <c r="AE34">
        <f>'CN FD B'!AE34-(('CN FD A'!AE34*'CN FD C'!AE35)/'CN FD alpha'!AE35)</f>
        <v>-118.51375423441191</v>
      </c>
      <c r="AF34">
        <f>'CN FD B'!AF34-(('CN FD A'!AF34*'CN FD C'!AF35)/'CN FD alpha'!AF35)</f>
        <v>-118.51375423441191</v>
      </c>
      <c r="AG34">
        <f>'CN FD B'!AG34-(('CN FD A'!AG34*'CN FD C'!AG35)/'CN FD alpha'!AG35)</f>
        <v>-118.51375423441191</v>
      </c>
      <c r="AH34">
        <f>'CN FD B'!AH34-(('CN FD A'!AH34*'CN FD C'!AH35)/'CN FD alpha'!AH35)</f>
        <v>-118.51375423441191</v>
      </c>
      <c r="AI34">
        <f>'CN FD B'!AI34-(('CN FD A'!AI34*'CN FD C'!AI35)/'CN FD alpha'!AI35)</f>
        <v>-118.51375423441191</v>
      </c>
      <c r="AJ34">
        <f>'CN FD B'!AJ34-(('CN FD A'!AJ34*'CN FD C'!AJ35)/'CN FD alpha'!AJ35)</f>
        <v>-118.51375423441191</v>
      </c>
      <c r="AK34">
        <f>'CN FD B'!AK34-(('CN FD A'!AK34*'CN FD C'!AK35)/'CN FD alpha'!AK35)</f>
        <v>-118.51375423441191</v>
      </c>
      <c r="AL34">
        <f>'CN FD B'!AL34-(('CN FD A'!AL34*'CN FD C'!AL35)/'CN FD alpha'!AL35)</f>
        <v>-118.51375423441191</v>
      </c>
      <c r="AM34">
        <f>'CN FD B'!AM34-(('CN FD A'!AM34*'CN FD C'!AM35)/'CN FD alpha'!AM35)</f>
        <v>-118.51375423441191</v>
      </c>
      <c r="AN34">
        <f>'CN FD B'!AN34-(('CN FD A'!AN34*'CN FD C'!AN35)/'CN FD alpha'!AN35)</f>
        <v>-118.51375423441191</v>
      </c>
      <c r="AO34">
        <f>'CN FD B'!AO34-(('CN FD A'!AO34*'CN FD C'!AO35)/'CN FD alpha'!AO35)</f>
        <v>-118.51375423441191</v>
      </c>
      <c r="AP34">
        <f>'CN FD B'!AP34-(('CN FD A'!AP34*'CN FD C'!AP35)/'CN FD alpha'!AP35)</f>
        <v>-118.51375423441191</v>
      </c>
      <c r="AQ34">
        <f>'CN FD B'!AQ34-(('CN FD A'!AQ34*'CN FD C'!AQ35)/'CN FD alpha'!AQ35)</f>
        <v>-118.51375423441191</v>
      </c>
      <c r="AR34">
        <f>'CN FD B'!AR34-(('CN FD A'!AR34*'CN FD C'!AR35)/'CN FD alpha'!AR35)</f>
        <v>-118.51375423441191</v>
      </c>
      <c r="AS34">
        <f>'CN FD B'!AS34-(('CN FD A'!AS34*'CN FD C'!AS35)/'CN FD alpha'!AS35)</f>
        <v>-118.51375423441191</v>
      </c>
      <c r="AT34">
        <f>'CN FD B'!AT34-(('CN FD A'!AT34*'CN FD C'!AT35)/'CN FD alpha'!AT35)</f>
        <v>-118.51375423441191</v>
      </c>
      <c r="AU34">
        <f>'CN FD B'!AU34-(('CN FD A'!AU34*'CN FD C'!AU35)/'CN FD alpha'!AU35)</f>
        <v>-118.51375423441191</v>
      </c>
      <c r="AV34">
        <f>'CN FD B'!AV34-(('CN FD A'!AV34*'CN FD C'!AV35)/'CN FD alpha'!AV35)</f>
        <v>-118.51375423441191</v>
      </c>
      <c r="AW34">
        <f>'CN FD B'!AW34-(('CN FD A'!AW34*'CN FD C'!AW35)/'CN FD alpha'!AW35)</f>
        <v>-118.51375423441191</v>
      </c>
      <c r="AX34">
        <f>'CN FD B'!AX34-(('CN FD A'!AX34*'CN FD C'!AX35)/'CN FD alpha'!AX35)</f>
        <v>-118.51375423441191</v>
      </c>
      <c r="AY34">
        <f>'CN FD B'!AY34-(('CN FD A'!AY34*'CN FD C'!AY35)/'CN FD alpha'!AY35)</f>
        <v>-118.51375423441191</v>
      </c>
      <c r="AZ34">
        <f>'CN FD B'!AZ34-(('CN FD A'!AZ34*'CN FD C'!AZ35)/'CN FD alpha'!AZ35)</f>
        <v>-118.51375423441191</v>
      </c>
      <c r="BA34" s="6"/>
    </row>
    <row r="35" spans="1:53" x14ac:dyDescent="0.2">
      <c r="A35">
        <f t="shared" si="1"/>
        <v>30</v>
      </c>
      <c r="B35" s="3">
        <f t="shared" si="0"/>
        <v>60</v>
      </c>
      <c r="C35">
        <f>'CN FD B'!C35-(('CN FD A'!C35*'CN FD C'!C36)/'CN FD alpha'!C36)</f>
        <v>-117.37962245659948</v>
      </c>
      <c r="D35">
        <f>'CN FD B'!D35-(('CN FD A'!D35*'CN FD C'!D36)/'CN FD alpha'!D36)</f>
        <v>-117.37962245659948</v>
      </c>
      <c r="E35">
        <f>'CN FD B'!E35-(('CN FD A'!E35*'CN FD C'!E36)/'CN FD alpha'!E36)</f>
        <v>-117.37962245659948</v>
      </c>
      <c r="F35">
        <f>'CN FD B'!F35-(('CN FD A'!F35*'CN FD C'!F36)/'CN FD alpha'!F36)</f>
        <v>-117.37962245659948</v>
      </c>
      <c r="G35">
        <f>'CN FD B'!G35-(('CN FD A'!G35*'CN FD C'!G36)/'CN FD alpha'!G36)</f>
        <v>-117.37962245659948</v>
      </c>
      <c r="H35">
        <f>'CN FD B'!H35-(('CN FD A'!H35*'CN FD C'!H36)/'CN FD alpha'!H36)</f>
        <v>-117.37962245659948</v>
      </c>
      <c r="I35">
        <f>'CN FD B'!I35-(('CN FD A'!I35*'CN FD C'!I36)/'CN FD alpha'!I36)</f>
        <v>-117.37962245659948</v>
      </c>
      <c r="J35">
        <f>'CN FD B'!J35-(('CN FD A'!J35*'CN FD C'!J36)/'CN FD alpha'!J36)</f>
        <v>-117.37962245659948</v>
      </c>
      <c r="K35">
        <f>'CN FD B'!K35-(('CN FD A'!K35*'CN FD C'!K36)/'CN FD alpha'!K36)</f>
        <v>-117.37962245659948</v>
      </c>
      <c r="L35">
        <f>'CN FD B'!L35-(('CN FD A'!L35*'CN FD C'!L36)/'CN FD alpha'!L36)</f>
        <v>-117.37962245659948</v>
      </c>
      <c r="M35">
        <f>'CN FD B'!M35-(('CN FD A'!M35*'CN FD C'!M36)/'CN FD alpha'!M36)</f>
        <v>-117.37962245659948</v>
      </c>
      <c r="N35">
        <f>'CN FD B'!N35-(('CN FD A'!N35*'CN FD C'!N36)/'CN FD alpha'!N36)</f>
        <v>-117.37962245659948</v>
      </c>
      <c r="O35">
        <f>'CN FD B'!O35-(('CN FD A'!O35*'CN FD C'!O36)/'CN FD alpha'!O36)</f>
        <v>-117.37962245659948</v>
      </c>
      <c r="P35">
        <f>'CN FD B'!P35-(('CN FD A'!P35*'CN FD C'!P36)/'CN FD alpha'!P36)</f>
        <v>-117.37962245659948</v>
      </c>
      <c r="Q35">
        <f>'CN FD B'!Q35-(('CN FD A'!Q35*'CN FD C'!Q36)/'CN FD alpha'!Q36)</f>
        <v>-117.37962245659948</v>
      </c>
      <c r="R35">
        <f>'CN FD B'!R35-(('CN FD A'!R35*'CN FD C'!R36)/'CN FD alpha'!R36)</f>
        <v>-117.37962245659948</v>
      </c>
      <c r="S35">
        <f>'CN FD B'!S35-(('CN FD A'!S35*'CN FD C'!S36)/'CN FD alpha'!S36)</f>
        <v>-117.37962245659948</v>
      </c>
      <c r="T35">
        <f>'CN FD B'!T35-(('CN FD A'!T35*'CN FD C'!T36)/'CN FD alpha'!T36)</f>
        <v>-117.37962245659948</v>
      </c>
      <c r="U35">
        <f>'CN FD B'!U35-(('CN FD A'!U35*'CN FD C'!U36)/'CN FD alpha'!U36)</f>
        <v>-117.37962245659948</v>
      </c>
      <c r="V35">
        <f>'CN FD B'!V35-(('CN FD A'!V35*'CN FD C'!V36)/'CN FD alpha'!V36)</f>
        <v>-117.37962245659948</v>
      </c>
      <c r="W35">
        <f>'CN FD B'!W35-(('CN FD A'!W35*'CN FD C'!W36)/'CN FD alpha'!W36)</f>
        <v>-117.37962245659948</v>
      </c>
      <c r="X35">
        <f>'CN FD B'!X35-(('CN FD A'!X35*'CN FD C'!X36)/'CN FD alpha'!X36)</f>
        <v>-117.37962245659948</v>
      </c>
      <c r="Y35">
        <f>'CN FD B'!Y35-(('CN FD A'!Y35*'CN FD C'!Y36)/'CN FD alpha'!Y36)</f>
        <v>-117.37962245659948</v>
      </c>
      <c r="Z35">
        <f>'CN FD B'!Z35-(('CN FD A'!Z35*'CN FD C'!Z36)/'CN FD alpha'!Z36)</f>
        <v>-117.37962245659948</v>
      </c>
      <c r="AA35">
        <f>'CN FD B'!AA35-(('CN FD A'!AA35*'CN FD C'!AA36)/'CN FD alpha'!AA36)</f>
        <v>-117.37962245659948</v>
      </c>
      <c r="AB35">
        <f>'CN FD B'!AB35-(('CN FD A'!AB35*'CN FD C'!AB36)/'CN FD alpha'!AB36)</f>
        <v>-117.37962245659948</v>
      </c>
      <c r="AC35">
        <f>'CN FD B'!AC35-(('CN FD A'!AC35*'CN FD C'!AC36)/'CN FD alpha'!AC36)</f>
        <v>-117.37962245659948</v>
      </c>
      <c r="AD35">
        <f>'CN FD B'!AD35-(('CN FD A'!AD35*'CN FD C'!AD36)/'CN FD alpha'!AD36)</f>
        <v>-117.37962245659948</v>
      </c>
      <c r="AE35">
        <f>'CN FD B'!AE35-(('CN FD A'!AE35*'CN FD C'!AE36)/'CN FD alpha'!AE36)</f>
        <v>-117.37962245659948</v>
      </c>
      <c r="AF35">
        <f>'CN FD B'!AF35-(('CN FD A'!AF35*'CN FD C'!AF36)/'CN FD alpha'!AF36)</f>
        <v>-117.37962245659948</v>
      </c>
      <c r="AG35">
        <f>'CN FD B'!AG35-(('CN FD A'!AG35*'CN FD C'!AG36)/'CN FD alpha'!AG36)</f>
        <v>-117.37962245659948</v>
      </c>
      <c r="AH35">
        <f>'CN FD B'!AH35-(('CN FD A'!AH35*'CN FD C'!AH36)/'CN FD alpha'!AH36)</f>
        <v>-117.37962245659948</v>
      </c>
      <c r="AI35">
        <f>'CN FD B'!AI35-(('CN FD A'!AI35*'CN FD C'!AI36)/'CN FD alpha'!AI36)</f>
        <v>-117.37962245659948</v>
      </c>
      <c r="AJ35">
        <f>'CN FD B'!AJ35-(('CN FD A'!AJ35*'CN FD C'!AJ36)/'CN FD alpha'!AJ36)</f>
        <v>-117.37962245659948</v>
      </c>
      <c r="AK35">
        <f>'CN FD B'!AK35-(('CN FD A'!AK35*'CN FD C'!AK36)/'CN FD alpha'!AK36)</f>
        <v>-117.37962245659948</v>
      </c>
      <c r="AL35">
        <f>'CN FD B'!AL35-(('CN FD A'!AL35*'CN FD C'!AL36)/'CN FD alpha'!AL36)</f>
        <v>-117.37962245659948</v>
      </c>
      <c r="AM35">
        <f>'CN FD B'!AM35-(('CN FD A'!AM35*'CN FD C'!AM36)/'CN FD alpha'!AM36)</f>
        <v>-117.37962245659948</v>
      </c>
      <c r="AN35">
        <f>'CN FD B'!AN35-(('CN FD A'!AN35*'CN FD C'!AN36)/'CN FD alpha'!AN36)</f>
        <v>-117.37962245659948</v>
      </c>
      <c r="AO35">
        <f>'CN FD B'!AO35-(('CN FD A'!AO35*'CN FD C'!AO36)/'CN FD alpha'!AO36)</f>
        <v>-117.37962245659948</v>
      </c>
      <c r="AP35">
        <f>'CN FD B'!AP35-(('CN FD A'!AP35*'CN FD C'!AP36)/'CN FD alpha'!AP36)</f>
        <v>-117.37962245659948</v>
      </c>
      <c r="AQ35">
        <f>'CN FD B'!AQ35-(('CN FD A'!AQ35*'CN FD C'!AQ36)/'CN FD alpha'!AQ36)</f>
        <v>-117.37962245659948</v>
      </c>
      <c r="AR35">
        <f>'CN FD B'!AR35-(('CN FD A'!AR35*'CN FD C'!AR36)/'CN FD alpha'!AR36)</f>
        <v>-117.37962245659948</v>
      </c>
      <c r="AS35">
        <f>'CN FD B'!AS35-(('CN FD A'!AS35*'CN FD C'!AS36)/'CN FD alpha'!AS36)</f>
        <v>-117.37962245659948</v>
      </c>
      <c r="AT35">
        <f>'CN FD B'!AT35-(('CN FD A'!AT35*'CN FD C'!AT36)/'CN FD alpha'!AT36)</f>
        <v>-117.37962245659948</v>
      </c>
      <c r="AU35">
        <f>'CN FD B'!AU35-(('CN FD A'!AU35*'CN FD C'!AU36)/'CN FD alpha'!AU36)</f>
        <v>-117.37962245659948</v>
      </c>
      <c r="AV35">
        <f>'CN FD B'!AV35-(('CN FD A'!AV35*'CN FD C'!AV36)/'CN FD alpha'!AV36)</f>
        <v>-117.37962245659948</v>
      </c>
      <c r="AW35">
        <f>'CN FD B'!AW35-(('CN FD A'!AW35*'CN FD C'!AW36)/'CN FD alpha'!AW36)</f>
        <v>-117.37962245659948</v>
      </c>
      <c r="AX35">
        <f>'CN FD B'!AX35-(('CN FD A'!AX35*'CN FD C'!AX36)/'CN FD alpha'!AX36)</f>
        <v>-117.37962245659948</v>
      </c>
      <c r="AY35">
        <f>'CN FD B'!AY35-(('CN FD A'!AY35*'CN FD C'!AY36)/'CN FD alpha'!AY36)</f>
        <v>-117.37962245659948</v>
      </c>
      <c r="AZ35">
        <f>'CN FD B'!AZ35-(('CN FD A'!AZ35*'CN FD C'!AZ36)/'CN FD alpha'!AZ36)</f>
        <v>-117.37962245659948</v>
      </c>
      <c r="BA35" s="6"/>
    </row>
    <row r="36" spans="1:53" x14ac:dyDescent="0.2">
      <c r="A36">
        <f t="shared" si="1"/>
        <v>29</v>
      </c>
      <c r="B36" s="3">
        <f t="shared" si="0"/>
        <v>58</v>
      </c>
      <c r="C36">
        <f>'CN FD B'!C36-(('CN FD A'!C36*'CN FD C'!C37)/'CN FD alpha'!C37)</f>
        <v>-116.27823064829826</v>
      </c>
      <c r="D36">
        <f>'CN FD B'!D36-(('CN FD A'!D36*'CN FD C'!D37)/'CN FD alpha'!D37)</f>
        <v>-116.27823064829826</v>
      </c>
      <c r="E36">
        <f>'CN FD B'!E36-(('CN FD A'!E36*'CN FD C'!E37)/'CN FD alpha'!E37)</f>
        <v>-116.27823064829826</v>
      </c>
      <c r="F36">
        <f>'CN FD B'!F36-(('CN FD A'!F36*'CN FD C'!F37)/'CN FD alpha'!F37)</f>
        <v>-116.27823064829826</v>
      </c>
      <c r="G36">
        <f>'CN FD B'!G36-(('CN FD A'!G36*'CN FD C'!G37)/'CN FD alpha'!G37)</f>
        <v>-116.27823064829826</v>
      </c>
      <c r="H36">
        <f>'CN FD B'!H36-(('CN FD A'!H36*'CN FD C'!H37)/'CN FD alpha'!H37)</f>
        <v>-116.27823064829826</v>
      </c>
      <c r="I36">
        <f>'CN FD B'!I36-(('CN FD A'!I36*'CN FD C'!I37)/'CN FD alpha'!I37)</f>
        <v>-116.27823064829826</v>
      </c>
      <c r="J36">
        <f>'CN FD B'!J36-(('CN FD A'!J36*'CN FD C'!J37)/'CN FD alpha'!J37)</f>
        <v>-116.27823064829826</v>
      </c>
      <c r="K36">
        <f>'CN FD B'!K36-(('CN FD A'!K36*'CN FD C'!K37)/'CN FD alpha'!K37)</f>
        <v>-116.27823064829826</v>
      </c>
      <c r="L36">
        <f>'CN FD B'!L36-(('CN FD A'!L36*'CN FD C'!L37)/'CN FD alpha'!L37)</f>
        <v>-116.27823064829826</v>
      </c>
      <c r="M36">
        <f>'CN FD B'!M36-(('CN FD A'!M36*'CN FD C'!M37)/'CN FD alpha'!M37)</f>
        <v>-116.27823064829826</v>
      </c>
      <c r="N36">
        <f>'CN FD B'!N36-(('CN FD A'!N36*'CN FD C'!N37)/'CN FD alpha'!N37)</f>
        <v>-116.27823064829826</v>
      </c>
      <c r="O36">
        <f>'CN FD B'!O36-(('CN FD A'!O36*'CN FD C'!O37)/'CN FD alpha'!O37)</f>
        <v>-116.27823064829826</v>
      </c>
      <c r="P36">
        <f>'CN FD B'!P36-(('CN FD A'!P36*'CN FD C'!P37)/'CN FD alpha'!P37)</f>
        <v>-116.27823064829826</v>
      </c>
      <c r="Q36">
        <f>'CN FD B'!Q36-(('CN FD A'!Q36*'CN FD C'!Q37)/'CN FD alpha'!Q37)</f>
        <v>-116.27823064829826</v>
      </c>
      <c r="R36">
        <f>'CN FD B'!R36-(('CN FD A'!R36*'CN FD C'!R37)/'CN FD alpha'!R37)</f>
        <v>-116.27823064829826</v>
      </c>
      <c r="S36">
        <f>'CN FD B'!S36-(('CN FD A'!S36*'CN FD C'!S37)/'CN FD alpha'!S37)</f>
        <v>-116.27823064829826</v>
      </c>
      <c r="T36">
        <f>'CN FD B'!T36-(('CN FD A'!T36*'CN FD C'!T37)/'CN FD alpha'!T37)</f>
        <v>-116.27823064829826</v>
      </c>
      <c r="U36">
        <f>'CN FD B'!U36-(('CN FD A'!U36*'CN FD C'!U37)/'CN FD alpha'!U37)</f>
        <v>-116.27823064829826</v>
      </c>
      <c r="V36">
        <f>'CN FD B'!V36-(('CN FD A'!V36*'CN FD C'!V37)/'CN FD alpha'!V37)</f>
        <v>-116.27823064829826</v>
      </c>
      <c r="W36">
        <f>'CN FD B'!W36-(('CN FD A'!W36*'CN FD C'!W37)/'CN FD alpha'!W37)</f>
        <v>-116.27823064829826</v>
      </c>
      <c r="X36">
        <f>'CN FD B'!X36-(('CN FD A'!X36*'CN FD C'!X37)/'CN FD alpha'!X37)</f>
        <v>-116.27823064829826</v>
      </c>
      <c r="Y36">
        <f>'CN FD B'!Y36-(('CN FD A'!Y36*'CN FD C'!Y37)/'CN FD alpha'!Y37)</f>
        <v>-116.27823064829826</v>
      </c>
      <c r="Z36">
        <f>'CN FD B'!Z36-(('CN FD A'!Z36*'CN FD C'!Z37)/'CN FD alpha'!Z37)</f>
        <v>-116.27823064829826</v>
      </c>
      <c r="AA36">
        <f>'CN FD B'!AA36-(('CN FD A'!AA36*'CN FD C'!AA37)/'CN FD alpha'!AA37)</f>
        <v>-116.27823064829826</v>
      </c>
      <c r="AB36">
        <f>'CN FD B'!AB36-(('CN FD A'!AB36*'CN FD C'!AB37)/'CN FD alpha'!AB37)</f>
        <v>-116.27823064829826</v>
      </c>
      <c r="AC36">
        <f>'CN FD B'!AC36-(('CN FD A'!AC36*'CN FD C'!AC37)/'CN FD alpha'!AC37)</f>
        <v>-116.27823064829826</v>
      </c>
      <c r="AD36">
        <f>'CN FD B'!AD36-(('CN FD A'!AD36*'CN FD C'!AD37)/'CN FD alpha'!AD37)</f>
        <v>-116.27823064829826</v>
      </c>
      <c r="AE36">
        <f>'CN FD B'!AE36-(('CN FD A'!AE36*'CN FD C'!AE37)/'CN FD alpha'!AE37)</f>
        <v>-116.27823064829826</v>
      </c>
      <c r="AF36">
        <f>'CN FD B'!AF36-(('CN FD A'!AF36*'CN FD C'!AF37)/'CN FD alpha'!AF37)</f>
        <v>-116.27823064829826</v>
      </c>
      <c r="AG36">
        <f>'CN FD B'!AG36-(('CN FD A'!AG36*'CN FD C'!AG37)/'CN FD alpha'!AG37)</f>
        <v>-116.27823064829826</v>
      </c>
      <c r="AH36">
        <f>'CN FD B'!AH36-(('CN FD A'!AH36*'CN FD C'!AH37)/'CN FD alpha'!AH37)</f>
        <v>-116.27823064829826</v>
      </c>
      <c r="AI36">
        <f>'CN FD B'!AI36-(('CN FD A'!AI36*'CN FD C'!AI37)/'CN FD alpha'!AI37)</f>
        <v>-116.27823064829826</v>
      </c>
      <c r="AJ36">
        <f>'CN FD B'!AJ36-(('CN FD A'!AJ36*'CN FD C'!AJ37)/'CN FD alpha'!AJ37)</f>
        <v>-116.27823064829826</v>
      </c>
      <c r="AK36">
        <f>'CN FD B'!AK36-(('CN FD A'!AK36*'CN FD C'!AK37)/'CN FD alpha'!AK37)</f>
        <v>-116.27823064829826</v>
      </c>
      <c r="AL36">
        <f>'CN FD B'!AL36-(('CN FD A'!AL36*'CN FD C'!AL37)/'CN FD alpha'!AL37)</f>
        <v>-116.27823064829826</v>
      </c>
      <c r="AM36">
        <f>'CN FD B'!AM36-(('CN FD A'!AM36*'CN FD C'!AM37)/'CN FD alpha'!AM37)</f>
        <v>-116.27823064829826</v>
      </c>
      <c r="AN36">
        <f>'CN FD B'!AN36-(('CN FD A'!AN36*'CN FD C'!AN37)/'CN FD alpha'!AN37)</f>
        <v>-116.27823064829826</v>
      </c>
      <c r="AO36">
        <f>'CN FD B'!AO36-(('CN FD A'!AO36*'CN FD C'!AO37)/'CN FD alpha'!AO37)</f>
        <v>-116.27823064829826</v>
      </c>
      <c r="AP36">
        <f>'CN FD B'!AP36-(('CN FD A'!AP36*'CN FD C'!AP37)/'CN FD alpha'!AP37)</f>
        <v>-116.27823064829826</v>
      </c>
      <c r="AQ36">
        <f>'CN FD B'!AQ36-(('CN FD A'!AQ36*'CN FD C'!AQ37)/'CN FD alpha'!AQ37)</f>
        <v>-116.27823064829826</v>
      </c>
      <c r="AR36">
        <f>'CN FD B'!AR36-(('CN FD A'!AR36*'CN FD C'!AR37)/'CN FD alpha'!AR37)</f>
        <v>-116.27823064829826</v>
      </c>
      <c r="AS36">
        <f>'CN FD B'!AS36-(('CN FD A'!AS36*'CN FD C'!AS37)/'CN FD alpha'!AS37)</f>
        <v>-116.27823064829826</v>
      </c>
      <c r="AT36">
        <f>'CN FD B'!AT36-(('CN FD A'!AT36*'CN FD C'!AT37)/'CN FD alpha'!AT37)</f>
        <v>-116.27823064829826</v>
      </c>
      <c r="AU36">
        <f>'CN FD B'!AU36-(('CN FD A'!AU36*'CN FD C'!AU37)/'CN FD alpha'!AU37)</f>
        <v>-116.27823064829826</v>
      </c>
      <c r="AV36">
        <f>'CN FD B'!AV36-(('CN FD A'!AV36*'CN FD C'!AV37)/'CN FD alpha'!AV37)</f>
        <v>-116.27823064829826</v>
      </c>
      <c r="AW36">
        <f>'CN FD B'!AW36-(('CN FD A'!AW36*'CN FD C'!AW37)/'CN FD alpha'!AW37)</f>
        <v>-116.27823064829826</v>
      </c>
      <c r="AX36">
        <f>'CN FD B'!AX36-(('CN FD A'!AX36*'CN FD C'!AX37)/'CN FD alpha'!AX37)</f>
        <v>-116.27823064829826</v>
      </c>
      <c r="AY36">
        <f>'CN FD B'!AY36-(('CN FD A'!AY36*'CN FD C'!AY37)/'CN FD alpha'!AY37)</f>
        <v>-116.27823064829826</v>
      </c>
      <c r="AZ36">
        <f>'CN FD B'!AZ36-(('CN FD A'!AZ36*'CN FD C'!AZ37)/'CN FD alpha'!AZ37)</f>
        <v>-116.27823064829826</v>
      </c>
      <c r="BA36" s="6"/>
    </row>
    <row r="37" spans="1:53" x14ac:dyDescent="0.2">
      <c r="A37">
        <f t="shared" si="1"/>
        <v>28</v>
      </c>
      <c r="B37" s="3">
        <f t="shared" si="0"/>
        <v>56</v>
      </c>
      <c r="C37">
        <f>'CN FD B'!C37-(('CN FD A'!C37*'CN FD C'!C38)/'CN FD alpha'!C38)</f>
        <v>-115.2099177823046</v>
      </c>
      <c r="D37">
        <f>'CN FD B'!D37-(('CN FD A'!D37*'CN FD C'!D38)/'CN FD alpha'!D38)</f>
        <v>-115.2099177823046</v>
      </c>
      <c r="E37">
        <f>'CN FD B'!E37-(('CN FD A'!E37*'CN FD C'!E38)/'CN FD alpha'!E38)</f>
        <v>-115.2099177823046</v>
      </c>
      <c r="F37">
        <f>'CN FD B'!F37-(('CN FD A'!F37*'CN FD C'!F38)/'CN FD alpha'!F38)</f>
        <v>-115.2099177823046</v>
      </c>
      <c r="G37">
        <f>'CN FD B'!G37-(('CN FD A'!G37*'CN FD C'!G38)/'CN FD alpha'!G38)</f>
        <v>-115.2099177823046</v>
      </c>
      <c r="H37">
        <f>'CN FD B'!H37-(('CN FD A'!H37*'CN FD C'!H38)/'CN FD alpha'!H38)</f>
        <v>-115.2099177823046</v>
      </c>
      <c r="I37">
        <f>'CN FD B'!I37-(('CN FD A'!I37*'CN FD C'!I38)/'CN FD alpha'!I38)</f>
        <v>-115.2099177823046</v>
      </c>
      <c r="J37">
        <f>'CN FD B'!J37-(('CN FD A'!J37*'CN FD C'!J38)/'CN FD alpha'!J38)</f>
        <v>-115.2099177823046</v>
      </c>
      <c r="K37">
        <f>'CN FD B'!K37-(('CN FD A'!K37*'CN FD C'!K38)/'CN FD alpha'!K38)</f>
        <v>-115.2099177823046</v>
      </c>
      <c r="L37">
        <f>'CN FD B'!L37-(('CN FD A'!L37*'CN FD C'!L38)/'CN FD alpha'!L38)</f>
        <v>-115.2099177823046</v>
      </c>
      <c r="M37">
        <f>'CN FD B'!M37-(('CN FD A'!M37*'CN FD C'!M38)/'CN FD alpha'!M38)</f>
        <v>-115.2099177823046</v>
      </c>
      <c r="N37">
        <f>'CN FD B'!N37-(('CN FD A'!N37*'CN FD C'!N38)/'CN FD alpha'!N38)</f>
        <v>-115.2099177823046</v>
      </c>
      <c r="O37">
        <f>'CN FD B'!O37-(('CN FD A'!O37*'CN FD C'!O38)/'CN FD alpha'!O38)</f>
        <v>-115.2099177823046</v>
      </c>
      <c r="P37">
        <f>'CN FD B'!P37-(('CN FD A'!P37*'CN FD C'!P38)/'CN FD alpha'!P38)</f>
        <v>-115.2099177823046</v>
      </c>
      <c r="Q37">
        <f>'CN FD B'!Q37-(('CN FD A'!Q37*'CN FD C'!Q38)/'CN FD alpha'!Q38)</f>
        <v>-115.2099177823046</v>
      </c>
      <c r="R37">
        <f>'CN FD B'!R37-(('CN FD A'!R37*'CN FD C'!R38)/'CN FD alpha'!R38)</f>
        <v>-115.2099177823046</v>
      </c>
      <c r="S37">
        <f>'CN FD B'!S37-(('CN FD A'!S37*'CN FD C'!S38)/'CN FD alpha'!S38)</f>
        <v>-115.2099177823046</v>
      </c>
      <c r="T37">
        <f>'CN FD B'!T37-(('CN FD A'!T37*'CN FD C'!T38)/'CN FD alpha'!T38)</f>
        <v>-115.2099177823046</v>
      </c>
      <c r="U37">
        <f>'CN FD B'!U37-(('CN FD A'!U37*'CN FD C'!U38)/'CN FD alpha'!U38)</f>
        <v>-115.2099177823046</v>
      </c>
      <c r="V37">
        <f>'CN FD B'!V37-(('CN FD A'!V37*'CN FD C'!V38)/'CN FD alpha'!V38)</f>
        <v>-115.2099177823046</v>
      </c>
      <c r="W37">
        <f>'CN FD B'!W37-(('CN FD A'!W37*'CN FD C'!W38)/'CN FD alpha'!W38)</f>
        <v>-115.2099177823046</v>
      </c>
      <c r="X37">
        <f>'CN FD B'!X37-(('CN FD A'!X37*'CN FD C'!X38)/'CN FD alpha'!X38)</f>
        <v>-115.2099177823046</v>
      </c>
      <c r="Y37">
        <f>'CN FD B'!Y37-(('CN FD A'!Y37*'CN FD C'!Y38)/'CN FD alpha'!Y38)</f>
        <v>-115.2099177823046</v>
      </c>
      <c r="Z37">
        <f>'CN FD B'!Z37-(('CN FD A'!Z37*'CN FD C'!Z38)/'CN FD alpha'!Z38)</f>
        <v>-115.2099177823046</v>
      </c>
      <c r="AA37">
        <f>'CN FD B'!AA37-(('CN FD A'!AA37*'CN FD C'!AA38)/'CN FD alpha'!AA38)</f>
        <v>-115.2099177823046</v>
      </c>
      <c r="AB37">
        <f>'CN FD B'!AB37-(('CN FD A'!AB37*'CN FD C'!AB38)/'CN FD alpha'!AB38)</f>
        <v>-115.2099177823046</v>
      </c>
      <c r="AC37">
        <f>'CN FD B'!AC37-(('CN FD A'!AC37*'CN FD C'!AC38)/'CN FD alpha'!AC38)</f>
        <v>-115.2099177823046</v>
      </c>
      <c r="AD37">
        <f>'CN FD B'!AD37-(('CN FD A'!AD37*'CN FD C'!AD38)/'CN FD alpha'!AD38)</f>
        <v>-115.2099177823046</v>
      </c>
      <c r="AE37">
        <f>'CN FD B'!AE37-(('CN FD A'!AE37*'CN FD C'!AE38)/'CN FD alpha'!AE38)</f>
        <v>-115.2099177823046</v>
      </c>
      <c r="AF37">
        <f>'CN FD B'!AF37-(('CN FD A'!AF37*'CN FD C'!AF38)/'CN FD alpha'!AF38)</f>
        <v>-115.2099177823046</v>
      </c>
      <c r="AG37">
        <f>'CN FD B'!AG37-(('CN FD A'!AG37*'CN FD C'!AG38)/'CN FD alpha'!AG38)</f>
        <v>-115.2099177823046</v>
      </c>
      <c r="AH37">
        <f>'CN FD B'!AH37-(('CN FD A'!AH37*'CN FD C'!AH38)/'CN FD alpha'!AH38)</f>
        <v>-115.2099177823046</v>
      </c>
      <c r="AI37">
        <f>'CN FD B'!AI37-(('CN FD A'!AI37*'CN FD C'!AI38)/'CN FD alpha'!AI38)</f>
        <v>-115.2099177823046</v>
      </c>
      <c r="AJ37">
        <f>'CN FD B'!AJ37-(('CN FD A'!AJ37*'CN FD C'!AJ38)/'CN FD alpha'!AJ38)</f>
        <v>-115.2099177823046</v>
      </c>
      <c r="AK37">
        <f>'CN FD B'!AK37-(('CN FD A'!AK37*'CN FD C'!AK38)/'CN FD alpha'!AK38)</f>
        <v>-115.2099177823046</v>
      </c>
      <c r="AL37">
        <f>'CN FD B'!AL37-(('CN FD A'!AL37*'CN FD C'!AL38)/'CN FD alpha'!AL38)</f>
        <v>-115.2099177823046</v>
      </c>
      <c r="AM37">
        <f>'CN FD B'!AM37-(('CN FD A'!AM37*'CN FD C'!AM38)/'CN FD alpha'!AM38)</f>
        <v>-115.2099177823046</v>
      </c>
      <c r="AN37">
        <f>'CN FD B'!AN37-(('CN FD A'!AN37*'CN FD C'!AN38)/'CN FD alpha'!AN38)</f>
        <v>-115.2099177823046</v>
      </c>
      <c r="AO37">
        <f>'CN FD B'!AO37-(('CN FD A'!AO37*'CN FD C'!AO38)/'CN FD alpha'!AO38)</f>
        <v>-115.2099177823046</v>
      </c>
      <c r="AP37">
        <f>'CN FD B'!AP37-(('CN FD A'!AP37*'CN FD C'!AP38)/'CN FD alpha'!AP38)</f>
        <v>-115.2099177823046</v>
      </c>
      <c r="AQ37">
        <f>'CN FD B'!AQ37-(('CN FD A'!AQ37*'CN FD C'!AQ38)/'CN FD alpha'!AQ38)</f>
        <v>-115.2099177823046</v>
      </c>
      <c r="AR37">
        <f>'CN FD B'!AR37-(('CN FD A'!AR37*'CN FD C'!AR38)/'CN FD alpha'!AR38)</f>
        <v>-115.2099177823046</v>
      </c>
      <c r="AS37">
        <f>'CN FD B'!AS37-(('CN FD A'!AS37*'CN FD C'!AS38)/'CN FD alpha'!AS38)</f>
        <v>-115.2099177823046</v>
      </c>
      <c r="AT37">
        <f>'CN FD B'!AT37-(('CN FD A'!AT37*'CN FD C'!AT38)/'CN FD alpha'!AT38)</f>
        <v>-115.2099177823046</v>
      </c>
      <c r="AU37">
        <f>'CN FD B'!AU37-(('CN FD A'!AU37*'CN FD C'!AU38)/'CN FD alpha'!AU38)</f>
        <v>-115.2099177823046</v>
      </c>
      <c r="AV37">
        <f>'CN FD B'!AV37-(('CN FD A'!AV37*'CN FD C'!AV38)/'CN FD alpha'!AV38)</f>
        <v>-115.2099177823046</v>
      </c>
      <c r="AW37">
        <f>'CN FD B'!AW37-(('CN FD A'!AW37*'CN FD C'!AW38)/'CN FD alpha'!AW38)</f>
        <v>-115.2099177823046</v>
      </c>
      <c r="AX37">
        <f>'CN FD B'!AX37-(('CN FD A'!AX37*'CN FD C'!AX38)/'CN FD alpha'!AX38)</f>
        <v>-115.2099177823046</v>
      </c>
      <c r="AY37">
        <f>'CN FD B'!AY37-(('CN FD A'!AY37*'CN FD C'!AY38)/'CN FD alpha'!AY38)</f>
        <v>-115.2099177823046</v>
      </c>
      <c r="AZ37">
        <f>'CN FD B'!AZ37-(('CN FD A'!AZ37*'CN FD C'!AZ38)/'CN FD alpha'!AZ38)</f>
        <v>-115.2099177823046</v>
      </c>
      <c r="BA37" s="6"/>
    </row>
    <row r="38" spans="1:53" x14ac:dyDescent="0.2">
      <c r="A38">
        <f t="shared" si="1"/>
        <v>27</v>
      </c>
      <c r="B38" s="3">
        <f t="shared" si="0"/>
        <v>54</v>
      </c>
      <c r="C38">
        <f>'CN FD B'!C38-(('CN FD A'!C38*'CN FD C'!C39)/'CN FD alpha'!C39)</f>
        <v>-114.17502558504779</v>
      </c>
      <c r="D38">
        <f>'CN FD B'!D38-(('CN FD A'!D38*'CN FD C'!D39)/'CN FD alpha'!D39)</f>
        <v>-114.17502558504779</v>
      </c>
      <c r="E38">
        <f>'CN FD B'!E38-(('CN FD A'!E38*'CN FD C'!E39)/'CN FD alpha'!E39)</f>
        <v>-114.17502558504779</v>
      </c>
      <c r="F38">
        <f>'CN FD B'!F38-(('CN FD A'!F38*'CN FD C'!F39)/'CN FD alpha'!F39)</f>
        <v>-114.17502558504779</v>
      </c>
      <c r="G38">
        <f>'CN FD B'!G38-(('CN FD A'!G38*'CN FD C'!G39)/'CN FD alpha'!G39)</f>
        <v>-114.17502558504779</v>
      </c>
      <c r="H38">
        <f>'CN FD B'!H38-(('CN FD A'!H38*'CN FD C'!H39)/'CN FD alpha'!H39)</f>
        <v>-114.17502558504779</v>
      </c>
      <c r="I38">
        <f>'CN FD B'!I38-(('CN FD A'!I38*'CN FD C'!I39)/'CN FD alpha'!I39)</f>
        <v>-114.17502558504779</v>
      </c>
      <c r="J38">
        <f>'CN FD B'!J38-(('CN FD A'!J38*'CN FD C'!J39)/'CN FD alpha'!J39)</f>
        <v>-114.17502558504779</v>
      </c>
      <c r="K38">
        <f>'CN FD B'!K38-(('CN FD A'!K38*'CN FD C'!K39)/'CN FD alpha'!K39)</f>
        <v>-114.17502558504779</v>
      </c>
      <c r="L38">
        <f>'CN FD B'!L38-(('CN FD A'!L38*'CN FD C'!L39)/'CN FD alpha'!L39)</f>
        <v>-114.17502558504779</v>
      </c>
      <c r="M38">
        <f>'CN FD B'!M38-(('CN FD A'!M38*'CN FD C'!M39)/'CN FD alpha'!M39)</f>
        <v>-114.17502558504779</v>
      </c>
      <c r="N38">
        <f>'CN FD B'!N38-(('CN FD A'!N38*'CN FD C'!N39)/'CN FD alpha'!N39)</f>
        <v>-114.17502558504779</v>
      </c>
      <c r="O38">
        <f>'CN FD B'!O38-(('CN FD A'!O38*'CN FD C'!O39)/'CN FD alpha'!O39)</f>
        <v>-114.17502558504779</v>
      </c>
      <c r="P38">
        <f>'CN FD B'!P38-(('CN FD A'!P38*'CN FD C'!P39)/'CN FD alpha'!P39)</f>
        <v>-114.17502558504779</v>
      </c>
      <c r="Q38">
        <f>'CN FD B'!Q38-(('CN FD A'!Q38*'CN FD C'!Q39)/'CN FD alpha'!Q39)</f>
        <v>-114.17502558504779</v>
      </c>
      <c r="R38">
        <f>'CN FD B'!R38-(('CN FD A'!R38*'CN FD C'!R39)/'CN FD alpha'!R39)</f>
        <v>-114.17502558504779</v>
      </c>
      <c r="S38">
        <f>'CN FD B'!S38-(('CN FD A'!S38*'CN FD C'!S39)/'CN FD alpha'!S39)</f>
        <v>-114.17502558504779</v>
      </c>
      <c r="T38">
        <f>'CN FD B'!T38-(('CN FD A'!T38*'CN FD C'!T39)/'CN FD alpha'!T39)</f>
        <v>-114.17502558504779</v>
      </c>
      <c r="U38">
        <f>'CN FD B'!U38-(('CN FD A'!U38*'CN FD C'!U39)/'CN FD alpha'!U39)</f>
        <v>-114.17502558504779</v>
      </c>
      <c r="V38">
        <f>'CN FD B'!V38-(('CN FD A'!V38*'CN FD C'!V39)/'CN FD alpha'!V39)</f>
        <v>-114.17502558504779</v>
      </c>
      <c r="W38">
        <f>'CN FD B'!W38-(('CN FD A'!W38*'CN FD C'!W39)/'CN FD alpha'!W39)</f>
        <v>-114.17502558504779</v>
      </c>
      <c r="X38">
        <f>'CN FD B'!X38-(('CN FD A'!X38*'CN FD C'!X39)/'CN FD alpha'!X39)</f>
        <v>-114.17502558504779</v>
      </c>
      <c r="Y38">
        <f>'CN FD B'!Y38-(('CN FD A'!Y38*'CN FD C'!Y39)/'CN FD alpha'!Y39)</f>
        <v>-114.17502558504779</v>
      </c>
      <c r="Z38">
        <f>'CN FD B'!Z38-(('CN FD A'!Z38*'CN FD C'!Z39)/'CN FD alpha'!Z39)</f>
        <v>-114.17502558504779</v>
      </c>
      <c r="AA38">
        <f>'CN FD B'!AA38-(('CN FD A'!AA38*'CN FD C'!AA39)/'CN FD alpha'!AA39)</f>
        <v>-114.17502558504779</v>
      </c>
      <c r="AB38">
        <f>'CN FD B'!AB38-(('CN FD A'!AB38*'CN FD C'!AB39)/'CN FD alpha'!AB39)</f>
        <v>-114.17502558504779</v>
      </c>
      <c r="AC38">
        <f>'CN FD B'!AC38-(('CN FD A'!AC38*'CN FD C'!AC39)/'CN FD alpha'!AC39)</f>
        <v>-114.17502558504779</v>
      </c>
      <c r="AD38">
        <f>'CN FD B'!AD38-(('CN FD A'!AD38*'CN FD C'!AD39)/'CN FD alpha'!AD39)</f>
        <v>-114.17502558504779</v>
      </c>
      <c r="AE38">
        <f>'CN FD B'!AE38-(('CN FD A'!AE38*'CN FD C'!AE39)/'CN FD alpha'!AE39)</f>
        <v>-114.17502558504779</v>
      </c>
      <c r="AF38">
        <f>'CN FD B'!AF38-(('CN FD A'!AF38*'CN FD C'!AF39)/'CN FD alpha'!AF39)</f>
        <v>-114.17502558504779</v>
      </c>
      <c r="AG38">
        <f>'CN FD B'!AG38-(('CN FD A'!AG38*'CN FD C'!AG39)/'CN FD alpha'!AG39)</f>
        <v>-114.17502558504779</v>
      </c>
      <c r="AH38">
        <f>'CN FD B'!AH38-(('CN FD A'!AH38*'CN FD C'!AH39)/'CN FD alpha'!AH39)</f>
        <v>-114.17502558504779</v>
      </c>
      <c r="AI38">
        <f>'CN FD B'!AI38-(('CN FD A'!AI38*'CN FD C'!AI39)/'CN FD alpha'!AI39)</f>
        <v>-114.17502558504779</v>
      </c>
      <c r="AJ38">
        <f>'CN FD B'!AJ38-(('CN FD A'!AJ38*'CN FD C'!AJ39)/'CN FD alpha'!AJ39)</f>
        <v>-114.17502558504779</v>
      </c>
      <c r="AK38">
        <f>'CN FD B'!AK38-(('CN FD A'!AK38*'CN FD C'!AK39)/'CN FD alpha'!AK39)</f>
        <v>-114.17502558504779</v>
      </c>
      <c r="AL38">
        <f>'CN FD B'!AL38-(('CN FD A'!AL38*'CN FD C'!AL39)/'CN FD alpha'!AL39)</f>
        <v>-114.17502558504779</v>
      </c>
      <c r="AM38">
        <f>'CN FD B'!AM38-(('CN FD A'!AM38*'CN FD C'!AM39)/'CN FD alpha'!AM39)</f>
        <v>-114.17502558504779</v>
      </c>
      <c r="AN38">
        <f>'CN FD B'!AN38-(('CN FD A'!AN38*'CN FD C'!AN39)/'CN FD alpha'!AN39)</f>
        <v>-114.17502558504779</v>
      </c>
      <c r="AO38">
        <f>'CN FD B'!AO38-(('CN FD A'!AO38*'CN FD C'!AO39)/'CN FD alpha'!AO39)</f>
        <v>-114.17502558504779</v>
      </c>
      <c r="AP38">
        <f>'CN FD B'!AP38-(('CN FD A'!AP38*'CN FD C'!AP39)/'CN FD alpha'!AP39)</f>
        <v>-114.17502558504779</v>
      </c>
      <c r="AQ38">
        <f>'CN FD B'!AQ38-(('CN FD A'!AQ38*'CN FD C'!AQ39)/'CN FD alpha'!AQ39)</f>
        <v>-114.17502558504779</v>
      </c>
      <c r="AR38">
        <f>'CN FD B'!AR38-(('CN FD A'!AR38*'CN FD C'!AR39)/'CN FD alpha'!AR39)</f>
        <v>-114.17502558504779</v>
      </c>
      <c r="AS38">
        <f>'CN FD B'!AS38-(('CN FD A'!AS38*'CN FD C'!AS39)/'CN FD alpha'!AS39)</f>
        <v>-114.17502558504779</v>
      </c>
      <c r="AT38">
        <f>'CN FD B'!AT38-(('CN FD A'!AT38*'CN FD C'!AT39)/'CN FD alpha'!AT39)</f>
        <v>-114.17502558504779</v>
      </c>
      <c r="AU38">
        <f>'CN FD B'!AU38-(('CN FD A'!AU38*'CN FD C'!AU39)/'CN FD alpha'!AU39)</f>
        <v>-114.17502558504779</v>
      </c>
      <c r="AV38">
        <f>'CN FD B'!AV38-(('CN FD A'!AV38*'CN FD C'!AV39)/'CN FD alpha'!AV39)</f>
        <v>-114.17502558504779</v>
      </c>
      <c r="AW38">
        <f>'CN FD B'!AW38-(('CN FD A'!AW38*'CN FD C'!AW39)/'CN FD alpha'!AW39)</f>
        <v>-114.17502558504779</v>
      </c>
      <c r="AX38">
        <f>'CN FD B'!AX38-(('CN FD A'!AX38*'CN FD C'!AX39)/'CN FD alpha'!AX39)</f>
        <v>-114.17502558504779</v>
      </c>
      <c r="AY38">
        <f>'CN FD B'!AY38-(('CN FD A'!AY38*'CN FD C'!AY39)/'CN FD alpha'!AY39)</f>
        <v>-114.17502558504779</v>
      </c>
      <c r="AZ38">
        <f>'CN FD B'!AZ38-(('CN FD A'!AZ38*'CN FD C'!AZ39)/'CN FD alpha'!AZ39)</f>
        <v>-114.17502558504779</v>
      </c>
      <c r="BA38" s="6"/>
    </row>
    <row r="39" spans="1:53" x14ac:dyDescent="0.2">
      <c r="A39">
        <f t="shared" si="1"/>
        <v>26</v>
      </c>
      <c r="B39" s="3">
        <f t="shared" si="0"/>
        <v>52</v>
      </c>
      <c r="C39">
        <f>'CN FD B'!C39-(('CN FD A'!C39*'CN FD C'!C40)/'CN FD alpha'!C40)</f>
        <v>-113.17389783812817</v>
      </c>
      <c r="D39">
        <f>'CN FD B'!D39-(('CN FD A'!D39*'CN FD C'!D40)/'CN FD alpha'!D40)</f>
        <v>-113.17389783812817</v>
      </c>
      <c r="E39">
        <f>'CN FD B'!E39-(('CN FD A'!E39*'CN FD C'!E40)/'CN FD alpha'!E40)</f>
        <v>-113.17389783812817</v>
      </c>
      <c r="F39">
        <f>'CN FD B'!F39-(('CN FD A'!F39*'CN FD C'!F40)/'CN FD alpha'!F40)</f>
        <v>-113.17389783812817</v>
      </c>
      <c r="G39">
        <f>'CN FD B'!G39-(('CN FD A'!G39*'CN FD C'!G40)/'CN FD alpha'!G40)</f>
        <v>-113.17389783812817</v>
      </c>
      <c r="H39">
        <f>'CN FD B'!H39-(('CN FD A'!H39*'CN FD C'!H40)/'CN FD alpha'!H40)</f>
        <v>-113.17389783812817</v>
      </c>
      <c r="I39">
        <f>'CN FD B'!I39-(('CN FD A'!I39*'CN FD C'!I40)/'CN FD alpha'!I40)</f>
        <v>-113.17389783812817</v>
      </c>
      <c r="J39">
        <f>'CN FD B'!J39-(('CN FD A'!J39*'CN FD C'!J40)/'CN FD alpha'!J40)</f>
        <v>-113.17389783812817</v>
      </c>
      <c r="K39">
        <f>'CN FD B'!K39-(('CN FD A'!K39*'CN FD C'!K40)/'CN FD alpha'!K40)</f>
        <v>-113.17389783812817</v>
      </c>
      <c r="L39">
        <f>'CN FD B'!L39-(('CN FD A'!L39*'CN FD C'!L40)/'CN FD alpha'!L40)</f>
        <v>-113.17389783812817</v>
      </c>
      <c r="M39">
        <f>'CN FD B'!M39-(('CN FD A'!M39*'CN FD C'!M40)/'CN FD alpha'!M40)</f>
        <v>-113.17389783812817</v>
      </c>
      <c r="N39">
        <f>'CN FD B'!N39-(('CN FD A'!N39*'CN FD C'!N40)/'CN FD alpha'!N40)</f>
        <v>-113.17389783812817</v>
      </c>
      <c r="O39">
        <f>'CN FD B'!O39-(('CN FD A'!O39*'CN FD C'!O40)/'CN FD alpha'!O40)</f>
        <v>-113.17389783812817</v>
      </c>
      <c r="P39">
        <f>'CN FD B'!P39-(('CN FD A'!P39*'CN FD C'!P40)/'CN FD alpha'!P40)</f>
        <v>-113.17389783812817</v>
      </c>
      <c r="Q39">
        <f>'CN FD B'!Q39-(('CN FD A'!Q39*'CN FD C'!Q40)/'CN FD alpha'!Q40)</f>
        <v>-113.17389783812817</v>
      </c>
      <c r="R39">
        <f>'CN FD B'!R39-(('CN FD A'!R39*'CN FD C'!R40)/'CN FD alpha'!R40)</f>
        <v>-113.17389783812817</v>
      </c>
      <c r="S39">
        <f>'CN FD B'!S39-(('CN FD A'!S39*'CN FD C'!S40)/'CN FD alpha'!S40)</f>
        <v>-113.17389783812817</v>
      </c>
      <c r="T39">
        <f>'CN FD B'!T39-(('CN FD A'!T39*'CN FD C'!T40)/'CN FD alpha'!T40)</f>
        <v>-113.17389783812817</v>
      </c>
      <c r="U39">
        <f>'CN FD B'!U39-(('CN FD A'!U39*'CN FD C'!U40)/'CN FD alpha'!U40)</f>
        <v>-113.17389783812817</v>
      </c>
      <c r="V39">
        <f>'CN FD B'!V39-(('CN FD A'!V39*'CN FD C'!V40)/'CN FD alpha'!V40)</f>
        <v>-113.17389783812817</v>
      </c>
      <c r="W39">
        <f>'CN FD B'!W39-(('CN FD A'!W39*'CN FD C'!W40)/'CN FD alpha'!W40)</f>
        <v>-113.17389783812817</v>
      </c>
      <c r="X39">
        <f>'CN FD B'!X39-(('CN FD A'!X39*'CN FD C'!X40)/'CN FD alpha'!X40)</f>
        <v>-113.17389783812817</v>
      </c>
      <c r="Y39">
        <f>'CN FD B'!Y39-(('CN FD A'!Y39*'CN FD C'!Y40)/'CN FD alpha'!Y40)</f>
        <v>-113.17389783812817</v>
      </c>
      <c r="Z39">
        <f>'CN FD B'!Z39-(('CN FD A'!Z39*'CN FD C'!Z40)/'CN FD alpha'!Z40)</f>
        <v>-113.17389783812817</v>
      </c>
      <c r="AA39">
        <f>'CN FD B'!AA39-(('CN FD A'!AA39*'CN FD C'!AA40)/'CN FD alpha'!AA40)</f>
        <v>-113.17389783812817</v>
      </c>
      <c r="AB39">
        <f>'CN FD B'!AB39-(('CN FD A'!AB39*'CN FD C'!AB40)/'CN FD alpha'!AB40)</f>
        <v>-113.17389783812817</v>
      </c>
      <c r="AC39">
        <f>'CN FD B'!AC39-(('CN FD A'!AC39*'CN FD C'!AC40)/'CN FD alpha'!AC40)</f>
        <v>-113.17389783812817</v>
      </c>
      <c r="AD39">
        <f>'CN FD B'!AD39-(('CN FD A'!AD39*'CN FD C'!AD40)/'CN FD alpha'!AD40)</f>
        <v>-113.17389783812817</v>
      </c>
      <c r="AE39">
        <f>'CN FD B'!AE39-(('CN FD A'!AE39*'CN FD C'!AE40)/'CN FD alpha'!AE40)</f>
        <v>-113.17389783812817</v>
      </c>
      <c r="AF39">
        <f>'CN FD B'!AF39-(('CN FD A'!AF39*'CN FD C'!AF40)/'CN FD alpha'!AF40)</f>
        <v>-113.17389783812817</v>
      </c>
      <c r="AG39">
        <f>'CN FD B'!AG39-(('CN FD A'!AG39*'CN FD C'!AG40)/'CN FD alpha'!AG40)</f>
        <v>-113.17389783812817</v>
      </c>
      <c r="AH39">
        <f>'CN FD B'!AH39-(('CN FD A'!AH39*'CN FD C'!AH40)/'CN FD alpha'!AH40)</f>
        <v>-113.17389783812817</v>
      </c>
      <c r="AI39">
        <f>'CN FD B'!AI39-(('CN FD A'!AI39*'CN FD C'!AI40)/'CN FD alpha'!AI40)</f>
        <v>-113.17389783812817</v>
      </c>
      <c r="AJ39">
        <f>'CN FD B'!AJ39-(('CN FD A'!AJ39*'CN FD C'!AJ40)/'CN FD alpha'!AJ40)</f>
        <v>-113.17389783812817</v>
      </c>
      <c r="AK39">
        <f>'CN FD B'!AK39-(('CN FD A'!AK39*'CN FD C'!AK40)/'CN FD alpha'!AK40)</f>
        <v>-113.17389783812817</v>
      </c>
      <c r="AL39">
        <f>'CN FD B'!AL39-(('CN FD A'!AL39*'CN FD C'!AL40)/'CN FD alpha'!AL40)</f>
        <v>-113.17389783812817</v>
      </c>
      <c r="AM39">
        <f>'CN FD B'!AM39-(('CN FD A'!AM39*'CN FD C'!AM40)/'CN FD alpha'!AM40)</f>
        <v>-113.17389783812817</v>
      </c>
      <c r="AN39">
        <f>'CN FD B'!AN39-(('CN FD A'!AN39*'CN FD C'!AN40)/'CN FD alpha'!AN40)</f>
        <v>-113.17389783812817</v>
      </c>
      <c r="AO39">
        <f>'CN FD B'!AO39-(('CN FD A'!AO39*'CN FD C'!AO40)/'CN FD alpha'!AO40)</f>
        <v>-113.17389783812817</v>
      </c>
      <c r="AP39">
        <f>'CN FD B'!AP39-(('CN FD A'!AP39*'CN FD C'!AP40)/'CN FD alpha'!AP40)</f>
        <v>-113.17389783812817</v>
      </c>
      <c r="AQ39">
        <f>'CN FD B'!AQ39-(('CN FD A'!AQ39*'CN FD C'!AQ40)/'CN FD alpha'!AQ40)</f>
        <v>-113.17389783812817</v>
      </c>
      <c r="AR39">
        <f>'CN FD B'!AR39-(('CN FD A'!AR39*'CN FD C'!AR40)/'CN FD alpha'!AR40)</f>
        <v>-113.17389783812817</v>
      </c>
      <c r="AS39">
        <f>'CN FD B'!AS39-(('CN FD A'!AS39*'CN FD C'!AS40)/'CN FD alpha'!AS40)</f>
        <v>-113.17389783812817</v>
      </c>
      <c r="AT39">
        <f>'CN FD B'!AT39-(('CN FD A'!AT39*'CN FD C'!AT40)/'CN FD alpha'!AT40)</f>
        <v>-113.17389783812817</v>
      </c>
      <c r="AU39">
        <f>'CN FD B'!AU39-(('CN FD A'!AU39*'CN FD C'!AU40)/'CN FD alpha'!AU40)</f>
        <v>-113.17389783812817</v>
      </c>
      <c r="AV39">
        <f>'CN FD B'!AV39-(('CN FD A'!AV39*'CN FD C'!AV40)/'CN FD alpha'!AV40)</f>
        <v>-113.17389783812817</v>
      </c>
      <c r="AW39">
        <f>'CN FD B'!AW39-(('CN FD A'!AW39*'CN FD C'!AW40)/'CN FD alpha'!AW40)</f>
        <v>-113.17389783812817</v>
      </c>
      <c r="AX39">
        <f>'CN FD B'!AX39-(('CN FD A'!AX39*'CN FD C'!AX40)/'CN FD alpha'!AX40)</f>
        <v>-113.17389783812817</v>
      </c>
      <c r="AY39">
        <f>'CN FD B'!AY39-(('CN FD A'!AY39*'CN FD C'!AY40)/'CN FD alpha'!AY40)</f>
        <v>-113.17389783812817</v>
      </c>
      <c r="AZ39">
        <f>'CN FD B'!AZ39-(('CN FD A'!AZ39*'CN FD C'!AZ40)/'CN FD alpha'!AZ40)</f>
        <v>-113.17389783812817</v>
      </c>
      <c r="BA39" s="6"/>
    </row>
    <row r="40" spans="1:53" x14ac:dyDescent="0.2">
      <c r="A40">
        <f t="shared" si="1"/>
        <v>25</v>
      </c>
      <c r="B40" s="3">
        <f t="shared" si="0"/>
        <v>50</v>
      </c>
      <c r="C40">
        <f>'CN FD B'!C40-(('CN FD A'!C40*'CN FD C'!C41)/'CN FD alpha'!C41)</f>
        <v>-112.20687961475022</v>
      </c>
      <c r="D40">
        <f>'CN FD B'!D40-(('CN FD A'!D40*'CN FD C'!D41)/'CN FD alpha'!D41)</f>
        <v>-112.20687961475022</v>
      </c>
      <c r="E40">
        <f>'CN FD B'!E40-(('CN FD A'!E40*'CN FD C'!E41)/'CN FD alpha'!E41)</f>
        <v>-112.20687961475022</v>
      </c>
      <c r="F40">
        <f>'CN FD B'!F40-(('CN FD A'!F40*'CN FD C'!F41)/'CN FD alpha'!F41)</f>
        <v>-112.20687961475022</v>
      </c>
      <c r="G40">
        <f>'CN FD B'!G40-(('CN FD A'!G40*'CN FD C'!G41)/'CN FD alpha'!G41)</f>
        <v>-112.20687961475022</v>
      </c>
      <c r="H40">
        <f>'CN FD B'!H40-(('CN FD A'!H40*'CN FD C'!H41)/'CN FD alpha'!H41)</f>
        <v>-112.20687961475022</v>
      </c>
      <c r="I40">
        <f>'CN FD B'!I40-(('CN FD A'!I40*'CN FD C'!I41)/'CN FD alpha'!I41)</f>
        <v>-112.20687961475022</v>
      </c>
      <c r="J40">
        <f>'CN FD B'!J40-(('CN FD A'!J40*'CN FD C'!J41)/'CN FD alpha'!J41)</f>
        <v>-112.20687961475022</v>
      </c>
      <c r="K40">
        <f>'CN FD B'!K40-(('CN FD A'!K40*'CN FD C'!K41)/'CN FD alpha'!K41)</f>
        <v>-112.20687961475022</v>
      </c>
      <c r="L40">
        <f>'CN FD B'!L40-(('CN FD A'!L40*'CN FD C'!L41)/'CN FD alpha'!L41)</f>
        <v>-112.20687961475022</v>
      </c>
      <c r="M40">
        <f>'CN FD B'!M40-(('CN FD A'!M40*'CN FD C'!M41)/'CN FD alpha'!M41)</f>
        <v>-112.20687961475022</v>
      </c>
      <c r="N40">
        <f>'CN FD B'!N40-(('CN FD A'!N40*'CN FD C'!N41)/'CN FD alpha'!N41)</f>
        <v>-112.20687961475022</v>
      </c>
      <c r="O40">
        <f>'CN FD B'!O40-(('CN FD A'!O40*'CN FD C'!O41)/'CN FD alpha'!O41)</f>
        <v>-112.20687961475022</v>
      </c>
      <c r="P40">
        <f>'CN FD B'!P40-(('CN FD A'!P40*'CN FD C'!P41)/'CN FD alpha'!P41)</f>
        <v>-112.20687961475022</v>
      </c>
      <c r="Q40">
        <f>'CN FD B'!Q40-(('CN FD A'!Q40*'CN FD C'!Q41)/'CN FD alpha'!Q41)</f>
        <v>-112.20687961475022</v>
      </c>
      <c r="R40">
        <f>'CN FD B'!R40-(('CN FD A'!R40*'CN FD C'!R41)/'CN FD alpha'!R41)</f>
        <v>-112.20687961475022</v>
      </c>
      <c r="S40">
        <f>'CN FD B'!S40-(('CN FD A'!S40*'CN FD C'!S41)/'CN FD alpha'!S41)</f>
        <v>-112.20687961475022</v>
      </c>
      <c r="T40">
        <f>'CN FD B'!T40-(('CN FD A'!T40*'CN FD C'!T41)/'CN FD alpha'!T41)</f>
        <v>-112.20687961475022</v>
      </c>
      <c r="U40">
        <f>'CN FD B'!U40-(('CN FD A'!U40*'CN FD C'!U41)/'CN FD alpha'!U41)</f>
        <v>-112.20687961475022</v>
      </c>
      <c r="V40">
        <f>'CN FD B'!V40-(('CN FD A'!V40*'CN FD C'!V41)/'CN FD alpha'!V41)</f>
        <v>-112.20687961475022</v>
      </c>
      <c r="W40">
        <f>'CN FD B'!W40-(('CN FD A'!W40*'CN FD C'!W41)/'CN FD alpha'!W41)</f>
        <v>-112.20687961475022</v>
      </c>
      <c r="X40">
        <f>'CN FD B'!X40-(('CN FD A'!X40*'CN FD C'!X41)/'CN FD alpha'!X41)</f>
        <v>-112.20687961475022</v>
      </c>
      <c r="Y40">
        <f>'CN FD B'!Y40-(('CN FD A'!Y40*'CN FD C'!Y41)/'CN FD alpha'!Y41)</f>
        <v>-112.20687961475022</v>
      </c>
      <c r="Z40">
        <f>'CN FD B'!Z40-(('CN FD A'!Z40*'CN FD C'!Z41)/'CN FD alpha'!Z41)</f>
        <v>-112.20687961475022</v>
      </c>
      <c r="AA40">
        <f>'CN FD B'!AA40-(('CN FD A'!AA40*'CN FD C'!AA41)/'CN FD alpha'!AA41)</f>
        <v>-112.20687961475022</v>
      </c>
      <c r="AB40">
        <f>'CN FD B'!AB40-(('CN FD A'!AB40*'CN FD C'!AB41)/'CN FD alpha'!AB41)</f>
        <v>-112.20687961475022</v>
      </c>
      <c r="AC40">
        <f>'CN FD B'!AC40-(('CN FD A'!AC40*'CN FD C'!AC41)/'CN FD alpha'!AC41)</f>
        <v>-112.20687961475022</v>
      </c>
      <c r="AD40">
        <f>'CN FD B'!AD40-(('CN FD A'!AD40*'CN FD C'!AD41)/'CN FD alpha'!AD41)</f>
        <v>-112.20687961475022</v>
      </c>
      <c r="AE40">
        <f>'CN FD B'!AE40-(('CN FD A'!AE40*'CN FD C'!AE41)/'CN FD alpha'!AE41)</f>
        <v>-112.20687961475022</v>
      </c>
      <c r="AF40">
        <f>'CN FD B'!AF40-(('CN FD A'!AF40*'CN FD C'!AF41)/'CN FD alpha'!AF41)</f>
        <v>-112.20687961475022</v>
      </c>
      <c r="AG40">
        <f>'CN FD B'!AG40-(('CN FD A'!AG40*'CN FD C'!AG41)/'CN FD alpha'!AG41)</f>
        <v>-112.20687961475022</v>
      </c>
      <c r="AH40">
        <f>'CN FD B'!AH40-(('CN FD A'!AH40*'CN FD C'!AH41)/'CN FD alpha'!AH41)</f>
        <v>-112.20687961475022</v>
      </c>
      <c r="AI40">
        <f>'CN FD B'!AI40-(('CN FD A'!AI40*'CN FD C'!AI41)/'CN FD alpha'!AI41)</f>
        <v>-112.20687961475022</v>
      </c>
      <c r="AJ40">
        <f>'CN FD B'!AJ40-(('CN FD A'!AJ40*'CN FD C'!AJ41)/'CN FD alpha'!AJ41)</f>
        <v>-112.20687961475022</v>
      </c>
      <c r="AK40">
        <f>'CN FD B'!AK40-(('CN FD A'!AK40*'CN FD C'!AK41)/'CN FD alpha'!AK41)</f>
        <v>-112.20687961475022</v>
      </c>
      <c r="AL40">
        <f>'CN FD B'!AL40-(('CN FD A'!AL40*'CN FD C'!AL41)/'CN FD alpha'!AL41)</f>
        <v>-112.20687961475022</v>
      </c>
      <c r="AM40">
        <f>'CN FD B'!AM40-(('CN FD A'!AM40*'CN FD C'!AM41)/'CN FD alpha'!AM41)</f>
        <v>-112.20687961475022</v>
      </c>
      <c r="AN40">
        <f>'CN FD B'!AN40-(('CN FD A'!AN40*'CN FD C'!AN41)/'CN FD alpha'!AN41)</f>
        <v>-112.20687961475022</v>
      </c>
      <c r="AO40">
        <f>'CN FD B'!AO40-(('CN FD A'!AO40*'CN FD C'!AO41)/'CN FD alpha'!AO41)</f>
        <v>-112.20687961475022</v>
      </c>
      <c r="AP40">
        <f>'CN FD B'!AP40-(('CN FD A'!AP40*'CN FD C'!AP41)/'CN FD alpha'!AP41)</f>
        <v>-112.20687961475022</v>
      </c>
      <c r="AQ40">
        <f>'CN FD B'!AQ40-(('CN FD A'!AQ40*'CN FD C'!AQ41)/'CN FD alpha'!AQ41)</f>
        <v>-112.20687961475022</v>
      </c>
      <c r="AR40">
        <f>'CN FD B'!AR40-(('CN FD A'!AR40*'CN FD C'!AR41)/'CN FD alpha'!AR41)</f>
        <v>-112.20687961475022</v>
      </c>
      <c r="AS40">
        <f>'CN FD B'!AS40-(('CN FD A'!AS40*'CN FD C'!AS41)/'CN FD alpha'!AS41)</f>
        <v>-112.20687961475022</v>
      </c>
      <c r="AT40">
        <f>'CN FD B'!AT40-(('CN FD A'!AT40*'CN FD C'!AT41)/'CN FD alpha'!AT41)</f>
        <v>-112.20687961475022</v>
      </c>
      <c r="AU40">
        <f>'CN FD B'!AU40-(('CN FD A'!AU40*'CN FD C'!AU41)/'CN FD alpha'!AU41)</f>
        <v>-112.20687961475022</v>
      </c>
      <c r="AV40">
        <f>'CN FD B'!AV40-(('CN FD A'!AV40*'CN FD C'!AV41)/'CN FD alpha'!AV41)</f>
        <v>-112.20687961475022</v>
      </c>
      <c r="AW40">
        <f>'CN FD B'!AW40-(('CN FD A'!AW40*'CN FD C'!AW41)/'CN FD alpha'!AW41)</f>
        <v>-112.20687961475022</v>
      </c>
      <c r="AX40">
        <f>'CN FD B'!AX40-(('CN FD A'!AX40*'CN FD C'!AX41)/'CN FD alpha'!AX41)</f>
        <v>-112.20687961475022</v>
      </c>
      <c r="AY40">
        <f>'CN FD B'!AY40-(('CN FD A'!AY40*'CN FD C'!AY41)/'CN FD alpha'!AY41)</f>
        <v>-112.20687961475022</v>
      </c>
      <c r="AZ40">
        <f>'CN FD B'!AZ40-(('CN FD A'!AZ40*'CN FD C'!AZ41)/'CN FD alpha'!AZ41)</f>
        <v>-112.20687961475022</v>
      </c>
      <c r="BA40" s="6"/>
    </row>
    <row r="41" spans="1:53" x14ac:dyDescent="0.2">
      <c r="A41">
        <f t="shared" si="1"/>
        <v>24</v>
      </c>
      <c r="B41" s="3">
        <f t="shared" si="0"/>
        <v>48</v>
      </c>
      <c r="C41">
        <f>'CN FD B'!C41-(('CN FD A'!C41*'CN FD C'!C42)/'CN FD alpha'!C42)</f>
        <v>-111.2743164508356</v>
      </c>
      <c r="D41">
        <f>'CN FD B'!D41-(('CN FD A'!D41*'CN FD C'!D42)/'CN FD alpha'!D42)</f>
        <v>-111.2743164508356</v>
      </c>
      <c r="E41">
        <f>'CN FD B'!E41-(('CN FD A'!E41*'CN FD C'!E42)/'CN FD alpha'!E42)</f>
        <v>-111.2743164508356</v>
      </c>
      <c r="F41">
        <f>'CN FD B'!F41-(('CN FD A'!F41*'CN FD C'!F42)/'CN FD alpha'!F42)</f>
        <v>-111.2743164508356</v>
      </c>
      <c r="G41">
        <f>'CN FD B'!G41-(('CN FD A'!G41*'CN FD C'!G42)/'CN FD alpha'!G42)</f>
        <v>-111.2743164508356</v>
      </c>
      <c r="H41">
        <f>'CN FD B'!H41-(('CN FD A'!H41*'CN FD C'!H42)/'CN FD alpha'!H42)</f>
        <v>-111.2743164508356</v>
      </c>
      <c r="I41">
        <f>'CN FD B'!I41-(('CN FD A'!I41*'CN FD C'!I42)/'CN FD alpha'!I42)</f>
        <v>-111.2743164508356</v>
      </c>
      <c r="J41">
        <f>'CN FD B'!J41-(('CN FD A'!J41*'CN FD C'!J42)/'CN FD alpha'!J42)</f>
        <v>-111.2743164508356</v>
      </c>
      <c r="K41">
        <f>'CN FD B'!K41-(('CN FD A'!K41*'CN FD C'!K42)/'CN FD alpha'!K42)</f>
        <v>-111.2743164508356</v>
      </c>
      <c r="L41">
        <f>'CN FD B'!L41-(('CN FD A'!L41*'CN FD C'!L42)/'CN FD alpha'!L42)</f>
        <v>-111.2743164508356</v>
      </c>
      <c r="M41">
        <f>'CN FD B'!M41-(('CN FD A'!M41*'CN FD C'!M42)/'CN FD alpha'!M42)</f>
        <v>-111.2743164508356</v>
      </c>
      <c r="N41">
        <f>'CN FD B'!N41-(('CN FD A'!N41*'CN FD C'!N42)/'CN FD alpha'!N42)</f>
        <v>-111.2743164508356</v>
      </c>
      <c r="O41">
        <f>'CN FD B'!O41-(('CN FD A'!O41*'CN FD C'!O42)/'CN FD alpha'!O42)</f>
        <v>-111.2743164508356</v>
      </c>
      <c r="P41">
        <f>'CN FD B'!P41-(('CN FD A'!P41*'CN FD C'!P42)/'CN FD alpha'!P42)</f>
        <v>-111.2743164508356</v>
      </c>
      <c r="Q41">
        <f>'CN FD B'!Q41-(('CN FD A'!Q41*'CN FD C'!Q42)/'CN FD alpha'!Q42)</f>
        <v>-111.2743164508356</v>
      </c>
      <c r="R41">
        <f>'CN FD B'!R41-(('CN FD A'!R41*'CN FD C'!R42)/'CN FD alpha'!R42)</f>
        <v>-111.2743164508356</v>
      </c>
      <c r="S41">
        <f>'CN FD B'!S41-(('CN FD A'!S41*'CN FD C'!S42)/'CN FD alpha'!S42)</f>
        <v>-111.2743164508356</v>
      </c>
      <c r="T41">
        <f>'CN FD B'!T41-(('CN FD A'!T41*'CN FD C'!T42)/'CN FD alpha'!T42)</f>
        <v>-111.2743164508356</v>
      </c>
      <c r="U41">
        <f>'CN FD B'!U41-(('CN FD A'!U41*'CN FD C'!U42)/'CN FD alpha'!U42)</f>
        <v>-111.2743164508356</v>
      </c>
      <c r="V41">
        <f>'CN FD B'!V41-(('CN FD A'!V41*'CN FD C'!V42)/'CN FD alpha'!V42)</f>
        <v>-111.2743164508356</v>
      </c>
      <c r="W41">
        <f>'CN FD B'!W41-(('CN FD A'!W41*'CN FD C'!W42)/'CN FD alpha'!W42)</f>
        <v>-111.2743164508356</v>
      </c>
      <c r="X41">
        <f>'CN FD B'!X41-(('CN FD A'!X41*'CN FD C'!X42)/'CN FD alpha'!X42)</f>
        <v>-111.2743164508356</v>
      </c>
      <c r="Y41">
        <f>'CN FD B'!Y41-(('CN FD A'!Y41*'CN FD C'!Y42)/'CN FD alpha'!Y42)</f>
        <v>-111.2743164508356</v>
      </c>
      <c r="Z41">
        <f>'CN FD B'!Z41-(('CN FD A'!Z41*'CN FD C'!Z42)/'CN FD alpha'!Z42)</f>
        <v>-111.2743164508356</v>
      </c>
      <c r="AA41">
        <f>'CN FD B'!AA41-(('CN FD A'!AA41*'CN FD C'!AA42)/'CN FD alpha'!AA42)</f>
        <v>-111.2743164508356</v>
      </c>
      <c r="AB41">
        <f>'CN FD B'!AB41-(('CN FD A'!AB41*'CN FD C'!AB42)/'CN FD alpha'!AB42)</f>
        <v>-111.2743164508356</v>
      </c>
      <c r="AC41">
        <f>'CN FD B'!AC41-(('CN FD A'!AC41*'CN FD C'!AC42)/'CN FD alpha'!AC42)</f>
        <v>-111.2743164508356</v>
      </c>
      <c r="AD41">
        <f>'CN FD B'!AD41-(('CN FD A'!AD41*'CN FD C'!AD42)/'CN FD alpha'!AD42)</f>
        <v>-111.2743164508356</v>
      </c>
      <c r="AE41">
        <f>'CN FD B'!AE41-(('CN FD A'!AE41*'CN FD C'!AE42)/'CN FD alpha'!AE42)</f>
        <v>-111.2743164508356</v>
      </c>
      <c r="AF41">
        <f>'CN FD B'!AF41-(('CN FD A'!AF41*'CN FD C'!AF42)/'CN FD alpha'!AF42)</f>
        <v>-111.2743164508356</v>
      </c>
      <c r="AG41">
        <f>'CN FD B'!AG41-(('CN FD A'!AG41*'CN FD C'!AG42)/'CN FD alpha'!AG42)</f>
        <v>-111.2743164508356</v>
      </c>
      <c r="AH41">
        <f>'CN FD B'!AH41-(('CN FD A'!AH41*'CN FD C'!AH42)/'CN FD alpha'!AH42)</f>
        <v>-111.2743164508356</v>
      </c>
      <c r="AI41">
        <f>'CN FD B'!AI41-(('CN FD A'!AI41*'CN FD C'!AI42)/'CN FD alpha'!AI42)</f>
        <v>-111.2743164508356</v>
      </c>
      <c r="AJ41">
        <f>'CN FD B'!AJ41-(('CN FD A'!AJ41*'CN FD C'!AJ42)/'CN FD alpha'!AJ42)</f>
        <v>-111.2743164508356</v>
      </c>
      <c r="AK41">
        <f>'CN FD B'!AK41-(('CN FD A'!AK41*'CN FD C'!AK42)/'CN FD alpha'!AK42)</f>
        <v>-111.2743164508356</v>
      </c>
      <c r="AL41">
        <f>'CN FD B'!AL41-(('CN FD A'!AL41*'CN FD C'!AL42)/'CN FD alpha'!AL42)</f>
        <v>-111.2743164508356</v>
      </c>
      <c r="AM41">
        <f>'CN FD B'!AM41-(('CN FD A'!AM41*'CN FD C'!AM42)/'CN FD alpha'!AM42)</f>
        <v>-111.2743164508356</v>
      </c>
      <c r="AN41">
        <f>'CN FD B'!AN41-(('CN FD A'!AN41*'CN FD C'!AN42)/'CN FD alpha'!AN42)</f>
        <v>-111.2743164508356</v>
      </c>
      <c r="AO41">
        <f>'CN FD B'!AO41-(('CN FD A'!AO41*'CN FD C'!AO42)/'CN FD alpha'!AO42)</f>
        <v>-111.2743164508356</v>
      </c>
      <c r="AP41">
        <f>'CN FD B'!AP41-(('CN FD A'!AP41*'CN FD C'!AP42)/'CN FD alpha'!AP42)</f>
        <v>-111.2743164508356</v>
      </c>
      <c r="AQ41">
        <f>'CN FD B'!AQ41-(('CN FD A'!AQ41*'CN FD C'!AQ42)/'CN FD alpha'!AQ42)</f>
        <v>-111.2743164508356</v>
      </c>
      <c r="AR41">
        <f>'CN FD B'!AR41-(('CN FD A'!AR41*'CN FD C'!AR42)/'CN FD alpha'!AR42)</f>
        <v>-111.2743164508356</v>
      </c>
      <c r="AS41">
        <f>'CN FD B'!AS41-(('CN FD A'!AS41*'CN FD C'!AS42)/'CN FD alpha'!AS42)</f>
        <v>-111.2743164508356</v>
      </c>
      <c r="AT41">
        <f>'CN FD B'!AT41-(('CN FD A'!AT41*'CN FD C'!AT42)/'CN FD alpha'!AT42)</f>
        <v>-111.2743164508356</v>
      </c>
      <c r="AU41">
        <f>'CN FD B'!AU41-(('CN FD A'!AU41*'CN FD C'!AU42)/'CN FD alpha'!AU42)</f>
        <v>-111.2743164508356</v>
      </c>
      <c r="AV41">
        <f>'CN FD B'!AV41-(('CN FD A'!AV41*'CN FD C'!AV42)/'CN FD alpha'!AV42)</f>
        <v>-111.2743164508356</v>
      </c>
      <c r="AW41">
        <f>'CN FD B'!AW41-(('CN FD A'!AW41*'CN FD C'!AW42)/'CN FD alpha'!AW42)</f>
        <v>-111.2743164508356</v>
      </c>
      <c r="AX41">
        <f>'CN FD B'!AX41-(('CN FD A'!AX41*'CN FD C'!AX42)/'CN FD alpha'!AX42)</f>
        <v>-111.2743164508356</v>
      </c>
      <c r="AY41">
        <f>'CN FD B'!AY41-(('CN FD A'!AY41*'CN FD C'!AY42)/'CN FD alpha'!AY42)</f>
        <v>-111.2743164508356</v>
      </c>
      <c r="AZ41">
        <f>'CN FD B'!AZ41-(('CN FD A'!AZ41*'CN FD C'!AZ42)/'CN FD alpha'!AZ42)</f>
        <v>-111.2743164508356</v>
      </c>
      <c r="BA41" s="6"/>
    </row>
    <row r="42" spans="1:53" x14ac:dyDescent="0.2">
      <c r="A42">
        <f t="shared" si="1"/>
        <v>23</v>
      </c>
      <c r="B42" s="3">
        <f t="shared" si="0"/>
        <v>46</v>
      </c>
      <c r="C42">
        <f>'CN FD B'!C42-(('CN FD A'!C42*'CN FD C'!C43)/'CN FD alpha'!C43)</f>
        <v>-110.37655345134229</v>
      </c>
      <c r="D42">
        <f>'CN FD B'!D42-(('CN FD A'!D42*'CN FD C'!D43)/'CN FD alpha'!D43)</f>
        <v>-110.37655345134229</v>
      </c>
      <c r="E42">
        <f>'CN FD B'!E42-(('CN FD A'!E42*'CN FD C'!E43)/'CN FD alpha'!E43)</f>
        <v>-110.37655345134229</v>
      </c>
      <c r="F42">
        <f>'CN FD B'!F42-(('CN FD A'!F42*'CN FD C'!F43)/'CN FD alpha'!F43)</f>
        <v>-110.37655345134229</v>
      </c>
      <c r="G42">
        <f>'CN FD B'!G42-(('CN FD A'!G42*'CN FD C'!G43)/'CN FD alpha'!G43)</f>
        <v>-110.37655345134229</v>
      </c>
      <c r="H42">
        <f>'CN FD B'!H42-(('CN FD A'!H42*'CN FD C'!H43)/'CN FD alpha'!H43)</f>
        <v>-110.37655345134229</v>
      </c>
      <c r="I42">
        <f>'CN FD B'!I42-(('CN FD A'!I42*'CN FD C'!I43)/'CN FD alpha'!I43)</f>
        <v>-110.37655345134229</v>
      </c>
      <c r="J42">
        <f>'CN FD B'!J42-(('CN FD A'!J42*'CN FD C'!J43)/'CN FD alpha'!J43)</f>
        <v>-110.37655345134229</v>
      </c>
      <c r="K42">
        <f>'CN FD B'!K42-(('CN FD A'!K42*'CN FD C'!K43)/'CN FD alpha'!K43)</f>
        <v>-110.37655345134229</v>
      </c>
      <c r="L42">
        <f>'CN FD B'!L42-(('CN FD A'!L42*'CN FD C'!L43)/'CN FD alpha'!L43)</f>
        <v>-110.37655345134229</v>
      </c>
      <c r="M42">
        <f>'CN FD B'!M42-(('CN FD A'!M42*'CN FD C'!M43)/'CN FD alpha'!M43)</f>
        <v>-110.37655345134229</v>
      </c>
      <c r="N42">
        <f>'CN FD B'!N42-(('CN FD A'!N42*'CN FD C'!N43)/'CN FD alpha'!N43)</f>
        <v>-110.37655345134229</v>
      </c>
      <c r="O42">
        <f>'CN FD B'!O42-(('CN FD A'!O42*'CN FD C'!O43)/'CN FD alpha'!O43)</f>
        <v>-110.37655345134229</v>
      </c>
      <c r="P42">
        <f>'CN FD B'!P42-(('CN FD A'!P42*'CN FD C'!P43)/'CN FD alpha'!P43)</f>
        <v>-110.37655345134229</v>
      </c>
      <c r="Q42">
        <f>'CN FD B'!Q42-(('CN FD A'!Q42*'CN FD C'!Q43)/'CN FD alpha'!Q43)</f>
        <v>-110.37655345134229</v>
      </c>
      <c r="R42">
        <f>'CN FD B'!R42-(('CN FD A'!R42*'CN FD C'!R43)/'CN FD alpha'!R43)</f>
        <v>-110.37655345134229</v>
      </c>
      <c r="S42">
        <f>'CN FD B'!S42-(('CN FD A'!S42*'CN FD C'!S43)/'CN FD alpha'!S43)</f>
        <v>-110.37655345134229</v>
      </c>
      <c r="T42">
        <f>'CN FD B'!T42-(('CN FD A'!T42*'CN FD C'!T43)/'CN FD alpha'!T43)</f>
        <v>-110.37655345134229</v>
      </c>
      <c r="U42">
        <f>'CN FD B'!U42-(('CN FD A'!U42*'CN FD C'!U43)/'CN FD alpha'!U43)</f>
        <v>-110.37655345134229</v>
      </c>
      <c r="V42">
        <f>'CN FD B'!V42-(('CN FD A'!V42*'CN FD C'!V43)/'CN FD alpha'!V43)</f>
        <v>-110.37655345134229</v>
      </c>
      <c r="W42">
        <f>'CN FD B'!W42-(('CN FD A'!W42*'CN FD C'!W43)/'CN FD alpha'!W43)</f>
        <v>-110.37655345134229</v>
      </c>
      <c r="X42">
        <f>'CN FD B'!X42-(('CN FD A'!X42*'CN FD C'!X43)/'CN FD alpha'!X43)</f>
        <v>-110.37655345134229</v>
      </c>
      <c r="Y42">
        <f>'CN FD B'!Y42-(('CN FD A'!Y42*'CN FD C'!Y43)/'CN FD alpha'!Y43)</f>
        <v>-110.37655345134229</v>
      </c>
      <c r="Z42">
        <f>'CN FD B'!Z42-(('CN FD A'!Z42*'CN FD C'!Z43)/'CN FD alpha'!Z43)</f>
        <v>-110.37655345134229</v>
      </c>
      <c r="AA42">
        <f>'CN FD B'!AA42-(('CN FD A'!AA42*'CN FD C'!AA43)/'CN FD alpha'!AA43)</f>
        <v>-110.37655345134229</v>
      </c>
      <c r="AB42">
        <f>'CN FD B'!AB42-(('CN FD A'!AB42*'CN FD C'!AB43)/'CN FD alpha'!AB43)</f>
        <v>-110.37655345134229</v>
      </c>
      <c r="AC42">
        <f>'CN FD B'!AC42-(('CN FD A'!AC42*'CN FD C'!AC43)/'CN FD alpha'!AC43)</f>
        <v>-110.37655345134229</v>
      </c>
      <c r="AD42">
        <f>'CN FD B'!AD42-(('CN FD A'!AD42*'CN FD C'!AD43)/'CN FD alpha'!AD43)</f>
        <v>-110.37655345134229</v>
      </c>
      <c r="AE42">
        <f>'CN FD B'!AE42-(('CN FD A'!AE42*'CN FD C'!AE43)/'CN FD alpha'!AE43)</f>
        <v>-110.37655345134229</v>
      </c>
      <c r="AF42">
        <f>'CN FD B'!AF42-(('CN FD A'!AF42*'CN FD C'!AF43)/'CN FD alpha'!AF43)</f>
        <v>-110.37655345134229</v>
      </c>
      <c r="AG42">
        <f>'CN FD B'!AG42-(('CN FD A'!AG42*'CN FD C'!AG43)/'CN FD alpha'!AG43)</f>
        <v>-110.37655345134229</v>
      </c>
      <c r="AH42">
        <f>'CN FD B'!AH42-(('CN FD A'!AH42*'CN FD C'!AH43)/'CN FD alpha'!AH43)</f>
        <v>-110.37655345134229</v>
      </c>
      <c r="AI42">
        <f>'CN FD B'!AI42-(('CN FD A'!AI42*'CN FD C'!AI43)/'CN FD alpha'!AI43)</f>
        <v>-110.37655345134229</v>
      </c>
      <c r="AJ42">
        <f>'CN FD B'!AJ42-(('CN FD A'!AJ42*'CN FD C'!AJ43)/'CN FD alpha'!AJ43)</f>
        <v>-110.37655345134229</v>
      </c>
      <c r="AK42">
        <f>'CN FD B'!AK42-(('CN FD A'!AK42*'CN FD C'!AK43)/'CN FD alpha'!AK43)</f>
        <v>-110.37655345134229</v>
      </c>
      <c r="AL42">
        <f>'CN FD B'!AL42-(('CN FD A'!AL42*'CN FD C'!AL43)/'CN FD alpha'!AL43)</f>
        <v>-110.37655345134229</v>
      </c>
      <c r="AM42">
        <f>'CN FD B'!AM42-(('CN FD A'!AM42*'CN FD C'!AM43)/'CN FD alpha'!AM43)</f>
        <v>-110.37655345134229</v>
      </c>
      <c r="AN42">
        <f>'CN FD B'!AN42-(('CN FD A'!AN42*'CN FD C'!AN43)/'CN FD alpha'!AN43)</f>
        <v>-110.37655345134229</v>
      </c>
      <c r="AO42">
        <f>'CN FD B'!AO42-(('CN FD A'!AO42*'CN FD C'!AO43)/'CN FD alpha'!AO43)</f>
        <v>-110.37655345134229</v>
      </c>
      <c r="AP42">
        <f>'CN FD B'!AP42-(('CN FD A'!AP42*'CN FD C'!AP43)/'CN FD alpha'!AP43)</f>
        <v>-110.37655345134229</v>
      </c>
      <c r="AQ42">
        <f>'CN FD B'!AQ42-(('CN FD A'!AQ42*'CN FD C'!AQ43)/'CN FD alpha'!AQ43)</f>
        <v>-110.37655345134229</v>
      </c>
      <c r="AR42">
        <f>'CN FD B'!AR42-(('CN FD A'!AR42*'CN FD C'!AR43)/'CN FD alpha'!AR43)</f>
        <v>-110.37655345134229</v>
      </c>
      <c r="AS42">
        <f>'CN FD B'!AS42-(('CN FD A'!AS42*'CN FD C'!AS43)/'CN FD alpha'!AS43)</f>
        <v>-110.37655345134229</v>
      </c>
      <c r="AT42">
        <f>'CN FD B'!AT42-(('CN FD A'!AT42*'CN FD C'!AT43)/'CN FD alpha'!AT43)</f>
        <v>-110.37655345134229</v>
      </c>
      <c r="AU42">
        <f>'CN FD B'!AU42-(('CN FD A'!AU42*'CN FD C'!AU43)/'CN FD alpha'!AU43)</f>
        <v>-110.37655345134229</v>
      </c>
      <c r="AV42">
        <f>'CN FD B'!AV42-(('CN FD A'!AV42*'CN FD C'!AV43)/'CN FD alpha'!AV43)</f>
        <v>-110.37655345134229</v>
      </c>
      <c r="AW42">
        <f>'CN FD B'!AW42-(('CN FD A'!AW42*'CN FD C'!AW43)/'CN FD alpha'!AW43)</f>
        <v>-110.37655345134229</v>
      </c>
      <c r="AX42">
        <f>'CN FD B'!AX42-(('CN FD A'!AX42*'CN FD C'!AX43)/'CN FD alpha'!AX43)</f>
        <v>-110.37655345134229</v>
      </c>
      <c r="AY42">
        <f>'CN FD B'!AY42-(('CN FD A'!AY42*'CN FD C'!AY43)/'CN FD alpha'!AY43)</f>
        <v>-110.37655345134229</v>
      </c>
      <c r="AZ42">
        <f>'CN FD B'!AZ42-(('CN FD A'!AZ42*'CN FD C'!AZ43)/'CN FD alpha'!AZ43)</f>
        <v>-110.37655345134229</v>
      </c>
      <c r="BA42" s="6"/>
    </row>
    <row r="43" spans="1:53" x14ac:dyDescent="0.2">
      <c r="A43">
        <f t="shared" si="1"/>
        <v>22</v>
      </c>
      <c r="B43" s="3">
        <f t="shared" si="0"/>
        <v>44</v>
      </c>
      <c r="C43">
        <f>'CN FD B'!C43-(('CN FD A'!C43*'CN FD C'!C44)/'CN FD alpha'!C44)</f>
        <v>-109.5139343331458</v>
      </c>
      <c r="D43">
        <f>'CN FD B'!D43-(('CN FD A'!D43*'CN FD C'!D44)/'CN FD alpha'!D44)</f>
        <v>-109.5139343331458</v>
      </c>
      <c r="E43">
        <f>'CN FD B'!E43-(('CN FD A'!E43*'CN FD C'!E44)/'CN FD alpha'!E44)</f>
        <v>-109.5139343331458</v>
      </c>
      <c r="F43">
        <f>'CN FD B'!F43-(('CN FD A'!F43*'CN FD C'!F44)/'CN FD alpha'!F44)</f>
        <v>-109.5139343331458</v>
      </c>
      <c r="G43">
        <f>'CN FD B'!G43-(('CN FD A'!G43*'CN FD C'!G44)/'CN FD alpha'!G44)</f>
        <v>-109.5139343331458</v>
      </c>
      <c r="H43">
        <f>'CN FD B'!H43-(('CN FD A'!H43*'CN FD C'!H44)/'CN FD alpha'!H44)</f>
        <v>-109.5139343331458</v>
      </c>
      <c r="I43">
        <f>'CN FD B'!I43-(('CN FD A'!I43*'CN FD C'!I44)/'CN FD alpha'!I44)</f>
        <v>-109.5139343331458</v>
      </c>
      <c r="J43">
        <f>'CN FD B'!J43-(('CN FD A'!J43*'CN FD C'!J44)/'CN FD alpha'!J44)</f>
        <v>-109.5139343331458</v>
      </c>
      <c r="K43">
        <f>'CN FD B'!K43-(('CN FD A'!K43*'CN FD C'!K44)/'CN FD alpha'!K44)</f>
        <v>-109.5139343331458</v>
      </c>
      <c r="L43">
        <f>'CN FD B'!L43-(('CN FD A'!L43*'CN FD C'!L44)/'CN FD alpha'!L44)</f>
        <v>-109.5139343331458</v>
      </c>
      <c r="M43">
        <f>'CN FD B'!M43-(('CN FD A'!M43*'CN FD C'!M44)/'CN FD alpha'!M44)</f>
        <v>-109.5139343331458</v>
      </c>
      <c r="N43">
        <f>'CN FD B'!N43-(('CN FD A'!N43*'CN FD C'!N44)/'CN FD alpha'!N44)</f>
        <v>-109.5139343331458</v>
      </c>
      <c r="O43">
        <f>'CN FD B'!O43-(('CN FD A'!O43*'CN FD C'!O44)/'CN FD alpha'!O44)</f>
        <v>-109.5139343331458</v>
      </c>
      <c r="P43">
        <f>'CN FD B'!P43-(('CN FD A'!P43*'CN FD C'!P44)/'CN FD alpha'!P44)</f>
        <v>-109.5139343331458</v>
      </c>
      <c r="Q43">
        <f>'CN FD B'!Q43-(('CN FD A'!Q43*'CN FD C'!Q44)/'CN FD alpha'!Q44)</f>
        <v>-109.5139343331458</v>
      </c>
      <c r="R43">
        <f>'CN FD B'!R43-(('CN FD A'!R43*'CN FD C'!R44)/'CN FD alpha'!R44)</f>
        <v>-109.5139343331458</v>
      </c>
      <c r="S43">
        <f>'CN FD B'!S43-(('CN FD A'!S43*'CN FD C'!S44)/'CN FD alpha'!S44)</f>
        <v>-109.5139343331458</v>
      </c>
      <c r="T43">
        <f>'CN FD B'!T43-(('CN FD A'!T43*'CN FD C'!T44)/'CN FD alpha'!T44)</f>
        <v>-109.5139343331458</v>
      </c>
      <c r="U43">
        <f>'CN FD B'!U43-(('CN FD A'!U43*'CN FD C'!U44)/'CN FD alpha'!U44)</f>
        <v>-109.5139343331458</v>
      </c>
      <c r="V43">
        <f>'CN FD B'!V43-(('CN FD A'!V43*'CN FD C'!V44)/'CN FD alpha'!V44)</f>
        <v>-109.5139343331458</v>
      </c>
      <c r="W43">
        <f>'CN FD B'!W43-(('CN FD A'!W43*'CN FD C'!W44)/'CN FD alpha'!W44)</f>
        <v>-109.5139343331458</v>
      </c>
      <c r="X43">
        <f>'CN FD B'!X43-(('CN FD A'!X43*'CN FD C'!X44)/'CN FD alpha'!X44)</f>
        <v>-109.5139343331458</v>
      </c>
      <c r="Y43">
        <f>'CN FD B'!Y43-(('CN FD A'!Y43*'CN FD C'!Y44)/'CN FD alpha'!Y44)</f>
        <v>-109.5139343331458</v>
      </c>
      <c r="Z43">
        <f>'CN FD B'!Z43-(('CN FD A'!Z43*'CN FD C'!Z44)/'CN FD alpha'!Z44)</f>
        <v>-109.5139343331458</v>
      </c>
      <c r="AA43">
        <f>'CN FD B'!AA43-(('CN FD A'!AA43*'CN FD C'!AA44)/'CN FD alpha'!AA44)</f>
        <v>-109.5139343331458</v>
      </c>
      <c r="AB43">
        <f>'CN FD B'!AB43-(('CN FD A'!AB43*'CN FD C'!AB44)/'CN FD alpha'!AB44)</f>
        <v>-109.5139343331458</v>
      </c>
      <c r="AC43">
        <f>'CN FD B'!AC43-(('CN FD A'!AC43*'CN FD C'!AC44)/'CN FD alpha'!AC44)</f>
        <v>-109.5139343331458</v>
      </c>
      <c r="AD43">
        <f>'CN FD B'!AD43-(('CN FD A'!AD43*'CN FD C'!AD44)/'CN FD alpha'!AD44)</f>
        <v>-109.5139343331458</v>
      </c>
      <c r="AE43">
        <f>'CN FD B'!AE43-(('CN FD A'!AE43*'CN FD C'!AE44)/'CN FD alpha'!AE44)</f>
        <v>-109.5139343331458</v>
      </c>
      <c r="AF43">
        <f>'CN FD B'!AF43-(('CN FD A'!AF43*'CN FD C'!AF44)/'CN FD alpha'!AF44)</f>
        <v>-109.5139343331458</v>
      </c>
      <c r="AG43">
        <f>'CN FD B'!AG43-(('CN FD A'!AG43*'CN FD C'!AG44)/'CN FD alpha'!AG44)</f>
        <v>-109.5139343331458</v>
      </c>
      <c r="AH43">
        <f>'CN FD B'!AH43-(('CN FD A'!AH43*'CN FD C'!AH44)/'CN FD alpha'!AH44)</f>
        <v>-109.5139343331458</v>
      </c>
      <c r="AI43">
        <f>'CN FD B'!AI43-(('CN FD A'!AI43*'CN FD C'!AI44)/'CN FD alpha'!AI44)</f>
        <v>-109.5139343331458</v>
      </c>
      <c r="AJ43">
        <f>'CN FD B'!AJ43-(('CN FD A'!AJ43*'CN FD C'!AJ44)/'CN FD alpha'!AJ44)</f>
        <v>-109.5139343331458</v>
      </c>
      <c r="AK43">
        <f>'CN FD B'!AK43-(('CN FD A'!AK43*'CN FD C'!AK44)/'CN FD alpha'!AK44)</f>
        <v>-109.5139343331458</v>
      </c>
      <c r="AL43">
        <f>'CN FD B'!AL43-(('CN FD A'!AL43*'CN FD C'!AL44)/'CN FD alpha'!AL44)</f>
        <v>-109.5139343331458</v>
      </c>
      <c r="AM43">
        <f>'CN FD B'!AM43-(('CN FD A'!AM43*'CN FD C'!AM44)/'CN FD alpha'!AM44)</f>
        <v>-109.5139343331458</v>
      </c>
      <c r="AN43">
        <f>'CN FD B'!AN43-(('CN FD A'!AN43*'CN FD C'!AN44)/'CN FD alpha'!AN44)</f>
        <v>-109.5139343331458</v>
      </c>
      <c r="AO43">
        <f>'CN FD B'!AO43-(('CN FD A'!AO43*'CN FD C'!AO44)/'CN FD alpha'!AO44)</f>
        <v>-109.5139343331458</v>
      </c>
      <c r="AP43">
        <f>'CN FD B'!AP43-(('CN FD A'!AP43*'CN FD C'!AP44)/'CN FD alpha'!AP44)</f>
        <v>-109.5139343331458</v>
      </c>
      <c r="AQ43">
        <f>'CN FD B'!AQ43-(('CN FD A'!AQ43*'CN FD C'!AQ44)/'CN FD alpha'!AQ44)</f>
        <v>-109.5139343331458</v>
      </c>
      <c r="AR43">
        <f>'CN FD B'!AR43-(('CN FD A'!AR43*'CN FD C'!AR44)/'CN FD alpha'!AR44)</f>
        <v>-109.5139343331458</v>
      </c>
      <c r="AS43">
        <f>'CN FD B'!AS43-(('CN FD A'!AS43*'CN FD C'!AS44)/'CN FD alpha'!AS44)</f>
        <v>-109.5139343331458</v>
      </c>
      <c r="AT43">
        <f>'CN FD B'!AT43-(('CN FD A'!AT43*'CN FD C'!AT44)/'CN FD alpha'!AT44)</f>
        <v>-109.5139343331458</v>
      </c>
      <c r="AU43">
        <f>'CN FD B'!AU43-(('CN FD A'!AU43*'CN FD C'!AU44)/'CN FD alpha'!AU44)</f>
        <v>-109.5139343331458</v>
      </c>
      <c r="AV43">
        <f>'CN FD B'!AV43-(('CN FD A'!AV43*'CN FD C'!AV44)/'CN FD alpha'!AV44)</f>
        <v>-109.5139343331458</v>
      </c>
      <c r="AW43">
        <f>'CN FD B'!AW43-(('CN FD A'!AW43*'CN FD C'!AW44)/'CN FD alpha'!AW44)</f>
        <v>-109.5139343331458</v>
      </c>
      <c r="AX43">
        <f>'CN FD B'!AX43-(('CN FD A'!AX43*'CN FD C'!AX44)/'CN FD alpha'!AX44)</f>
        <v>-109.5139343331458</v>
      </c>
      <c r="AY43">
        <f>'CN FD B'!AY43-(('CN FD A'!AY43*'CN FD C'!AY44)/'CN FD alpha'!AY44)</f>
        <v>-109.5139343331458</v>
      </c>
      <c r="AZ43">
        <f>'CN FD B'!AZ43-(('CN FD A'!AZ43*'CN FD C'!AZ44)/'CN FD alpha'!AZ44)</f>
        <v>-109.5139343331458</v>
      </c>
      <c r="BA43" s="6"/>
    </row>
    <row r="44" spans="1:53" x14ac:dyDescent="0.2">
      <c r="A44">
        <f t="shared" si="1"/>
        <v>21</v>
      </c>
      <c r="B44" s="3">
        <f t="shared" si="0"/>
        <v>42</v>
      </c>
      <c r="C44">
        <f>'CN FD B'!C44-(('CN FD A'!C44*'CN FD C'!C45)/'CN FD alpha'!C45)</f>
        <v>-108.68680040674927</v>
      </c>
      <c r="D44">
        <f>'CN FD B'!D44-(('CN FD A'!D44*'CN FD C'!D45)/'CN FD alpha'!D45)</f>
        <v>-108.68680040674927</v>
      </c>
      <c r="E44">
        <f>'CN FD B'!E44-(('CN FD A'!E44*'CN FD C'!E45)/'CN FD alpha'!E45)</f>
        <v>-108.68680040674927</v>
      </c>
      <c r="F44">
        <f>'CN FD B'!F44-(('CN FD A'!F44*'CN FD C'!F45)/'CN FD alpha'!F45)</f>
        <v>-108.68680040674927</v>
      </c>
      <c r="G44">
        <f>'CN FD B'!G44-(('CN FD A'!G44*'CN FD C'!G45)/'CN FD alpha'!G45)</f>
        <v>-108.68680040674927</v>
      </c>
      <c r="H44">
        <f>'CN FD B'!H44-(('CN FD A'!H44*'CN FD C'!H45)/'CN FD alpha'!H45)</f>
        <v>-108.68680040674927</v>
      </c>
      <c r="I44">
        <f>'CN FD B'!I44-(('CN FD A'!I44*'CN FD C'!I45)/'CN FD alpha'!I45)</f>
        <v>-108.68680040674927</v>
      </c>
      <c r="J44">
        <f>'CN FD B'!J44-(('CN FD A'!J44*'CN FD C'!J45)/'CN FD alpha'!J45)</f>
        <v>-108.68680040674927</v>
      </c>
      <c r="K44">
        <f>'CN FD B'!K44-(('CN FD A'!K44*'CN FD C'!K45)/'CN FD alpha'!K45)</f>
        <v>-108.68680040674927</v>
      </c>
      <c r="L44">
        <f>'CN FD B'!L44-(('CN FD A'!L44*'CN FD C'!L45)/'CN FD alpha'!L45)</f>
        <v>-108.68680040674927</v>
      </c>
      <c r="M44">
        <f>'CN FD B'!M44-(('CN FD A'!M44*'CN FD C'!M45)/'CN FD alpha'!M45)</f>
        <v>-108.68680040674927</v>
      </c>
      <c r="N44">
        <f>'CN FD B'!N44-(('CN FD A'!N44*'CN FD C'!N45)/'CN FD alpha'!N45)</f>
        <v>-108.68680040674927</v>
      </c>
      <c r="O44">
        <f>'CN FD B'!O44-(('CN FD A'!O44*'CN FD C'!O45)/'CN FD alpha'!O45)</f>
        <v>-108.68680040674927</v>
      </c>
      <c r="P44">
        <f>'CN FD B'!P44-(('CN FD A'!P44*'CN FD C'!P45)/'CN FD alpha'!P45)</f>
        <v>-108.68680040674927</v>
      </c>
      <c r="Q44">
        <f>'CN FD B'!Q44-(('CN FD A'!Q44*'CN FD C'!Q45)/'CN FD alpha'!Q45)</f>
        <v>-108.68680040674927</v>
      </c>
      <c r="R44">
        <f>'CN FD B'!R44-(('CN FD A'!R44*'CN FD C'!R45)/'CN FD alpha'!R45)</f>
        <v>-108.68680040674927</v>
      </c>
      <c r="S44">
        <f>'CN FD B'!S44-(('CN FD A'!S44*'CN FD C'!S45)/'CN FD alpha'!S45)</f>
        <v>-108.68680040674927</v>
      </c>
      <c r="T44">
        <f>'CN FD B'!T44-(('CN FD A'!T44*'CN FD C'!T45)/'CN FD alpha'!T45)</f>
        <v>-108.68680040674927</v>
      </c>
      <c r="U44">
        <f>'CN FD B'!U44-(('CN FD A'!U44*'CN FD C'!U45)/'CN FD alpha'!U45)</f>
        <v>-108.68680040674927</v>
      </c>
      <c r="V44">
        <f>'CN FD B'!V44-(('CN FD A'!V44*'CN FD C'!V45)/'CN FD alpha'!V45)</f>
        <v>-108.68680040674927</v>
      </c>
      <c r="W44">
        <f>'CN FD B'!W44-(('CN FD A'!W44*'CN FD C'!W45)/'CN FD alpha'!W45)</f>
        <v>-108.68680040674927</v>
      </c>
      <c r="X44">
        <f>'CN FD B'!X44-(('CN FD A'!X44*'CN FD C'!X45)/'CN FD alpha'!X45)</f>
        <v>-108.68680040674927</v>
      </c>
      <c r="Y44">
        <f>'CN FD B'!Y44-(('CN FD A'!Y44*'CN FD C'!Y45)/'CN FD alpha'!Y45)</f>
        <v>-108.68680040674927</v>
      </c>
      <c r="Z44">
        <f>'CN FD B'!Z44-(('CN FD A'!Z44*'CN FD C'!Z45)/'CN FD alpha'!Z45)</f>
        <v>-108.68680040674927</v>
      </c>
      <c r="AA44">
        <f>'CN FD B'!AA44-(('CN FD A'!AA44*'CN FD C'!AA45)/'CN FD alpha'!AA45)</f>
        <v>-108.68680040674927</v>
      </c>
      <c r="AB44">
        <f>'CN FD B'!AB44-(('CN FD A'!AB44*'CN FD C'!AB45)/'CN FD alpha'!AB45)</f>
        <v>-108.68680040674927</v>
      </c>
      <c r="AC44">
        <f>'CN FD B'!AC44-(('CN FD A'!AC44*'CN FD C'!AC45)/'CN FD alpha'!AC45)</f>
        <v>-108.68680040674927</v>
      </c>
      <c r="AD44">
        <f>'CN FD B'!AD44-(('CN FD A'!AD44*'CN FD C'!AD45)/'CN FD alpha'!AD45)</f>
        <v>-108.68680040674927</v>
      </c>
      <c r="AE44">
        <f>'CN FD B'!AE44-(('CN FD A'!AE44*'CN FD C'!AE45)/'CN FD alpha'!AE45)</f>
        <v>-108.68680040674927</v>
      </c>
      <c r="AF44">
        <f>'CN FD B'!AF44-(('CN FD A'!AF44*'CN FD C'!AF45)/'CN FD alpha'!AF45)</f>
        <v>-108.68680040674927</v>
      </c>
      <c r="AG44">
        <f>'CN FD B'!AG44-(('CN FD A'!AG44*'CN FD C'!AG45)/'CN FD alpha'!AG45)</f>
        <v>-108.68680040674927</v>
      </c>
      <c r="AH44">
        <f>'CN FD B'!AH44-(('CN FD A'!AH44*'CN FD C'!AH45)/'CN FD alpha'!AH45)</f>
        <v>-108.68680040674927</v>
      </c>
      <c r="AI44">
        <f>'CN FD B'!AI44-(('CN FD A'!AI44*'CN FD C'!AI45)/'CN FD alpha'!AI45)</f>
        <v>-108.68680040674927</v>
      </c>
      <c r="AJ44">
        <f>'CN FD B'!AJ44-(('CN FD A'!AJ44*'CN FD C'!AJ45)/'CN FD alpha'!AJ45)</f>
        <v>-108.68680040674927</v>
      </c>
      <c r="AK44">
        <f>'CN FD B'!AK44-(('CN FD A'!AK44*'CN FD C'!AK45)/'CN FD alpha'!AK45)</f>
        <v>-108.68680040674927</v>
      </c>
      <c r="AL44">
        <f>'CN FD B'!AL44-(('CN FD A'!AL44*'CN FD C'!AL45)/'CN FD alpha'!AL45)</f>
        <v>-108.68680040674927</v>
      </c>
      <c r="AM44">
        <f>'CN FD B'!AM44-(('CN FD A'!AM44*'CN FD C'!AM45)/'CN FD alpha'!AM45)</f>
        <v>-108.68680040674927</v>
      </c>
      <c r="AN44">
        <f>'CN FD B'!AN44-(('CN FD A'!AN44*'CN FD C'!AN45)/'CN FD alpha'!AN45)</f>
        <v>-108.68680040674927</v>
      </c>
      <c r="AO44">
        <f>'CN FD B'!AO44-(('CN FD A'!AO44*'CN FD C'!AO45)/'CN FD alpha'!AO45)</f>
        <v>-108.68680040674927</v>
      </c>
      <c r="AP44">
        <f>'CN FD B'!AP44-(('CN FD A'!AP44*'CN FD C'!AP45)/'CN FD alpha'!AP45)</f>
        <v>-108.68680040674927</v>
      </c>
      <c r="AQ44">
        <f>'CN FD B'!AQ44-(('CN FD A'!AQ44*'CN FD C'!AQ45)/'CN FD alpha'!AQ45)</f>
        <v>-108.68680040674927</v>
      </c>
      <c r="AR44">
        <f>'CN FD B'!AR44-(('CN FD A'!AR44*'CN FD C'!AR45)/'CN FD alpha'!AR45)</f>
        <v>-108.68680040674927</v>
      </c>
      <c r="AS44">
        <f>'CN FD B'!AS44-(('CN FD A'!AS44*'CN FD C'!AS45)/'CN FD alpha'!AS45)</f>
        <v>-108.68680040674927</v>
      </c>
      <c r="AT44">
        <f>'CN FD B'!AT44-(('CN FD A'!AT44*'CN FD C'!AT45)/'CN FD alpha'!AT45)</f>
        <v>-108.68680040674927</v>
      </c>
      <c r="AU44">
        <f>'CN FD B'!AU44-(('CN FD A'!AU44*'CN FD C'!AU45)/'CN FD alpha'!AU45)</f>
        <v>-108.68680040674927</v>
      </c>
      <c r="AV44">
        <f>'CN FD B'!AV44-(('CN FD A'!AV44*'CN FD C'!AV45)/'CN FD alpha'!AV45)</f>
        <v>-108.68680040674927</v>
      </c>
      <c r="AW44">
        <f>'CN FD B'!AW44-(('CN FD A'!AW44*'CN FD C'!AW45)/'CN FD alpha'!AW45)</f>
        <v>-108.68680040674927</v>
      </c>
      <c r="AX44">
        <f>'CN FD B'!AX44-(('CN FD A'!AX44*'CN FD C'!AX45)/'CN FD alpha'!AX45)</f>
        <v>-108.68680040674927</v>
      </c>
      <c r="AY44">
        <f>'CN FD B'!AY44-(('CN FD A'!AY44*'CN FD C'!AY45)/'CN FD alpha'!AY45)</f>
        <v>-108.68680040674927</v>
      </c>
      <c r="AZ44">
        <f>'CN FD B'!AZ44-(('CN FD A'!AZ44*'CN FD C'!AZ45)/'CN FD alpha'!AZ45)</f>
        <v>-108.68680040674927</v>
      </c>
      <c r="BA44" s="6"/>
    </row>
    <row r="45" spans="1:53" x14ac:dyDescent="0.2">
      <c r="A45">
        <f t="shared" si="1"/>
        <v>20</v>
      </c>
      <c r="B45" s="3">
        <f t="shared" si="0"/>
        <v>40</v>
      </c>
      <c r="C45">
        <f>'CN FD B'!C45-(('CN FD A'!C45*'CN FD C'!C46)/'CN FD alpha'!C46)</f>
        <v>-107.89548950007436</v>
      </c>
      <c r="D45">
        <f>'CN FD B'!D45-(('CN FD A'!D45*'CN FD C'!D46)/'CN FD alpha'!D46)</f>
        <v>-107.89548950007436</v>
      </c>
      <c r="E45">
        <f>'CN FD B'!E45-(('CN FD A'!E45*'CN FD C'!E46)/'CN FD alpha'!E46)</f>
        <v>-107.89548950007436</v>
      </c>
      <c r="F45">
        <f>'CN FD B'!F45-(('CN FD A'!F45*'CN FD C'!F46)/'CN FD alpha'!F46)</f>
        <v>-107.89548950007436</v>
      </c>
      <c r="G45">
        <f>'CN FD B'!G45-(('CN FD A'!G45*'CN FD C'!G46)/'CN FD alpha'!G46)</f>
        <v>-107.89548950007436</v>
      </c>
      <c r="H45">
        <f>'CN FD B'!H45-(('CN FD A'!H45*'CN FD C'!H46)/'CN FD alpha'!H46)</f>
        <v>-107.89548950007436</v>
      </c>
      <c r="I45">
        <f>'CN FD B'!I45-(('CN FD A'!I45*'CN FD C'!I46)/'CN FD alpha'!I46)</f>
        <v>-107.89548950007436</v>
      </c>
      <c r="J45">
        <f>'CN FD B'!J45-(('CN FD A'!J45*'CN FD C'!J46)/'CN FD alpha'!J46)</f>
        <v>-107.89548950007436</v>
      </c>
      <c r="K45">
        <f>'CN FD B'!K45-(('CN FD A'!K45*'CN FD C'!K46)/'CN FD alpha'!K46)</f>
        <v>-107.89548950007436</v>
      </c>
      <c r="L45">
        <f>'CN FD B'!L45-(('CN FD A'!L45*'CN FD C'!L46)/'CN FD alpha'!L46)</f>
        <v>-107.89548950007436</v>
      </c>
      <c r="M45">
        <f>'CN FD B'!M45-(('CN FD A'!M45*'CN FD C'!M46)/'CN FD alpha'!M46)</f>
        <v>-107.89548950007436</v>
      </c>
      <c r="N45">
        <f>'CN FD B'!N45-(('CN FD A'!N45*'CN FD C'!N46)/'CN FD alpha'!N46)</f>
        <v>-107.89548950007436</v>
      </c>
      <c r="O45">
        <f>'CN FD B'!O45-(('CN FD A'!O45*'CN FD C'!O46)/'CN FD alpha'!O46)</f>
        <v>-107.89548950007436</v>
      </c>
      <c r="P45">
        <f>'CN FD B'!P45-(('CN FD A'!P45*'CN FD C'!P46)/'CN FD alpha'!P46)</f>
        <v>-107.89548950007436</v>
      </c>
      <c r="Q45">
        <f>'CN FD B'!Q45-(('CN FD A'!Q45*'CN FD C'!Q46)/'CN FD alpha'!Q46)</f>
        <v>-107.89548950007436</v>
      </c>
      <c r="R45">
        <f>'CN FD B'!R45-(('CN FD A'!R45*'CN FD C'!R46)/'CN FD alpha'!R46)</f>
        <v>-107.89548950007436</v>
      </c>
      <c r="S45">
        <f>'CN FD B'!S45-(('CN FD A'!S45*'CN FD C'!S46)/'CN FD alpha'!S46)</f>
        <v>-107.89548950007436</v>
      </c>
      <c r="T45">
        <f>'CN FD B'!T45-(('CN FD A'!T45*'CN FD C'!T46)/'CN FD alpha'!T46)</f>
        <v>-107.89548950007436</v>
      </c>
      <c r="U45">
        <f>'CN FD B'!U45-(('CN FD A'!U45*'CN FD C'!U46)/'CN FD alpha'!U46)</f>
        <v>-107.89548950007436</v>
      </c>
      <c r="V45">
        <f>'CN FD B'!V45-(('CN FD A'!V45*'CN FD C'!V46)/'CN FD alpha'!V46)</f>
        <v>-107.89548950007436</v>
      </c>
      <c r="W45">
        <f>'CN FD B'!W45-(('CN FD A'!W45*'CN FD C'!W46)/'CN FD alpha'!W46)</f>
        <v>-107.89548950007436</v>
      </c>
      <c r="X45">
        <f>'CN FD B'!X45-(('CN FD A'!X45*'CN FD C'!X46)/'CN FD alpha'!X46)</f>
        <v>-107.89548950007436</v>
      </c>
      <c r="Y45">
        <f>'CN FD B'!Y45-(('CN FD A'!Y45*'CN FD C'!Y46)/'CN FD alpha'!Y46)</f>
        <v>-107.89548950007436</v>
      </c>
      <c r="Z45">
        <f>'CN FD B'!Z45-(('CN FD A'!Z45*'CN FD C'!Z46)/'CN FD alpha'!Z46)</f>
        <v>-107.89548950007436</v>
      </c>
      <c r="AA45">
        <f>'CN FD B'!AA45-(('CN FD A'!AA45*'CN FD C'!AA46)/'CN FD alpha'!AA46)</f>
        <v>-107.89548950007436</v>
      </c>
      <c r="AB45">
        <f>'CN FD B'!AB45-(('CN FD A'!AB45*'CN FD C'!AB46)/'CN FD alpha'!AB46)</f>
        <v>-107.89548950007436</v>
      </c>
      <c r="AC45">
        <f>'CN FD B'!AC45-(('CN FD A'!AC45*'CN FD C'!AC46)/'CN FD alpha'!AC46)</f>
        <v>-107.89548950007436</v>
      </c>
      <c r="AD45">
        <f>'CN FD B'!AD45-(('CN FD A'!AD45*'CN FD C'!AD46)/'CN FD alpha'!AD46)</f>
        <v>-107.89548950007436</v>
      </c>
      <c r="AE45">
        <f>'CN FD B'!AE45-(('CN FD A'!AE45*'CN FD C'!AE46)/'CN FD alpha'!AE46)</f>
        <v>-107.89548950007436</v>
      </c>
      <c r="AF45">
        <f>'CN FD B'!AF45-(('CN FD A'!AF45*'CN FD C'!AF46)/'CN FD alpha'!AF46)</f>
        <v>-107.89548950007436</v>
      </c>
      <c r="AG45">
        <f>'CN FD B'!AG45-(('CN FD A'!AG45*'CN FD C'!AG46)/'CN FD alpha'!AG46)</f>
        <v>-107.89548950007436</v>
      </c>
      <c r="AH45">
        <f>'CN FD B'!AH45-(('CN FD A'!AH45*'CN FD C'!AH46)/'CN FD alpha'!AH46)</f>
        <v>-107.89548950007436</v>
      </c>
      <c r="AI45">
        <f>'CN FD B'!AI45-(('CN FD A'!AI45*'CN FD C'!AI46)/'CN FD alpha'!AI46)</f>
        <v>-107.89548950007436</v>
      </c>
      <c r="AJ45">
        <f>'CN FD B'!AJ45-(('CN FD A'!AJ45*'CN FD C'!AJ46)/'CN FD alpha'!AJ46)</f>
        <v>-107.89548950007436</v>
      </c>
      <c r="AK45">
        <f>'CN FD B'!AK45-(('CN FD A'!AK45*'CN FD C'!AK46)/'CN FD alpha'!AK46)</f>
        <v>-107.89548950007436</v>
      </c>
      <c r="AL45">
        <f>'CN FD B'!AL45-(('CN FD A'!AL45*'CN FD C'!AL46)/'CN FD alpha'!AL46)</f>
        <v>-107.89548950007436</v>
      </c>
      <c r="AM45">
        <f>'CN FD B'!AM45-(('CN FD A'!AM45*'CN FD C'!AM46)/'CN FD alpha'!AM46)</f>
        <v>-107.89548950007436</v>
      </c>
      <c r="AN45">
        <f>'CN FD B'!AN45-(('CN FD A'!AN45*'CN FD C'!AN46)/'CN FD alpha'!AN46)</f>
        <v>-107.89548950007436</v>
      </c>
      <c r="AO45">
        <f>'CN FD B'!AO45-(('CN FD A'!AO45*'CN FD C'!AO46)/'CN FD alpha'!AO46)</f>
        <v>-107.89548950007436</v>
      </c>
      <c r="AP45">
        <f>'CN FD B'!AP45-(('CN FD A'!AP45*'CN FD C'!AP46)/'CN FD alpha'!AP46)</f>
        <v>-107.89548950007436</v>
      </c>
      <c r="AQ45">
        <f>'CN FD B'!AQ45-(('CN FD A'!AQ45*'CN FD C'!AQ46)/'CN FD alpha'!AQ46)</f>
        <v>-107.89548950007436</v>
      </c>
      <c r="AR45">
        <f>'CN FD B'!AR45-(('CN FD A'!AR45*'CN FD C'!AR46)/'CN FD alpha'!AR46)</f>
        <v>-107.89548950007436</v>
      </c>
      <c r="AS45">
        <f>'CN FD B'!AS45-(('CN FD A'!AS45*'CN FD C'!AS46)/'CN FD alpha'!AS46)</f>
        <v>-107.89548950007436</v>
      </c>
      <c r="AT45">
        <f>'CN FD B'!AT45-(('CN FD A'!AT45*'CN FD C'!AT46)/'CN FD alpha'!AT46)</f>
        <v>-107.89548950007436</v>
      </c>
      <c r="AU45">
        <f>'CN FD B'!AU45-(('CN FD A'!AU45*'CN FD C'!AU46)/'CN FD alpha'!AU46)</f>
        <v>-107.89548950007436</v>
      </c>
      <c r="AV45">
        <f>'CN FD B'!AV45-(('CN FD A'!AV45*'CN FD C'!AV46)/'CN FD alpha'!AV46)</f>
        <v>-107.89548950007436</v>
      </c>
      <c r="AW45">
        <f>'CN FD B'!AW45-(('CN FD A'!AW45*'CN FD C'!AW46)/'CN FD alpha'!AW46)</f>
        <v>-107.89548950007436</v>
      </c>
      <c r="AX45">
        <f>'CN FD B'!AX45-(('CN FD A'!AX45*'CN FD C'!AX46)/'CN FD alpha'!AX46)</f>
        <v>-107.89548950007436</v>
      </c>
      <c r="AY45">
        <f>'CN FD B'!AY45-(('CN FD A'!AY45*'CN FD C'!AY46)/'CN FD alpha'!AY46)</f>
        <v>-107.89548950007436</v>
      </c>
      <c r="AZ45">
        <f>'CN FD B'!AZ45-(('CN FD A'!AZ45*'CN FD C'!AZ46)/'CN FD alpha'!AZ46)</f>
        <v>-107.89548950007436</v>
      </c>
      <c r="BA45" s="6"/>
    </row>
    <row r="46" spans="1:53" x14ac:dyDescent="0.2">
      <c r="A46">
        <f t="shared" si="1"/>
        <v>19</v>
      </c>
      <c r="B46" s="3">
        <f t="shared" si="0"/>
        <v>38</v>
      </c>
      <c r="C46">
        <f>'CN FD B'!C46-(('CN FD A'!C46*'CN FD C'!C47)/'CN FD alpha'!C47)</f>
        <v>-107.1403348286302</v>
      </c>
      <c r="D46">
        <f>'CN FD B'!D46-(('CN FD A'!D46*'CN FD C'!D47)/'CN FD alpha'!D47)</f>
        <v>-107.1403348286302</v>
      </c>
      <c r="E46">
        <f>'CN FD B'!E46-(('CN FD A'!E46*'CN FD C'!E47)/'CN FD alpha'!E47)</f>
        <v>-107.1403348286302</v>
      </c>
      <c r="F46">
        <f>'CN FD B'!F46-(('CN FD A'!F46*'CN FD C'!F47)/'CN FD alpha'!F47)</f>
        <v>-107.1403348286302</v>
      </c>
      <c r="G46">
        <f>'CN FD B'!G46-(('CN FD A'!G46*'CN FD C'!G47)/'CN FD alpha'!G47)</f>
        <v>-107.1403348286302</v>
      </c>
      <c r="H46">
        <f>'CN FD B'!H46-(('CN FD A'!H46*'CN FD C'!H47)/'CN FD alpha'!H47)</f>
        <v>-107.1403348286302</v>
      </c>
      <c r="I46">
        <f>'CN FD B'!I46-(('CN FD A'!I46*'CN FD C'!I47)/'CN FD alpha'!I47)</f>
        <v>-107.1403348286302</v>
      </c>
      <c r="J46">
        <f>'CN FD B'!J46-(('CN FD A'!J46*'CN FD C'!J47)/'CN FD alpha'!J47)</f>
        <v>-107.1403348286302</v>
      </c>
      <c r="K46">
        <f>'CN FD B'!K46-(('CN FD A'!K46*'CN FD C'!K47)/'CN FD alpha'!K47)</f>
        <v>-107.1403348286302</v>
      </c>
      <c r="L46">
        <f>'CN FD B'!L46-(('CN FD A'!L46*'CN FD C'!L47)/'CN FD alpha'!L47)</f>
        <v>-107.1403348286302</v>
      </c>
      <c r="M46">
        <f>'CN FD B'!M46-(('CN FD A'!M46*'CN FD C'!M47)/'CN FD alpha'!M47)</f>
        <v>-107.1403348286302</v>
      </c>
      <c r="N46">
        <f>'CN FD B'!N46-(('CN FD A'!N46*'CN FD C'!N47)/'CN FD alpha'!N47)</f>
        <v>-107.1403348286302</v>
      </c>
      <c r="O46">
        <f>'CN FD B'!O46-(('CN FD A'!O46*'CN FD C'!O47)/'CN FD alpha'!O47)</f>
        <v>-107.1403348286302</v>
      </c>
      <c r="P46">
        <f>'CN FD B'!P46-(('CN FD A'!P46*'CN FD C'!P47)/'CN FD alpha'!P47)</f>
        <v>-107.1403348286302</v>
      </c>
      <c r="Q46">
        <f>'CN FD B'!Q46-(('CN FD A'!Q46*'CN FD C'!Q47)/'CN FD alpha'!Q47)</f>
        <v>-107.1403348286302</v>
      </c>
      <c r="R46">
        <f>'CN FD B'!R46-(('CN FD A'!R46*'CN FD C'!R47)/'CN FD alpha'!R47)</f>
        <v>-107.1403348286302</v>
      </c>
      <c r="S46">
        <f>'CN FD B'!S46-(('CN FD A'!S46*'CN FD C'!S47)/'CN FD alpha'!S47)</f>
        <v>-107.1403348286302</v>
      </c>
      <c r="T46">
        <f>'CN FD B'!T46-(('CN FD A'!T46*'CN FD C'!T47)/'CN FD alpha'!T47)</f>
        <v>-107.1403348286302</v>
      </c>
      <c r="U46">
        <f>'CN FD B'!U46-(('CN FD A'!U46*'CN FD C'!U47)/'CN FD alpha'!U47)</f>
        <v>-107.1403348286302</v>
      </c>
      <c r="V46">
        <f>'CN FD B'!V46-(('CN FD A'!V46*'CN FD C'!V47)/'CN FD alpha'!V47)</f>
        <v>-107.1403348286302</v>
      </c>
      <c r="W46">
        <f>'CN FD B'!W46-(('CN FD A'!W46*'CN FD C'!W47)/'CN FD alpha'!W47)</f>
        <v>-107.1403348286302</v>
      </c>
      <c r="X46">
        <f>'CN FD B'!X46-(('CN FD A'!X46*'CN FD C'!X47)/'CN FD alpha'!X47)</f>
        <v>-107.1403348286302</v>
      </c>
      <c r="Y46">
        <f>'CN FD B'!Y46-(('CN FD A'!Y46*'CN FD C'!Y47)/'CN FD alpha'!Y47)</f>
        <v>-107.1403348286302</v>
      </c>
      <c r="Z46">
        <f>'CN FD B'!Z46-(('CN FD A'!Z46*'CN FD C'!Z47)/'CN FD alpha'!Z47)</f>
        <v>-107.1403348286302</v>
      </c>
      <c r="AA46">
        <f>'CN FD B'!AA46-(('CN FD A'!AA46*'CN FD C'!AA47)/'CN FD alpha'!AA47)</f>
        <v>-107.1403348286302</v>
      </c>
      <c r="AB46">
        <f>'CN FD B'!AB46-(('CN FD A'!AB46*'CN FD C'!AB47)/'CN FD alpha'!AB47)</f>
        <v>-107.1403348286302</v>
      </c>
      <c r="AC46">
        <f>'CN FD B'!AC46-(('CN FD A'!AC46*'CN FD C'!AC47)/'CN FD alpha'!AC47)</f>
        <v>-107.1403348286302</v>
      </c>
      <c r="AD46">
        <f>'CN FD B'!AD46-(('CN FD A'!AD46*'CN FD C'!AD47)/'CN FD alpha'!AD47)</f>
        <v>-107.1403348286302</v>
      </c>
      <c r="AE46">
        <f>'CN FD B'!AE46-(('CN FD A'!AE46*'CN FD C'!AE47)/'CN FD alpha'!AE47)</f>
        <v>-107.1403348286302</v>
      </c>
      <c r="AF46">
        <f>'CN FD B'!AF46-(('CN FD A'!AF46*'CN FD C'!AF47)/'CN FD alpha'!AF47)</f>
        <v>-107.1403348286302</v>
      </c>
      <c r="AG46">
        <f>'CN FD B'!AG46-(('CN FD A'!AG46*'CN FD C'!AG47)/'CN FD alpha'!AG47)</f>
        <v>-107.1403348286302</v>
      </c>
      <c r="AH46">
        <f>'CN FD B'!AH46-(('CN FD A'!AH46*'CN FD C'!AH47)/'CN FD alpha'!AH47)</f>
        <v>-107.1403348286302</v>
      </c>
      <c r="AI46">
        <f>'CN FD B'!AI46-(('CN FD A'!AI46*'CN FD C'!AI47)/'CN FD alpha'!AI47)</f>
        <v>-107.1403348286302</v>
      </c>
      <c r="AJ46">
        <f>'CN FD B'!AJ46-(('CN FD A'!AJ46*'CN FD C'!AJ47)/'CN FD alpha'!AJ47)</f>
        <v>-107.1403348286302</v>
      </c>
      <c r="AK46">
        <f>'CN FD B'!AK46-(('CN FD A'!AK46*'CN FD C'!AK47)/'CN FD alpha'!AK47)</f>
        <v>-107.1403348286302</v>
      </c>
      <c r="AL46">
        <f>'CN FD B'!AL46-(('CN FD A'!AL46*'CN FD C'!AL47)/'CN FD alpha'!AL47)</f>
        <v>-107.1403348286302</v>
      </c>
      <c r="AM46">
        <f>'CN FD B'!AM46-(('CN FD A'!AM46*'CN FD C'!AM47)/'CN FD alpha'!AM47)</f>
        <v>-107.1403348286302</v>
      </c>
      <c r="AN46">
        <f>'CN FD B'!AN46-(('CN FD A'!AN46*'CN FD C'!AN47)/'CN FD alpha'!AN47)</f>
        <v>-107.1403348286302</v>
      </c>
      <c r="AO46">
        <f>'CN FD B'!AO46-(('CN FD A'!AO46*'CN FD C'!AO47)/'CN FD alpha'!AO47)</f>
        <v>-107.1403348286302</v>
      </c>
      <c r="AP46">
        <f>'CN FD B'!AP46-(('CN FD A'!AP46*'CN FD C'!AP47)/'CN FD alpha'!AP47)</f>
        <v>-107.1403348286302</v>
      </c>
      <c r="AQ46">
        <f>'CN FD B'!AQ46-(('CN FD A'!AQ46*'CN FD C'!AQ47)/'CN FD alpha'!AQ47)</f>
        <v>-107.1403348286302</v>
      </c>
      <c r="AR46">
        <f>'CN FD B'!AR46-(('CN FD A'!AR46*'CN FD C'!AR47)/'CN FD alpha'!AR47)</f>
        <v>-107.1403348286302</v>
      </c>
      <c r="AS46">
        <f>'CN FD B'!AS46-(('CN FD A'!AS46*'CN FD C'!AS47)/'CN FD alpha'!AS47)</f>
        <v>-107.1403348286302</v>
      </c>
      <c r="AT46">
        <f>'CN FD B'!AT46-(('CN FD A'!AT46*'CN FD C'!AT47)/'CN FD alpha'!AT47)</f>
        <v>-107.1403348286302</v>
      </c>
      <c r="AU46">
        <f>'CN FD B'!AU46-(('CN FD A'!AU46*'CN FD C'!AU47)/'CN FD alpha'!AU47)</f>
        <v>-107.1403348286302</v>
      </c>
      <c r="AV46">
        <f>'CN FD B'!AV46-(('CN FD A'!AV46*'CN FD C'!AV47)/'CN FD alpha'!AV47)</f>
        <v>-107.1403348286302</v>
      </c>
      <c r="AW46">
        <f>'CN FD B'!AW46-(('CN FD A'!AW46*'CN FD C'!AW47)/'CN FD alpha'!AW47)</f>
        <v>-107.1403348286302</v>
      </c>
      <c r="AX46">
        <f>'CN FD B'!AX46-(('CN FD A'!AX46*'CN FD C'!AX47)/'CN FD alpha'!AX47)</f>
        <v>-107.1403348286302</v>
      </c>
      <c r="AY46">
        <f>'CN FD B'!AY46-(('CN FD A'!AY46*'CN FD C'!AY47)/'CN FD alpha'!AY47)</f>
        <v>-107.1403348286302</v>
      </c>
      <c r="AZ46">
        <f>'CN FD B'!AZ46-(('CN FD A'!AZ46*'CN FD C'!AZ47)/'CN FD alpha'!AZ47)</f>
        <v>-107.1403348286302</v>
      </c>
      <c r="BA46" s="6"/>
    </row>
    <row r="47" spans="1:53" x14ac:dyDescent="0.2">
      <c r="A47">
        <f t="shared" si="1"/>
        <v>18</v>
      </c>
      <c r="B47" s="3">
        <f t="shared" si="0"/>
        <v>36</v>
      </c>
      <c r="C47">
        <f>'CN FD B'!C47-(('CN FD A'!C47*'CN FD C'!C48)/'CN FD alpha'!C48)</f>
        <v>-106.42166381745102</v>
      </c>
      <c r="D47">
        <f>'CN FD B'!D47-(('CN FD A'!D47*'CN FD C'!D48)/'CN FD alpha'!D48)</f>
        <v>-106.42166381745102</v>
      </c>
      <c r="E47">
        <f>'CN FD B'!E47-(('CN FD A'!E47*'CN FD C'!E48)/'CN FD alpha'!E48)</f>
        <v>-106.42166381745102</v>
      </c>
      <c r="F47">
        <f>'CN FD B'!F47-(('CN FD A'!F47*'CN FD C'!F48)/'CN FD alpha'!F48)</f>
        <v>-106.42166381745102</v>
      </c>
      <c r="G47">
        <f>'CN FD B'!G47-(('CN FD A'!G47*'CN FD C'!G48)/'CN FD alpha'!G48)</f>
        <v>-106.42166381745102</v>
      </c>
      <c r="H47">
        <f>'CN FD B'!H47-(('CN FD A'!H47*'CN FD C'!H48)/'CN FD alpha'!H48)</f>
        <v>-106.42166381745102</v>
      </c>
      <c r="I47">
        <f>'CN FD B'!I47-(('CN FD A'!I47*'CN FD C'!I48)/'CN FD alpha'!I48)</f>
        <v>-106.42166381745102</v>
      </c>
      <c r="J47">
        <f>'CN FD B'!J47-(('CN FD A'!J47*'CN FD C'!J48)/'CN FD alpha'!J48)</f>
        <v>-106.42166381745102</v>
      </c>
      <c r="K47">
        <f>'CN FD B'!K47-(('CN FD A'!K47*'CN FD C'!K48)/'CN FD alpha'!K48)</f>
        <v>-106.42166381745102</v>
      </c>
      <c r="L47">
        <f>'CN FD B'!L47-(('CN FD A'!L47*'CN FD C'!L48)/'CN FD alpha'!L48)</f>
        <v>-106.42166381745102</v>
      </c>
      <c r="M47">
        <f>'CN FD B'!M47-(('CN FD A'!M47*'CN FD C'!M48)/'CN FD alpha'!M48)</f>
        <v>-106.42166381745102</v>
      </c>
      <c r="N47">
        <f>'CN FD B'!N47-(('CN FD A'!N47*'CN FD C'!N48)/'CN FD alpha'!N48)</f>
        <v>-106.42166381745102</v>
      </c>
      <c r="O47">
        <f>'CN FD B'!O47-(('CN FD A'!O47*'CN FD C'!O48)/'CN FD alpha'!O48)</f>
        <v>-106.42166381745102</v>
      </c>
      <c r="P47">
        <f>'CN FD B'!P47-(('CN FD A'!P47*'CN FD C'!P48)/'CN FD alpha'!P48)</f>
        <v>-106.42166381745102</v>
      </c>
      <c r="Q47">
        <f>'CN FD B'!Q47-(('CN FD A'!Q47*'CN FD C'!Q48)/'CN FD alpha'!Q48)</f>
        <v>-106.42166381745102</v>
      </c>
      <c r="R47">
        <f>'CN FD B'!R47-(('CN FD A'!R47*'CN FD C'!R48)/'CN FD alpha'!R48)</f>
        <v>-106.42166381745102</v>
      </c>
      <c r="S47">
        <f>'CN FD B'!S47-(('CN FD A'!S47*'CN FD C'!S48)/'CN FD alpha'!S48)</f>
        <v>-106.42166381745102</v>
      </c>
      <c r="T47">
        <f>'CN FD B'!T47-(('CN FD A'!T47*'CN FD C'!T48)/'CN FD alpha'!T48)</f>
        <v>-106.42166381745102</v>
      </c>
      <c r="U47">
        <f>'CN FD B'!U47-(('CN FD A'!U47*'CN FD C'!U48)/'CN FD alpha'!U48)</f>
        <v>-106.42166381745102</v>
      </c>
      <c r="V47">
        <f>'CN FD B'!V47-(('CN FD A'!V47*'CN FD C'!V48)/'CN FD alpha'!V48)</f>
        <v>-106.42166381745102</v>
      </c>
      <c r="W47">
        <f>'CN FD B'!W47-(('CN FD A'!W47*'CN FD C'!W48)/'CN FD alpha'!W48)</f>
        <v>-106.42166381745102</v>
      </c>
      <c r="X47">
        <f>'CN FD B'!X47-(('CN FD A'!X47*'CN FD C'!X48)/'CN FD alpha'!X48)</f>
        <v>-106.42166381745102</v>
      </c>
      <c r="Y47">
        <f>'CN FD B'!Y47-(('CN FD A'!Y47*'CN FD C'!Y48)/'CN FD alpha'!Y48)</f>
        <v>-106.42166381745102</v>
      </c>
      <c r="Z47">
        <f>'CN FD B'!Z47-(('CN FD A'!Z47*'CN FD C'!Z48)/'CN FD alpha'!Z48)</f>
        <v>-106.42166381745102</v>
      </c>
      <c r="AA47">
        <f>'CN FD B'!AA47-(('CN FD A'!AA47*'CN FD C'!AA48)/'CN FD alpha'!AA48)</f>
        <v>-106.42166381745102</v>
      </c>
      <c r="AB47">
        <f>'CN FD B'!AB47-(('CN FD A'!AB47*'CN FD C'!AB48)/'CN FD alpha'!AB48)</f>
        <v>-106.42166381745102</v>
      </c>
      <c r="AC47">
        <f>'CN FD B'!AC47-(('CN FD A'!AC47*'CN FD C'!AC48)/'CN FD alpha'!AC48)</f>
        <v>-106.42166381745102</v>
      </c>
      <c r="AD47">
        <f>'CN FD B'!AD47-(('CN FD A'!AD47*'CN FD C'!AD48)/'CN FD alpha'!AD48)</f>
        <v>-106.42166381745102</v>
      </c>
      <c r="AE47">
        <f>'CN FD B'!AE47-(('CN FD A'!AE47*'CN FD C'!AE48)/'CN FD alpha'!AE48)</f>
        <v>-106.42166381745102</v>
      </c>
      <c r="AF47">
        <f>'CN FD B'!AF47-(('CN FD A'!AF47*'CN FD C'!AF48)/'CN FD alpha'!AF48)</f>
        <v>-106.42166381745102</v>
      </c>
      <c r="AG47">
        <f>'CN FD B'!AG47-(('CN FD A'!AG47*'CN FD C'!AG48)/'CN FD alpha'!AG48)</f>
        <v>-106.42166381745102</v>
      </c>
      <c r="AH47">
        <f>'CN FD B'!AH47-(('CN FD A'!AH47*'CN FD C'!AH48)/'CN FD alpha'!AH48)</f>
        <v>-106.42166381745102</v>
      </c>
      <c r="AI47">
        <f>'CN FD B'!AI47-(('CN FD A'!AI47*'CN FD C'!AI48)/'CN FD alpha'!AI48)</f>
        <v>-106.42166381745102</v>
      </c>
      <c r="AJ47">
        <f>'CN FD B'!AJ47-(('CN FD A'!AJ47*'CN FD C'!AJ48)/'CN FD alpha'!AJ48)</f>
        <v>-106.42166381745102</v>
      </c>
      <c r="AK47">
        <f>'CN FD B'!AK47-(('CN FD A'!AK47*'CN FD C'!AK48)/'CN FD alpha'!AK48)</f>
        <v>-106.42166381745102</v>
      </c>
      <c r="AL47">
        <f>'CN FD B'!AL47-(('CN FD A'!AL47*'CN FD C'!AL48)/'CN FD alpha'!AL48)</f>
        <v>-106.42166381745102</v>
      </c>
      <c r="AM47">
        <f>'CN FD B'!AM47-(('CN FD A'!AM47*'CN FD C'!AM48)/'CN FD alpha'!AM48)</f>
        <v>-106.42166381745102</v>
      </c>
      <c r="AN47">
        <f>'CN FD B'!AN47-(('CN FD A'!AN47*'CN FD C'!AN48)/'CN FD alpha'!AN48)</f>
        <v>-106.42166381745102</v>
      </c>
      <c r="AO47">
        <f>'CN FD B'!AO47-(('CN FD A'!AO47*'CN FD C'!AO48)/'CN FD alpha'!AO48)</f>
        <v>-106.42166381745102</v>
      </c>
      <c r="AP47">
        <f>'CN FD B'!AP47-(('CN FD A'!AP47*'CN FD C'!AP48)/'CN FD alpha'!AP48)</f>
        <v>-106.42166381745102</v>
      </c>
      <c r="AQ47">
        <f>'CN FD B'!AQ47-(('CN FD A'!AQ47*'CN FD C'!AQ48)/'CN FD alpha'!AQ48)</f>
        <v>-106.42166381745102</v>
      </c>
      <c r="AR47">
        <f>'CN FD B'!AR47-(('CN FD A'!AR47*'CN FD C'!AR48)/'CN FD alpha'!AR48)</f>
        <v>-106.42166381745102</v>
      </c>
      <c r="AS47">
        <f>'CN FD B'!AS47-(('CN FD A'!AS47*'CN FD C'!AS48)/'CN FD alpha'!AS48)</f>
        <v>-106.42166381745102</v>
      </c>
      <c r="AT47">
        <f>'CN FD B'!AT47-(('CN FD A'!AT47*'CN FD C'!AT48)/'CN FD alpha'!AT48)</f>
        <v>-106.42166381745102</v>
      </c>
      <c r="AU47">
        <f>'CN FD B'!AU47-(('CN FD A'!AU47*'CN FD C'!AU48)/'CN FD alpha'!AU48)</f>
        <v>-106.42166381745102</v>
      </c>
      <c r="AV47">
        <f>'CN FD B'!AV47-(('CN FD A'!AV47*'CN FD C'!AV48)/'CN FD alpha'!AV48)</f>
        <v>-106.42166381745102</v>
      </c>
      <c r="AW47">
        <f>'CN FD B'!AW47-(('CN FD A'!AW47*'CN FD C'!AW48)/'CN FD alpha'!AW48)</f>
        <v>-106.42166381745102</v>
      </c>
      <c r="AX47">
        <f>'CN FD B'!AX47-(('CN FD A'!AX47*'CN FD C'!AX48)/'CN FD alpha'!AX48)</f>
        <v>-106.42166381745102</v>
      </c>
      <c r="AY47">
        <f>'CN FD B'!AY47-(('CN FD A'!AY47*'CN FD C'!AY48)/'CN FD alpha'!AY48)</f>
        <v>-106.42166381745102</v>
      </c>
      <c r="AZ47">
        <f>'CN FD B'!AZ47-(('CN FD A'!AZ47*'CN FD C'!AZ48)/'CN FD alpha'!AZ48)</f>
        <v>-106.42166381745102</v>
      </c>
      <c r="BA47" s="6"/>
    </row>
    <row r="48" spans="1:53" x14ac:dyDescent="0.2">
      <c r="A48">
        <f t="shared" si="1"/>
        <v>17</v>
      </c>
      <c r="B48" s="3">
        <f t="shared" si="0"/>
        <v>34</v>
      </c>
      <c r="C48">
        <f>'CN FD B'!C48-(('CN FD A'!C48*'CN FD C'!C49)/'CN FD alpha'!C49)</f>
        <v>-105.7397968813106</v>
      </c>
      <c r="D48">
        <f>'CN FD B'!D48-(('CN FD A'!D48*'CN FD C'!D49)/'CN FD alpha'!D49)</f>
        <v>-105.7397968813106</v>
      </c>
      <c r="E48">
        <f>'CN FD B'!E48-(('CN FD A'!E48*'CN FD C'!E49)/'CN FD alpha'!E49)</f>
        <v>-105.7397968813106</v>
      </c>
      <c r="F48">
        <f>'CN FD B'!F48-(('CN FD A'!F48*'CN FD C'!F49)/'CN FD alpha'!F49)</f>
        <v>-105.7397968813106</v>
      </c>
      <c r="G48">
        <f>'CN FD B'!G48-(('CN FD A'!G48*'CN FD C'!G49)/'CN FD alpha'!G49)</f>
        <v>-105.7397968813106</v>
      </c>
      <c r="H48">
        <f>'CN FD B'!H48-(('CN FD A'!H48*'CN FD C'!H49)/'CN FD alpha'!H49)</f>
        <v>-105.7397968813106</v>
      </c>
      <c r="I48">
        <f>'CN FD B'!I48-(('CN FD A'!I48*'CN FD C'!I49)/'CN FD alpha'!I49)</f>
        <v>-105.7397968813106</v>
      </c>
      <c r="J48">
        <f>'CN FD B'!J48-(('CN FD A'!J48*'CN FD C'!J49)/'CN FD alpha'!J49)</f>
        <v>-105.7397968813106</v>
      </c>
      <c r="K48">
        <f>'CN FD B'!K48-(('CN FD A'!K48*'CN FD C'!K49)/'CN FD alpha'!K49)</f>
        <v>-105.7397968813106</v>
      </c>
      <c r="L48">
        <f>'CN FD B'!L48-(('CN FD A'!L48*'CN FD C'!L49)/'CN FD alpha'!L49)</f>
        <v>-105.7397968813106</v>
      </c>
      <c r="M48">
        <f>'CN FD B'!M48-(('CN FD A'!M48*'CN FD C'!M49)/'CN FD alpha'!M49)</f>
        <v>-105.7397968813106</v>
      </c>
      <c r="N48">
        <f>'CN FD B'!N48-(('CN FD A'!N48*'CN FD C'!N49)/'CN FD alpha'!N49)</f>
        <v>-105.7397968813106</v>
      </c>
      <c r="O48">
        <f>'CN FD B'!O48-(('CN FD A'!O48*'CN FD C'!O49)/'CN FD alpha'!O49)</f>
        <v>-105.7397968813106</v>
      </c>
      <c r="P48">
        <f>'CN FD B'!P48-(('CN FD A'!P48*'CN FD C'!P49)/'CN FD alpha'!P49)</f>
        <v>-105.7397968813106</v>
      </c>
      <c r="Q48">
        <f>'CN FD B'!Q48-(('CN FD A'!Q48*'CN FD C'!Q49)/'CN FD alpha'!Q49)</f>
        <v>-105.7397968813106</v>
      </c>
      <c r="R48">
        <f>'CN FD B'!R48-(('CN FD A'!R48*'CN FD C'!R49)/'CN FD alpha'!R49)</f>
        <v>-105.7397968813106</v>
      </c>
      <c r="S48">
        <f>'CN FD B'!S48-(('CN FD A'!S48*'CN FD C'!S49)/'CN FD alpha'!S49)</f>
        <v>-105.7397968813106</v>
      </c>
      <c r="T48">
        <f>'CN FD B'!T48-(('CN FD A'!T48*'CN FD C'!T49)/'CN FD alpha'!T49)</f>
        <v>-105.7397968813106</v>
      </c>
      <c r="U48">
        <f>'CN FD B'!U48-(('CN FD A'!U48*'CN FD C'!U49)/'CN FD alpha'!U49)</f>
        <v>-105.7397968813106</v>
      </c>
      <c r="V48">
        <f>'CN FD B'!V48-(('CN FD A'!V48*'CN FD C'!V49)/'CN FD alpha'!V49)</f>
        <v>-105.7397968813106</v>
      </c>
      <c r="W48">
        <f>'CN FD B'!W48-(('CN FD A'!W48*'CN FD C'!W49)/'CN FD alpha'!W49)</f>
        <v>-105.7397968813106</v>
      </c>
      <c r="X48">
        <f>'CN FD B'!X48-(('CN FD A'!X48*'CN FD C'!X49)/'CN FD alpha'!X49)</f>
        <v>-105.7397968813106</v>
      </c>
      <c r="Y48">
        <f>'CN FD B'!Y48-(('CN FD A'!Y48*'CN FD C'!Y49)/'CN FD alpha'!Y49)</f>
        <v>-105.7397968813106</v>
      </c>
      <c r="Z48">
        <f>'CN FD B'!Z48-(('CN FD A'!Z48*'CN FD C'!Z49)/'CN FD alpha'!Z49)</f>
        <v>-105.7397968813106</v>
      </c>
      <c r="AA48">
        <f>'CN FD B'!AA48-(('CN FD A'!AA48*'CN FD C'!AA49)/'CN FD alpha'!AA49)</f>
        <v>-105.7397968813106</v>
      </c>
      <c r="AB48">
        <f>'CN FD B'!AB48-(('CN FD A'!AB48*'CN FD C'!AB49)/'CN FD alpha'!AB49)</f>
        <v>-105.7397968813106</v>
      </c>
      <c r="AC48">
        <f>'CN FD B'!AC48-(('CN FD A'!AC48*'CN FD C'!AC49)/'CN FD alpha'!AC49)</f>
        <v>-105.7397968813106</v>
      </c>
      <c r="AD48">
        <f>'CN FD B'!AD48-(('CN FD A'!AD48*'CN FD C'!AD49)/'CN FD alpha'!AD49)</f>
        <v>-105.7397968813106</v>
      </c>
      <c r="AE48">
        <f>'CN FD B'!AE48-(('CN FD A'!AE48*'CN FD C'!AE49)/'CN FD alpha'!AE49)</f>
        <v>-105.7397968813106</v>
      </c>
      <c r="AF48">
        <f>'CN FD B'!AF48-(('CN FD A'!AF48*'CN FD C'!AF49)/'CN FD alpha'!AF49)</f>
        <v>-105.7397968813106</v>
      </c>
      <c r="AG48">
        <f>'CN FD B'!AG48-(('CN FD A'!AG48*'CN FD C'!AG49)/'CN FD alpha'!AG49)</f>
        <v>-105.7397968813106</v>
      </c>
      <c r="AH48">
        <f>'CN FD B'!AH48-(('CN FD A'!AH48*'CN FD C'!AH49)/'CN FD alpha'!AH49)</f>
        <v>-105.7397968813106</v>
      </c>
      <c r="AI48">
        <f>'CN FD B'!AI48-(('CN FD A'!AI48*'CN FD C'!AI49)/'CN FD alpha'!AI49)</f>
        <v>-105.7397968813106</v>
      </c>
      <c r="AJ48">
        <f>'CN FD B'!AJ48-(('CN FD A'!AJ48*'CN FD C'!AJ49)/'CN FD alpha'!AJ49)</f>
        <v>-105.7397968813106</v>
      </c>
      <c r="AK48">
        <f>'CN FD B'!AK48-(('CN FD A'!AK48*'CN FD C'!AK49)/'CN FD alpha'!AK49)</f>
        <v>-105.7397968813106</v>
      </c>
      <c r="AL48">
        <f>'CN FD B'!AL48-(('CN FD A'!AL48*'CN FD C'!AL49)/'CN FD alpha'!AL49)</f>
        <v>-105.7397968813106</v>
      </c>
      <c r="AM48">
        <f>'CN FD B'!AM48-(('CN FD A'!AM48*'CN FD C'!AM49)/'CN FD alpha'!AM49)</f>
        <v>-105.7397968813106</v>
      </c>
      <c r="AN48">
        <f>'CN FD B'!AN48-(('CN FD A'!AN48*'CN FD C'!AN49)/'CN FD alpha'!AN49)</f>
        <v>-105.7397968813106</v>
      </c>
      <c r="AO48">
        <f>'CN FD B'!AO48-(('CN FD A'!AO48*'CN FD C'!AO49)/'CN FD alpha'!AO49)</f>
        <v>-105.7397968813106</v>
      </c>
      <c r="AP48">
        <f>'CN FD B'!AP48-(('CN FD A'!AP48*'CN FD C'!AP49)/'CN FD alpha'!AP49)</f>
        <v>-105.7397968813106</v>
      </c>
      <c r="AQ48">
        <f>'CN FD B'!AQ48-(('CN FD A'!AQ48*'CN FD C'!AQ49)/'CN FD alpha'!AQ49)</f>
        <v>-105.7397968813106</v>
      </c>
      <c r="AR48">
        <f>'CN FD B'!AR48-(('CN FD A'!AR48*'CN FD C'!AR49)/'CN FD alpha'!AR49)</f>
        <v>-105.7397968813106</v>
      </c>
      <c r="AS48">
        <f>'CN FD B'!AS48-(('CN FD A'!AS48*'CN FD C'!AS49)/'CN FD alpha'!AS49)</f>
        <v>-105.7397968813106</v>
      </c>
      <c r="AT48">
        <f>'CN FD B'!AT48-(('CN FD A'!AT48*'CN FD C'!AT49)/'CN FD alpha'!AT49)</f>
        <v>-105.7397968813106</v>
      </c>
      <c r="AU48">
        <f>'CN FD B'!AU48-(('CN FD A'!AU48*'CN FD C'!AU49)/'CN FD alpha'!AU49)</f>
        <v>-105.7397968813106</v>
      </c>
      <c r="AV48">
        <f>'CN FD B'!AV48-(('CN FD A'!AV48*'CN FD C'!AV49)/'CN FD alpha'!AV49)</f>
        <v>-105.7397968813106</v>
      </c>
      <c r="AW48">
        <f>'CN FD B'!AW48-(('CN FD A'!AW48*'CN FD C'!AW49)/'CN FD alpha'!AW49)</f>
        <v>-105.7397968813106</v>
      </c>
      <c r="AX48">
        <f>'CN FD B'!AX48-(('CN FD A'!AX48*'CN FD C'!AX49)/'CN FD alpha'!AX49)</f>
        <v>-105.7397968813106</v>
      </c>
      <c r="AY48">
        <f>'CN FD B'!AY48-(('CN FD A'!AY48*'CN FD C'!AY49)/'CN FD alpha'!AY49)</f>
        <v>-105.7397968813106</v>
      </c>
      <c r="AZ48">
        <f>'CN FD B'!AZ48-(('CN FD A'!AZ48*'CN FD C'!AZ49)/'CN FD alpha'!AZ49)</f>
        <v>-105.7397968813106</v>
      </c>
      <c r="BA48" s="6"/>
    </row>
    <row r="49" spans="1:53" x14ac:dyDescent="0.2">
      <c r="A49">
        <f t="shared" si="1"/>
        <v>16</v>
      </c>
      <c r="B49" s="3">
        <f t="shared" si="0"/>
        <v>32</v>
      </c>
      <c r="C49">
        <f>'CN FD B'!C49-(('CN FD A'!C49*'CN FD C'!C50)/'CN FD alpha'!C50)</f>
        <v>-105.09504617084569</v>
      </c>
      <c r="D49">
        <f>'CN FD B'!D49-(('CN FD A'!D49*'CN FD C'!D50)/'CN FD alpha'!D50)</f>
        <v>-105.09504617084569</v>
      </c>
      <c r="E49">
        <f>'CN FD B'!E49-(('CN FD A'!E49*'CN FD C'!E50)/'CN FD alpha'!E50)</f>
        <v>-105.09504617084569</v>
      </c>
      <c r="F49">
        <f>'CN FD B'!F49-(('CN FD A'!F49*'CN FD C'!F50)/'CN FD alpha'!F50)</f>
        <v>-105.09504617084569</v>
      </c>
      <c r="G49">
        <f>'CN FD B'!G49-(('CN FD A'!G49*'CN FD C'!G50)/'CN FD alpha'!G50)</f>
        <v>-105.09504617084569</v>
      </c>
      <c r="H49">
        <f>'CN FD B'!H49-(('CN FD A'!H49*'CN FD C'!H50)/'CN FD alpha'!H50)</f>
        <v>-105.09504617084569</v>
      </c>
      <c r="I49">
        <f>'CN FD B'!I49-(('CN FD A'!I49*'CN FD C'!I50)/'CN FD alpha'!I50)</f>
        <v>-105.09504617084569</v>
      </c>
      <c r="J49">
        <f>'CN FD B'!J49-(('CN FD A'!J49*'CN FD C'!J50)/'CN FD alpha'!J50)</f>
        <v>-105.09504617084569</v>
      </c>
      <c r="K49">
        <f>'CN FD B'!K49-(('CN FD A'!K49*'CN FD C'!K50)/'CN FD alpha'!K50)</f>
        <v>-105.09504617084569</v>
      </c>
      <c r="L49">
        <f>'CN FD B'!L49-(('CN FD A'!L49*'CN FD C'!L50)/'CN FD alpha'!L50)</f>
        <v>-105.09504617084569</v>
      </c>
      <c r="M49">
        <f>'CN FD B'!M49-(('CN FD A'!M49*'CN FD C'!M50)/'CN FD alpha'!M50)</f>
        <v>-105.09504617084569</v>
      </c>
      <c r="N49">
        <f>'CN FD B'!N49-(('CN FD A'!N49*'CN FD C'!N50)/'CN FD alpha'!N50)</f>
        <v>-105.09504617084569</v>
      </c>
      <c r="O49">
        <f>'CN FD B'!O49-(('CN FD A'!O49*'CN FD C'!O50)/'CN FD alpha'!O50)</f>
        <v>-105.09504617084569</v>
      </c>
      <c r="P49">
        <f>'CN FD B'!P49-(('CN FD A'!P49*'CN FD C'!P50)/'CN FD alpha'!P50)</f>
        <v>-105.09504617084569</v>
      </c>
      <c r="Q49">
        <f>'CN FD B'!Q49-(('CN FD A'!Q49*'CN FD C'!Q50)/'CN FD alpha'!Q50)</f>
        <v>-105.09504617084569</v>
      </c>
      <c r="R49">
        <f>'CN FD B'!R49-(('CN FD A'!R49*'CN FD C'!R50)/'CN FD alpha'!R50)</f>
        <v>-105.09504617084569</v>
      </c>
      <c r="S49">
        <f>'CN FD B'!S49-(('CN FD A'!S49*'CN FD C'!S50)/'CN FD alpha'!S50)</f>
        <v>-105.09504617084569</v>
      </c>
      <c r="T49">
        <f>'CN FD B'!T49-(('CN FD A'!T49*'CN FD C'!T50)/'CN FD alpha'!T50)</f>
        <v>-105.09504617084569</v>
      </c>
      <c r="U49">
        <f>'CN FD B'!U49-(('CN FD A'!U49*'CN FD C'!U50)/'CN FD alpha'!U50)</f>
        <v>-105.09504617084569</v>
      </c>
      <c r="V49">
        <f>'CN FD B'!V49-(('CN FD A'!V49*'CN FD C'!V50)/'CN FD alpha'!V50)</f>
        <v>-105.09504617084569</v>
      </c>
      <c r="W49">
        <f>'CN FD B'!W49-(('CN FD A'!W49*'CN FD C'!W50)/'CN FD alpha'!W50)</f>
        <v>-105.09504617084569</v>
      </c>
      <c r="X49">
        <f>'CN FD B'!X49-(('CN FD A'!X49*'CN FD C'!X50)/'CN FD alpha'!X50)</f>
        <v>-105.09504617084569</v>
      </c>
      <c r="Y49">
        <f>'CN FD B'!Y49-(('CN FD A'!Y49*'CN FD C'!Y50)/'CN FD alpha'!Y50)</f>
        <v>-105.09504617084569</v>
      </c>
      <c r="Z49">
        <f>'CN FD B'!Z49-(('CN FD A'!Z49*'CN FD C'!Z50)/'CN FD alpha'!Z50)</f>
        <v>-105.09504617084569</v>
      </c>
      <c r="AA49">
        <f>'CN FD B'!AA49-(('CN FD A'!AA49*'CN FD C'!AA50)/'CN FD alpha'!AA50)</f>
        <v>-105.09504617084569</v>
      </c>
      <c r="AB49">
        <f>'CN FD B'!AB49-(('CN FD A'!AB49*'CN FD C'!AB50)/'CN FD alpha'!AB50)</f>
        <v>-105.09504617084569</v>
      </c>
      <c r="AC49">
        <f>'CN FD B'!AC49-(('CN FD A'!AC49*'CN FD C'!AC50)/'CN FD alpha'!AC50)</f>
        <v>-105.09504617084569</v>
      </c>
      <c r="AD49">
        <f>'CN FD B'!AD49-(('CN FD A'!AD49*'CN FD C'!AD50)/'CN FD alpha'!AD50)</f>
        <v>-105.09504617084569</v>
      </c>
      <c r="AE49">
        <f>'CN FD B'!AE49-(('CN FD A'!AE49*'CN FD C'!AE50)/'CN FD alpha'!AE50)</f>
        <v>-105.09504617084569</v>
      </c>
      <c r="AF49">
        <f>'CN FD B'!AF49-(('CN FD A'!AF49*'CN FD C'!AF50)/'CN FD alpha'!AF50)</f>
        <v>-105.09504617084569</v>
      </c>
      <c r="AG49">
        <f>'CN FD B'!AG49-(('CN FD A'!AG49*'CN FD C'!AG50)/'CN FD alpha'!AG50)</f>
        <v>-105.09504617084569</v>
      </c>
      <c r="AH49">
        <f>'CN FD B'!AH49-(('CN FD A'!AH49*'CN FD C'!AH50)/'CN FD alpha'!AH50)</f>
        <v>-105.09504617084569</v>
      </c>
      <c r="AI49">
        <f>'CN FD B'!AI49-(('CN FD A'!AI49*'CN FD C'!AI50)/'CN FD alpha'!AI50)</f>
        <v>-105.09504617084569</v>
      </c>
      <c r="AJ49">
        <f>'CN FD B'!AJ49-(('CN FD A'!AJ49*'CN FD C'!AJ50)/'CN FD alpha'!AJ50)</f>
        <v>-105.09504617084569</v>
      </c>
      <c r="AK49">
        <f>'CN FD B'!AK49-(('CN FD A'!AK49*'CN FD C'!AK50)/'CN FD alpha'!AK50)</f>
        <v>-105.09504617084569</v>
      </c>
      <c r="AL49">
        <f>'CN FD B'!AL49-(('CN FD A'!AL49*'CN FD C'!AL50)/'CN FD alpha'!AL50)</f>
        <v>-105.09504617084569</v>
      </c>
      <c r="AM49">
        <f>'CN FD B'!AM49-(('CN FD A'!AM49*'CN FD C'!AM50)/'CN FD alpha'!AM50)</f>
        <v>-105.09504617084569</v>
      </c>
      <c r="AN49">
        <f>'CN FD B'!AN49-(('CN FD A'!AN49*'CN FD C'!AN50)/'CN FD alpha'!AN50)</f>
        <v>-105.09504617084569</v>
      </c>
      <c r="AO49">
        <f>'CN FD B'!AO49-(('CN FD A'!AO49*'CN FD C'!AO50)/'CN FD alpha'!AO50)</f>
        <v>-105.09504617084569</v>
      </c>
      <c r="AP49">
        <f>'CN FD B'!AP49-(('CN FD A'!AP49*'CN FD C'!AP50)/'CN FD alpha'!AP50)</f>
        <v>-105.09504617084569</v>
      </c>
      <c r="AQ49">
        <f>'CN FD B'!AQ49-(('CN FD A'!AQ49*'CN FD C'!AQ50)/'CN FD alpha'!AQ50)</f>
        <v>-105.09504617084569</v>
      </c>
      <c r="AR49">
        <f>'CN FD B'!AR49-(('CN FD A'!AR49*'CN FD C'!AR50)/'CN FD alpha'!AR50)</f>
        <v>-105.09504617084569</v>
      </c>
      <c r="AS49">
        <f>'CN FD B'!AS49-(('CN FD A'!AS49*'CN FD C'!AS50)/'CN FD alpha'!AS50)</f>
        <v>-105.09504617084569</v>
      </c>
      <c r="AT49">
        <f>'CN FD B'!AT49-(('CN FD A'!AT49*'CN FD C'!AT50)/'CN FD alpha'!AT50)</f>
        <v>-105.09504617084569</v>
      </c>
      <c r="AU49">
        <f>'CN FD B'!AU49-(('CN FD A'!AU49*'CN FD C'!AU50)/'CN FD alpha'!AU50)</f>
        <v>-105.09504617084569</v>
      </c>
      <c r="AV49">
        <f>'CN FD B'!AV49-(('CN FD A'!AV49*'CN FD C'!AV50)/'CN FD alpha'!AV50)</f>
        <v>-105.09504617084569</v>
      </c>
      <c r="AW49">
        <f>'CN FD B'!AW49-(('CN FD A'!AW49*'CN FD C'!AW50)/'CN FD alpha'!AW50)</f>
        <v>-105.09504617084569</v>
      </c>
      <c r="AX49">
        <f>'CN FD B'!AX49-(('CN FD A'!AX49*'CN FD C'!AX50)/'CN FD alpha'!AX50)</f>
        <v>-105.09504617084569</v>
      </c>
      <c r="AY49">
        <f>'CN FD B'!AY49-(('CN FD A'!AY49*'CN FD C'!AY50)/'CN FD alpha'!AY50)</f>
        <v>-105.09504617084569</v>
      </c>
      <c r="AZ49">
        <f>'CN FD B'!AZ49-(('CN FD A'!AZ49*'CN FD C'!AZ50)/'CN FD alpha'!AZ50)</f>
        <v>-105.09504617084569</v>
      </c>
      <c r="BA49" s="6"/>
    </row>
    <row r="50" spans="1:53" x14ac:dyDescent="0.2">
      <c r="A50">
        <f t="shared" si="1"/>
        <v>15</v>
      </c>
      <c r="B50" s="3">
        <f t="shared" si="0"/>
        <v>30</v>
      </c>
      <c r="C50">
        <f>'CN FD B'!C50-(('CN FD A'!C50*'CN FD C'!C51)/'CN FD alpha'!C51)</f>
        <v>-104.48771429332093</v>
      </c>
      <c r="D50">
        <f>'CN FD B'!D50-(('CN FD A'!D50*'CN FD C'!D51)/'CN FD alpha'!D51)</f>
        <v>-104.48771429332093</v>
      </c>
      <c r="E50">
        <f>'CN FD B'!E50-(('CN FD A'!E50*'CN FD C'!E51)/'CN FD alpha'!E51)</f>
        <v>-104.48771429332093</v>
      </c>
      <c r="F50">
        <f>'CN FD B'!F50-(('CN FD A'!F50*'CN FD C'!F51)/'CN FD alpha'!F51)</f>
        <v>-104.48771429332093</v>
      </c>
      <c r="G50">
        <f>'CN FD B'!G50-(('CN FD A'!G50*'CN FD C'!G51)/'CN FD alpha'!G51)</f>
        <v>-104.48771429332093</v>
      </c>
      <c r="H50">
        <f>'CN FD B'!H50-(('CN FD A'!H50*'CN FD C'!H51)/'CN FD alpha'!H51)</f>
        <v>-104.48771429332093</v>
      </c>
      <c r="I50">
        <f>'CN FD B'!I50-(('CN FD A'!I50*'CN FD C'!I51)/'CN FD alpha'!I51)</f>
        <v>-104.48771429332093</v>
      </c>
      <c r="J50">
        <f>'CN FD B'!J50-(('CN FD A'!J50*'CN FD C'!J51)/'CN FD alpha'!J51)</f>
        <v>-104.48771429332093</v>
      </c>
      <c r="K50">
        <f>'CN FD B'!K50-(('CN FD A'!K50*'CN FD C'!K51)/'CN FD alpha'!K51)</f>
        <v>-104.48771429332093</v>
      </c>
      <c r="L50">
        <f>'CN FD B'!L50-(('CN FD A'!L50*'CN FD C'!L51)/'CN FD alpha'!L51)</f>
        <v>-104.48771429332093</v>
      </c>
      <c r="M50">
        <f>'CN FD B'!M50-(('CN FD A'!M50*'CN FD C'!M51)/'CN FD alpha'!M51)</f>
        <v>-104.48771429332093</v>
      </c>
      <c r="N50">
        <f>'CN FD B'!N50-(('CN FD A'!N50*'CN FD C'!N51)/'CN FD alpha'!N51)</f>
        <v>-104.48771429332093</v>
      </c>
      <c r="O50">
        <f>'CN FD B'!O50-(('CN FD A'!O50*'CN FD C'!O51)/'CN FD alpha'!O51)</f>
        <v>-104.48771429332093</v>
      </c>
      <c r="P50">
        <f>'CN FD B'!P50-(('CN FD A'!P50*'CN FD C'!P51)/'CN FD alpha'!P51)</f>
        <v>-104.48771429332093</v>
      </c>
      <c r="Q50">
        <f>'CN FD B'!Q50-(('CN FD A'!Q50*'CN FD C'!Q51)/'CN FD alpha'!Q51)</f>
        <v>-104.48771429332093</v>
      </c>
      <c r="R50">
        <f>'CN FD B'!R50-(('CN FD A'!R50*'CN FD C'!R51)/'CN FD alpha'!R51)</f>
        <v>-104.48771429332093</v>
      </c>
      <c r="S50">
        <f>'CN FD B'!S50-(('CN FD A'!S50*'CN FD C'!S51)/'CN FD alpha'!S51)</f>
        <v>-104.48771429332093</v>
      </c>
      <c r="T50">
        <f>'CN FD B'!T50-(('CN FD A'!T50*'CN FD C'!T51)/'CN FD alpha'!T51)</f>
        <v>-104.48771429332093</v>
      </c>
      <c r="U50">
        <f>'CN FD B'!U50-(('CN FD A'!U50*'CN FD C'!U51)/'CN FD alpha'!U51)</f>
        <v>-104.48771429332093</v>
      </c>
      <c r="V50">
        <f>'CN FD B'!V50-(('CN FD A'!V50*'CN FD C'!V51)/'CN FD alpha'!V51)</f>
        <v>-104.48771429332093</v>
      </c>
      <c r="W50">
        <f>'CN FD B'!W50-(('CN FD A'!W50*'CN FD C'!W51)/'CN FD alpha'!W51)</f>
        <v>-104.48771429332093</v>
      </c>
      <c r="X50">
        <f>'CN FD B'!X50-(('CN FD A'!X50*'CN FD C'!X51)/'CN FD alpha'!X51)</f>
        <v>-104.48771429332093</v>
      </c>
      <c r="Y50">
        <f>'CN FD B'!Y50-(('CN FD A'!Y50*'CN FD C'!Y51)/'CN FD alpha'!Y51)</f>
        <v>-104.48771429332093</v>
      </c>
      <c r="Z50">
        <f>'CN FD B'!Z50-(('CN FD A'!Z50*'CN FD C'!Z51)/'CN FD alpha'!Z51)</f>
        <v>-104.48771429332093</v>
      </c>
      <c r="AA50">
        <f>'CN FD B'!AA50-(('CN FD A'!AA50*'CN FD C'!AA51)/'CN FD alpha'!AA51)</f>
        <v>-104.48771429332093</v>
      </c>
      <c r="AB50">
        <f>'CN FD B'!AB50-(('CN FD A'!AB50*'CN FD C'!AB51)/'CN FD alpha'!AB51)</f>
        <v>-104.48771429332093</v>
      </c>
      <c r="AC50">
        <f>'CN FD B'!AC50-(('CN FD A'!AC50*'CN FD C'!AC51)/'CN FD alpha'!AC51)</f>
        <v>-104.48771429332093</v>
      </c>
      <c r="AD50">
        <f>'CN FD B'!AD50-(('CN FD A'!AD50*'CN FD C'!AD51)/'CN FD alpha'!AD51)</f>
        <v>-104.48771429332093</v>
      </c>
      <c r="AE50">
        <f>'CN FD B'!AE50-(('CN FD A'!AE50*'CN FD C'!AE51)/'CN FD alpha'!AE51)</f>
        <v>-104.48771429332093</v>
      </c>
      <c r="AF50">
        <f>'CN FD B'!AF50-(('CN FD A'!AF50*'CN FD C'!AF51)/'CN FD alpha'!AF51)</f>
        <v>-104.48771429332093</v>
      </c>
      <c r="AG50">
        <f>'CN FD B'!AG50-(('CN FD A'!AG50*'CN FD C'!AG51)/'CN FD alpha'!AG51)</f>
        <v>-104.48771429332093</v>
      </c>
      <c r="AH50">
        <f>'CN FD B'!AH50-(('CN FD A'!AH50*'CN FD C'!AH51)/'CN FD alpha'!AH51)</f>
        <v>-104.48771429332093</v>
      </c>
      <c r="AI50">
        <f>'CN FD B'!AI50-(('CN FD A'!AI50*'CN FD C'!AI51)/'CN FD alpha'!AI51)</f>
        <v>-104.48771429332093</v>
      </c>
      <c r="AJ50">
        <f>'CN FD B'!AJ50-(('CN FD A'!AJ50*'CN FD C'!AJ51)/'CN FD alpha'!AJ51)</f>
        <v>-104.48771429332093</v>
      </c>
      <c r="AK50">
        <f>'CN FD B'!AK50-(('CN FD A'!AK50*'CN FD C'!AK51)/'CN FD alpha'!AK51)</f>
        <v>-104.48771429332093</v>
      </c>
      <c r="AL50">
        <f>'CN FD B'!AL50-(('CN FD A'!AL50*'CN FD C'!AL51)/'CN FD alpha'!AL51)</f>
        <v>-104.48771429332093</v>
      </c>
      <c r="AM50">
        <f>'CN FD B'!AM50-(('CN FD A'!AM50*'CN FD C'!AM51)/'CN FD alpha'!AM51)</f>
        <v>-104.48771429332093</v>
      </c>
      <c r="AN50">
        <f>'CN FD B'!AN50-(('CN FD A'!AN50*'CN FD C'!AN51)/'CN FD alpha'!AN51)</f>
        <v>-104.48771429332093</v>
      </c>
      <c r="AO50">
        <f>'CN FD B'!AO50-(('CN FD A'!AO50*'CN FD C'!AO51)/'CN FD alpha'!AO51)</f>
        <v>-104.48771429332093</v>
      </c>
      <c r="AP50">
        <f>'CN FD B'!AP50-(('CN FD A'!AP50*'CN FD C'!AP51)/'CN FD alpha'!AP51)</f>
        <v>-104.48771429332093</v>
      </c>
      <c r="AQ50">
        <f>'CN FD B'!AQ50-(('CN FD A'!AQ50*'CN FD C'!AQ51)/'CN FD alpha'!AQ51)</f>
        <v>-104.48771429332093</v>
      </c>
      <c r="AR50">
        <f>'CN FD B'!AR50-(('CN FD A'!AR50*'CN FD C'!AR51)/'CN FD alpha'!AR51)</f>
        <v>-104.48771429332093</v>
      </c>
      <c r="AS50">
        <f>'CN FD B'!AS50-(('CN FD A'!AS50*'CN FD C'!AS51)/'CN FD alpha'!AS51)</f>
        <v>-104.48771429332093</v>
      </c>
      <c r="AT50">
        <f>'CN FD B'!AT50-(('CN FD A'!AT50*'CN FD C'!AT51)/'CN FD alpha'!AT51)</f>
        <v>-104.48771429332093</v>
      </c>
      <c r="AU50">
        <f>'CN FD B'!AU50-(('CN FD A'!AU50*'CN FD C'!AU51)/'CN FD alpha'!AU51)</f>
        <v>-104.48771429332093</v>
      </c>
      <c r="AV50">
        <f>'CN FD B'!AV50-(('CN FD A'!AV50*'CN FD C'!AV51)/'CN FD alpha'!AV51)</f>
        <v>-104.48771429332093</v>
      </c>
      <c r="AW50">
        <f>'CN FD B'!AW50-(('CN FD A'!AW50*'CN FD C'!AW51)/'CN FD alpha'!AW51)</f>
        <v>-104.48771429332093</v>
      </c>
      <c r="AX50">
        <f>'CN FD B'!AX50-(('CN FD A'!AX50*'CN FD C'!AX51)/'CN FD alpha'!AX51)</f>
        <v>-104.48771429332093</v>
      </c>
      <c r="AY50">
        <f>'CN FD B'!AY50-(('CN FD A'!AY50*'CN FD C'!AY51)/'CN FD alpha'!AY51)</f>
        <v>-104.48771429332093</v>
      </c>
      <c r="AZ50">
        <f>'CN FD B'!AZ50-(('CN FD A'!AZ50*'CN FD C'!AZ51)/'CN FD alpha'!AZ51)</f>
        <v>-104.48771429332093</v>
      </c>
      <c r="BA50" s="6"/>
    </row>
    <row r="51" spans="1:53" x14ac:dyDescent="0.2">
      <c r="A51">
        <f t="shared" si="1"/>
        <v>14</v>
      </c>
      <c r="B51" s="3">
        <f t="shared" si="0"/>
        <v>28</v>
      </c>
      <c r="C51">
        <f>'CN FD B'!C51-(('CN FD A'!C51*'CN FD C'!C52)/'CN FD alpha'!C52)</f>
        <v>-103.91809301781912</v>
      </c>
      <c r="D51">
        <f>'CN FD B'!D51-(('CN FD A'!D51*'CN FD C'!D52)/'CN FD alpha'!D52)</f>
        <v>-103.91809301781912</v>
      </c>
      <c r="E51">
        <f>'CN FD B'!E51-(('CN FD A'!E51*'CN FD C'!E52)/'CN FD alpha'!E52)</f>
        <v>-103.91809301781912</v>
      </c>
      <c r="F51">
        <f>'CN FD B'!F51-(('CN FD A'!F51*'CN FD C'!F52)/'CN FD alpha'!F52)</f>
        <v>-103.91809301781912</v>
      </c>
      <c r="G51">
        <f>'CN FD B'!G51-(('CN FD A'!G51*'CN FD C'!G52)/'CN FD alpha'!G52)</f>
        <v>-103.91809301781912</v>
      </c>
      <c r="H51">
        <f>'CN FD B'!H51-(('CN FD A'!H51*'CN FD C'!H52)/'CN FD alpha'!H52)</f>
        <v>-103.91809301781912</v>
      </c>
      <c r="I51">
        <f>'CN FD B'!I51-(('CN FD A'!I51*'CN FD C'!I52)/'CN FD alpha'!I52)</f>
        <v>-103.91809301781912</v>
      </c>
      <c r="J51">
        <f>'CN FD B'!J51-(('CN FD A'!J51*'CN FD C'!J52)/'CN FD alpha'!J52)</f>
        <v>-103.91809301781912</v>
      </c>
      <c r="K51">
        <f>'CN FD B'!K51-(('CN FD A'!K51*'CN FD C'!K52)/'CN FD alpha'!K52)</f>
        <v>-103.91809301781912</v>
      </c>
      <c r="L51">
        <f>'CN FD B'!L51-(('CN FD A'!L51*'CN FD C'!L52)/'CN FD alpha'!L52)</f>
        <v>-103.91809301781912</v>
      </c>
      <c r="M51">
        <f>'CN FD B'!M51-(('CN FD A'!M51*'CN FD C'!M52)/'CN FD alpha'!M52)</f>
        <v>-103.91809301781912</v>
      </c>
      <c r="N51">
        <f>'CN FD B'!N51-(('CN FD A'!N51*'CN FD C'!N52)/'CN FD alpha'!N52)</f>
        <v>-103.91809301781912</v>
      </c>
      <c r="O51">
        <f>'CN FD B'!O51-(('CN FD A'!O51*'CN FD C'!O52)/'CN FD alpha'!O52)</f>
        <v>-103.91809301781912</v>
      </c>
      <c r="P51">
        <f>'CN FD B'!P51-(('CN FD A'!P51*'CN FD C'!P52)/'CN FD alpha'!P52)</f>
        <v>-103.91809301781912</v>
      </c>
      <c r="Q51">
        <f>'CN FD B'!Q51-(('CN FD A'!Q51*'CN FD C'!Q52)/'CN FD alpha'!Q52)</f>
        <v>-103.91809301781912</v>
      </c>
      <c r="R51">
        <f>'CN FD B'!R51-(('CN FD A'!R51*'CN FD C'!R52)/'CN FD alpha'!R52)</f>
        <v>-103.91809301781912</v>
      </c>
      <c r="S51">
        <f>'CN FD B'!S51-(('CN FD A'!S51*'CN FD C'!S52)/'CN FD alpha'!S52)</f>
        <v>-103.91809301781912</v>
      </c>
      <c r="T51">
        <f>'CN FD B'!T51-(('CN FD A'!T51*'CN FD C'!T52)/'CN FD alpha'!T52)</f>
        <v>-103.91809301781912</v>
      </c>
      <c r="U51">
        <f>'CN FD B'!U51-(('CN FD A'!U51*'CN FD C'!U52)/'CN FD alpha'!U52)</f>
        <v>-103.91809301781912</v>
      </c>
      <c r="V51">
        <f>'CN FD B'!V51-(('CN FD A'!V51*'CN FD C'!V52)/'CN FD alpha'!V52)</f>
        <v>-103.91809301781912</v>
      </c>
      <c r="W51">
        <f>'CN FD B'!W51-(('CN FD A'!W51*'CN FD C'!W52)/'CN FD alpha'!W52)</f>
        <v>-103.91809301781912</v>
      </c>
      <c r="X51">
        <f>'CN FD B'!X51-(('CN FD A'!X51*'CN FD C'!X52)/'CN FD alpha'!X52)</f>
        <v>-103.91809301781912</v>
      </c>
      <c r="Y51">
        <f>'CN FD B'!Y51-(('CN FD A'!Y51*'CN FD C'!Y52)/'CN FD alpha'!Y52)</f>
        <v>-103.91809301781912</v>
      </c>
      <c r="Z51">
        <f>'CN FD B'!Z51-(('CN FD A'!Z51*'CN FD C'!Z52)/'CN FD alpha'!Z52)</f>
        <v>-103.91809301781912</v>
      </c>
      <c r="AA51">
        <f>'CN FD B'!AA51-(('CN FD A'!AA51*'CN FD C'!AA52)/'CN FD alpha'!AA52)</f>
        <v>-103.91809301781912</v>
      </c>
      <c r="AB51">
        <f>'CN FD B'!AB51-(('CN FD A'!AB51*'CN FD C'!AB52)/'CN FD alpha'!AB52)</f>
        <v>-103.91809301781912</v>
      </c>
      <c r="AC51">
        <f>'CN FD B'!AC51-(('CN FD A'!AC51*'CN FD C'!AC52)/'CN FD alpha'!AC52)</f>
        <v>-103.91809301781912</v>
      </c>
      <c r="AD51">
        <f>'CN FD B'!AD51-(('CN FD A'!AD51*'CN FD C'!AD52)/'CN FD alpha'!AD52)</f>
        <v>-103.91809301781912</v>
      </c>
      <c r="AE51">
        <f>'CN FD B'!AE51-(('CN FD A'!AE51*'CN FD C'!AE52)/'CN FD alpha'!AE52)</f>
        <v>-103.91809301781912</v>
      </c>
      <c r="AF51">
        <f>'CN FD B'!AF51-(('CN FD A'!AF51*'CN FD C'!AF52)/'CN FD alpha'!AF52)</f>
        <v>-103.91809301781912</v>
      </c>
      <c r="AG51">
        <f>'CN FD B'!AG51-(('CN FD A'!AG51*'CN FD C'!AG52)/'CN FD alpha'!AG52)</f>
        <v>-103.91809301781912</v>
      </c>
      <c r="AH51">
        <f>'CN FD B'!AH51-(('CN FD A'!AH51*'CN FD C'!AH52)/'CN FD alpha'!AH52)</f>
        <v>-103.91809301781912</v>
      </c>
      <c r="AI51">
        <f>'CN FD B'!AI51-(('CN FD A'!AI51*'CN FD C'!AI52)/'CN FD alpha'!AI52)</f>
        <v>-103.91809301781912</v>
      </c>
      <c r="AJ51">
        <f>'CN FD B'!AJ51-(('CN FD A'!AJ51*'CN FD C'!AJ52)/'CN FD alpha'!AJ52)</f>
        <v>-103.91809301781912</v>
      </c>
      <c r="AK51">
        <f>'CN FD B'!AK51-(('CN FD A'!AK51*'CN FD C'!AK52)/'CN FD alpha'!AK52)</f>
        <v>-103.91809301781912</v>
      </c>
      <c r="AL51">
        <f>'CN FD B'!AL51-(('CN FD A'!AL51*'CN FD C'!AL52)/'CN FD alpha'!AL52)</f>
        <v>-103.91809301781912</v>
      </c>
      <c r="AM51">
        <f>'CN FD B'!AM51-(('CN FD A'!AM51*'CN FD C'!AM52)/'CN FD alpha'!AM52)</f>
        <v>-103.91809301781912</v>
      </c>
      <c r="AN51">
        <f>'CN FD B'!AN51-(('CN FD A'!AN51*'CN FD C'!AN52)/'CN FD alpha'!AN52)</f>
        <v>-103.91809301781912</v>
      </c>
      <c r="AO51">
        <f>'CN FD B'!AO51-(('CN FD A'!AO51*'CN FD C'!AO52)/'CN FD alpha'!AO52)</f>
        <v>-103.91809301781912</v>
      </c>
      <c r="AP51">
        <f>'CN FD B'!AP51-(('CN FD A'!AP51*'CN FD C'!AP52)/'CN FD alpha'!AP52)</f>
        <v>-103.91809301781912</v>
      </c>
      <c r="AQ51">
        <f>'CN FD B'!AQ51-(('CN FD A'!AQ51*'CN FD C'!AQ52)/'CN FD alpha'!AQ52)</f>
        <v>-103.91809301781912</v>
      </c>
      <c r="AR51">
        <f>'CN FD B'!AR51-(('CN FD A'!AR51*'CN FD C'!AR52)/'CN FD alpha'!AR52)</f>
        <v>-103.91809301781912</v>
      </c>
      <c r="AS51">
        <f>'CN FD B'!AS51-(('CN FD A'!AS51*'CN FD C'!AS52)/'CN FD alpha'!AS52)</f>
        <v>-103.91809301781912</v>
      </c>
      <c r="AT51">
        <f>'CN FD B'!AT51-(('CN FD A'!AT51*'CN FD C'!AT52)/'CN FD alpha'!AT52)</f>
        <v>-103.91809301781912</v>
      </c>
      <c r="AU51">
        <f>'CN FD B'!AU51-(('CN FD A'!AU51*'CN FD C'!AU52)/'CN FD alpha'!AU52)</f>
        <v>-103.91809301781912</v>
      </c>
      <c r="AV51">
        <f>'CN FD B'!AV51-(('CN FD A'!AV51*'CN FD C'!AV52)/'CN FD alpha'!AV52)</f>
        <v>-103.91809301781912</v>
      </c>
      <c r="AW51">
        <f>'CN FD B'!AW51-(('CN FD A'!AW51*'CN FD C'!AW52)/'CN FD alpha'!AW52)</f>
        <v>-103.91809301781912</v>
      </c>
      <c r="AX51">
        <f>'CN FD B'!AX51-(('CN FD A'!AX51*'CN FD C'!AX52)/'CN FD alpha'!AX52)</f>
        <v>-103.91809301781912</v>
      </c>
      <c r="AY51">
        <f>'CN FD B'!AY51-(('CN FD A'!AY51*'CN FD C'!AY52)/'CN FD alpha'!AY52)</f>
        <v>-103.91809301781912</v>
      </c>
      <c r="AZ51">
        <f>'CN FD B'!AZ51-(('CN FD A'!AZ51*'CN FD C'!AZ52)/'CN FD alpha'!AZ52)</f>
        <v>-103.91809301781912</v>
      </c>
      <c r="BA51" s="6"/>
    </row>
    <row r="52" spans="1:53" x14ac:dyDescent="0.2">
      <c r="A52">
        <f t="shared" si="1"/>
        <v>13</v>
      </c>
      <c r="B52" s="3">
        <f t="shared" si="0"/>
        <v>26</v>
      </c>
      <c r="C52">
        <f>'CN FD B'!C52-(('CN FD A'!C52*'CN FD C'!C53)/'CN FD alpha'!C53)</f>
        <v>-103.38646197561013</v>
      </c>
      <c r="D52">
        <f>'CN FD B'!D52-(('CN FD A'!D52*'CN FD C'!D53)/'CN FD alpha'!D53)</f>
        <v>-103.38646197561013</v>
      </c>
      <c r="E52">
        <f>'CN FD B'!E52-(('CN FD A'!E52*'CN FD C'!E53)/'CN FD alpha'!E53)</f>
        <v>-103.38646197561013</v>
      </c>
      <c r="F52">
        <f>'CN FD B'!F52-(('CN FD A'!F52*'CN FD C'!F53)/'CN FD alpha'!F53)</f>
        <v>-103.38646197561013</v>
      </c>
      <c r="G52">
        <f>'CN FD B'!G52-(('CN FD A'!G52*'CN FD C'!G53)/'CN FD alpha'!G53)</f>
        <v>-103.38646197561013</v>
      </c>
      <c r="H52">
        <f>'CN FD B'!H52-(('CN FD A'!H52*'CN FD C'!H53)/'CN FD alpha'!H53)</f>
        <v>-103.38646197561013</v>
      </c>
      <c r="I52">
        <f>'CN FD B'!I52-(('CN FD A'!I52*'CN FD C'!I53)/'CN FD alpha'!I53)</f>
        <v>-103.38646197561013</v>
      </c>
      <c r="J52">
        <f>'CN FD B'!J52-(('CN FD A'!J52*'CN FD C'!J53)/'CN FD alpha'!J53)</f>
        <v>-103.38646197561013</v>
      </c>
      <c r="K52">
        <f>'CN FD B'!K52-(('CN FD A'!K52*'CN FD C'!K53)/'CN FD alpha'!K53)</f>
        <v>-103.38646197561013</v>
      </c>
      <c r="L52">
        <f>'CN FD B'!L52-(('CN FD A'!L52*'CN FD C'!L53)/'CN FD alpha'!L53)</f>
        <v>-103.38646197561013</v>
      </c>
      <c r="M52">
        <f>'CN FD B'!M52-(('CN FD A'!M52*'CN FD C'!M53)/'CN FD alpha'!M53)</f>
        <v>-103.38646197561013</v>
      </c>
      <c r="N52">
        <f>'CN FD B'!N52-(('CN FD A'!N52*'CN FD C'!N53)/'CN FD alpha'!N53)</f>
        <v>-103.38646197561013</v>
      </c>
      <c r="O52">
        <f>'CN FD B'!O52-(('CN FD A'!O52*'CN FD C'!O53)/'CN FD alpha'!O53)</f>
        <v>-103.38646197561013</v>
      </c>
      <c r="P52">
        <f>'CN FD B'!P52-(('CN FD A'!P52*'CN FD C'!P53)/'CN FD alpha'!P53)</f>
        <v>-103.38646197561013</v>
      </c>
      <c r="Q52">
        <f>'CN FD B'!Q52-(('CN FD A'!Q52*'CN FD C'!Q53)/'CN FD alpha'!Q53)</f>
        <v>-103.38646197561013</v>
      </c>
      <c r="R52">
        <f>'CN FD B'!R52-(('CN FD A'!R52*'CN FD C'!R53)/'CN FD alpha'!R53)</f>
        <v>-103.38646197561013</v>
      </c>
      <c r="S52">
        <f>'CN FD B'!S52-(('CN FD A'!S52*'CN FD C'!S53)/'CN FD alpha'!S53)</f>
        <v>-103.38646197561013</v>
      </c>
      <c r="T52">
        <f>'CN FD B'!T52-(('CN FD A'!T52*'CN FD C'!T53)/'CN FD alpha'!T53)</f>
        <v>-103.38646197561013</v>
      </c>
      <c r="U52">
        <f>'CN FD B'!U52-(('CN FD A'!U52*'CN FD C'!U53)/'CN FD alpha'!U53)</f>
        <v>-103.38646197561013</v>
      </c>
      <c r="V52">
        <f>'CN FD B'!V52-(('CN FD A'!V52*'CN FD C'!V53)/'CN FD alpha'!V53)</f>
        <v>-103.38646197561013</v>
      </c>
      <c r="W52">
        <f>'CN FD B'!W52-(('CN FD A'!W52*'CN FD C'!W53)/'CN FD alpha'!W53)</f>
        <v>-103.38646197561013</v>
      </c>
      <c r="X52">
        <f>'CN FD B'!X52-(('CN FD A'!X52*'CN FD C'!X53)/'CN FD alpha'!X53)</f>
        <v>-103.38646197561013</v>
      </c>
      <c r="Y52">
        <f>'CN FD B'!Y52-(('CN FD A'!Y52*'CN FD C'!Y53)/'CN FD alpha'!Y53)</f>
        <v>-103.38646197561013</v>
      </c>
      <c r="Z52">
        <f>'CN FD B'!Z52-(('CN FD A'!Z52*'CN FD C'!Z53)/'CN FD alpha'!Z53)</f>
        <v>-103.38646197561013</v>
      </c>
      <c r="AA52">
        <f>'CN FD B'!AA52-(('CN FD A'!AA52*'CN FD C'!AA53)/'CN FD alpha'!AA53)</f>
        <v>-103.38646197561013</v>
      </c>
      <c r="AB52">
        <f>'CN FD B'!AB52-(('CN FD A'!AB52*'CN FD C'!AB53)/'CN FD alpha'!AB53)</f>
        <v>-103.38646197561013</v>
      </c>
      <c r="AC52">
        <f>'CN FD B'!AC52-(('CN FD A'!AC52*'CN FD C'!AC53)/'CN FD alpha'!AC53)</f>
        <v>-103.38646197561013</v>
      </c>
      <c r="AD52">
        <f>'CN FD B'!AD52-(('CN FD A'!AD52*'CN FD C'!AD53)/'CN FD alpha'!AD53)</f>
        <v>-103.38646197561013</v>
      </c>
      <c r="AE52">
        <f>'CN FD B'!AE52-(('CN FD A'!AE52*'CN FD C'!AE53)/'CN FD alpha'!AE53)</f>
        <v>-103.38646197561013</v>
      </c>
      <c r="AF52">
        <f>'CN FD B'!AF52-(('CN FD A'!AF52*'CN FD C'!AF53)/'CN FD alpha'!AF53)</f>
        <v>-103.38646197561013</v>
      </c>
      <c r="AG52">
        <f>'CN FD B'!AG52-(('CN FD A'!AG52*'CN FD C'!AG53)/'CN FD alpha'!AG53)</f>
        <v>-103.38646197561013</v>
      </c>
      <c r="AH52">
        <f>'CN FD B'!AH52-(('CN FD A'!AH52*'CN FD C'!AH53)/'CN FD alpha'!AH53)</f>
        <v>-103.38646197561013</v>
      </c>
      <c r="AI52">
        <f>'CN FD B'!AI52-(('CN FD A'!AI52*'CN FD C'!AI53)/'CN FD alpha'!AI53)</f>
        <v>-103.38646197561013</v>
      </c>
      <c r="AJ52">
        <f>'CN FD B'!AJ52-(('CN FD A'!AJ52*'CN FD C'!AJ53)/'CN FD alpha'!AJ53)</f>
        <v>-103.38646197561013</v>
      </c>
      <c r="AK52">
        <f>'CN FD B'!AK52-(('CN FD A'!AK52*'CN FD C'!AK53)/'CN FD alpha'!AK53)</f>
        <v>-103.38646197561013</v>
      </c>
      <c r="AL52">
        <f>'CN FD B'!AL52-(('CN FD A'!AL52*'CN FD C'!AL53)/'CN FD alpha'!AL53)</f>
        <v>-103.38646197561013</v>
      </c>
      <c r="AM52">
        <f>'CN FD B'!AM52-(('CN FD A'!AM52*'CN FD C'!AM53)/'CN FD alpha'!AM53)</f>
        <v>-103.38646197561013</v>
      </c>
      <c r="AN52">
        <f>'CN FD B'!AN52-(('CN FD A'!AN52*'CN FD C'!AN53)/'CN FD alpha'!AN53)</f>
        <v>-103.38646197561013</v>
      </c>
      <c r="AO52">
        <f>'CN FD B'!AO52-(('CN FD A'!AO52*'CN FD C'!AO53)/'CN FD alpha'!AO53)</f>
        <v>-103.38646197561013</v>
      </c>
      <c r="AP52">
        <f>'CN FD B'!AP52-(('CN FD A'!AP52*'CN FD C'!AP53)/'CN FD alpha'!AP53)</f>
        <v>-103.38646197561013</v>
      </c>
      <c r="AQ52">
        <f>'CN FD B'!AQ52-(('CN FD A'!AQ52*'CN FD C'!AQ53)/'CN FD alpha'!AQ53)</f>
        <v>-103.38646197561013</v>
      </c>
      <c r="AR52">
        <f>'CN FD B'!AR52-(('CN FD A'!AR52*'CN FD C'!AR53)/'CN FD alpha'!AR53)</f>
        <v>-103.38646197561013</v>
      </c>
      <c r="AS52">
        <f>'CN FD B'!AS52-(('CN FD A'!AS52*'CN FD C'!AS53)/'CN FD alpha'!AS53)</f>
        <v>-103.38646197561013</v>
      </c>
      <c r="AT52">
        <f>'CN FD B'!AT52-(('CN FD A'!AT52*'CN FD C'!AT53)/'CN FD alpha'!AT53)</f>
        <v>-103.38646197561013</v>
      </c>
      <c r="AU52">
        <f>'CN FD B'!AU52-(('CN FD A'!AU52*'CN FD C'!AU53)/'CN FD alpha'!AU53)</f>
        <v>-103.38646197561013</v>
      </c>
      <c r="AV52">
        <f>'CN FD B'!AV52-(('CN FD A'!AV52*'CN FD C'!AV53)/'CN FD alpha'!AV53)</f>
        <v>-103.38646197561013</v>
      </c>
      <c r="AW52">
        <f>'CN FD B'!AW52-(('CN FD A'!AW52*'CN FD C'!AW53)/'CN FD alpha'!AW53)</f>
        <v>-103.38646197561013</v>
      </c>
      <c r="AX52">
        <f>'CN FD B'!AX52-(('CN FD A'!AX52*'CN FD C'!AX53)/'CN FD alpha'!AX53)</f>
        <v>-103.38646197561013</v>
      </c>
      <c r="AY52">
        <f>'CN FD B'!AY52-(('CN FD A'!AY52*'CN FD C'!AY53)/'CN FD alpha'!AY53)</f>
        <v>-103.38646197561013</v>
      </c>
      <c r="AZ52">
        <f>'CN FD B'!AZ52-(('CN FD A'!AZ52*'CN FD C'!AZ53)/'CN FD alpha'!AZ53)</f>
        <v>-103.38646197561013</v>
      </c>
      <c r="BA52" s="6"/>
    </row>
    <row r="53" spans="1:53" x14ac:dyDescent="0.2">
      <c r="A53">
        <f t="shared" si="1"/>
        <v>12</v>
      </c>
      <c r="B53" s="3">
        <f t="shared" si="0"/>
        <v>24</v>
      </c>
      <c r="C53">
        <f>'CN FD B'!C53-(('CN FD A'!C53*'CN FD C'!C54)/'CN FD alpha'!C54)</f>
        <v>-102.89308736730933</v>
      </c>
      <c r="D53">
        <f>'CN FD B'!D53-(('CN FD A'!D53*'CN FD C'!D54)/'CN FD alpha'!D54)</f>
        <v>-102.89308736730933</v>
      </c>
      <c r="E53">
        <f>'CN FD B'!E53-(('CN FD A'!E53*'CN FD C'!E54)/'CN FD alpha'!E54)</f>
        <v>-102.89308736730933</v>
      </c>
      <c r="F53">
        <f>'CN FD B'!F53-(('CN FD A'!F53*'CN FD C'!F54)/'CN FD alpha'!F54)</f>
        <v>-102.89308736730933</v>
      </c>
      <c r="G53">
        <f>'CN FD B'!G53-(('CN FD A'!G53*'CN FD C'!G54)/'CN FD alpha'!G54)</f>
        <v>-102.89308736730933</v>
      </c>
      <c r="H53">
        <f>'CN FD B'!H53-(('CN FD A'!H53*'CN FD C'!H54)/'CN FD alpha'!H54)</f>
        <v>-102.89308736730933</v>
      </c>
      <c r="I53">
        <f>'CN FD B'!I53-(('CN FD A'!I53*'CN FD C'!I54)/'CN FD alpha'!I54)</f>
        <v>-102.89308736730933</v>
      </c>
      <c r="J53">
        <f>'CN FD B'!J53-(('CN FD A'!J53*'CN FD C'!J54)/'CN FD alpha'!J54)</f>
        <v>-102.89308736730933</v>
      </c>
      <c r="K53">
        <f>'CN FD B'!K53-(('CN FD A'!K53*'CN FD C'!K54)/'CN FD alpha'!K54)</f>
        <v>-102.89308736730933</v>
      </c>
      <c r="L53">
        <f>'CN FD B'!L53-(('CN FD A'!L53*'CN FD C'!L54)/'CN FD alpha'!L54)</f>
        <v>-102.89308736730933</v>
      </c>
      <c r="M53">
        <f>'CN FD B'!M53-(('CN FD A'!M53*'CN FD C'!M54)/'CN FD alpha'!M54)</f>
        <v>-102.89308736730933</v>
      </c>
      <c r="N53">
        <f>'CN FD B'!N53-(('CN FD A'!N53*'CN FD C'!N54)/'CN FD alpha'!N54)</f>
        <v>-102.89308736730933</v>
      </c>
      <c r="O53">
        <f>'CN FD B'!O53-(('CN FD A'!O53*'CN FD C'!O54)/'CN FD alpha'!O54)</f>
        <v>-102.89308736730933</v>
      </c>
      <c r="P53">
        <f>'CN FD B'!P53-(('CN FD A'!P53*'CN FD C'!P54)/'CN FD alpha'!P54)</f>
        <v>-102.89308736730933</v>
      </c>
      <c r="Q53">
        <f>'CN FD B'!Q53-(('CN FD A'!Q53*'CN FD C'!Q54)/'CN FD alpha'!Q54)</f>
        <v>-102.89308736730933</v>
      </c>
      <c r="R53">
        <f>'CN FD B'!R53-(('CN FD A'!R53*'CN FD C'!R54)/'CN FD alpha'!R54)</f>
        <v>-102.89308736730933</v>
      </c>
      <c r="S53">
        <f>'CN FD B'!S53-(('CN FD A'!S53*'CN FD C'!S54)/'CN FD alpha'!S54)</f>
        <v>-102.89308736730933</v>
      </c>
      <c r="T53">
        <f>'CN FD B'!T53-(('CN FD A'!T53*'CN FD C'!T54)/'CN FD alpha'!T54)</f>
        <v>-102.89308736730933</v>
      </c>
      <c r="U53">
        <f>'CN FD B'!U53-(('CN FD A'!U53*'CN FD C'!U54)/'CN FD alpha'!U54)</f>
        <v>-102.89308736730933</v>
      </c>
      <c r="V53">
        <f>'CN FD B'!V53-(('CN FD A'!V53*'CN FD C'!V54)/'CN FD alpha'!V54)</f>
        <v>-102.89308736730933</v>
      </c>
      <c r="W53">
        <f>'CN FD B'!W53-(('CN FD A'!W53*'CN FD C'!W54)/'CN FD alpha'!W54)</f>
        <v>-102.89308736730933</v>
      </c>
      <c r="X53">
        <f>'CN FD B'!X53-(('CN FD A'!X53*'CN FD C'!X54)/'CN FD alpha'!X54)</f>
        <v>-102.89308736730933</v>
      </c>
      <c r="Y53">
        <f>'CN FD B'!Y53-(('CN FD A'!Y53*'CN FD C'!Y54)/'CN FD alpha'!Y54)</f>
        <v>-102.89308736730933</v>
      </c>
      <c r="Z53">
        <f>'CN FD B'!Z53-(('CN FD A'!Z53*'CN FD C'!Z54)/'CN FD alpha'!Z54)</f>
        <v>-102.89308736730933</v>
      </c>
      <c r="AA53">
        <f>'CN FD B'!AA53-(('CN FD A'!AA53*'CN FD C'!AA54)/'CN FD alpha'!AA54)</f>
        <v>-102.89308736730933</v>
      </c>
      <c r="AB53">
        <f>'CN FD B'!AB53-(('CN FD A'!AB53*'CN FD C'!AB54)/'CN FD alpha'!AB54)</f>
        <v>-102.89308736730933</v>
      </c>
      <c r="AC53">
        <f>'CN FD B'!AC53-(('CN FD A'!AC53*'CN FD C'!AC54)/'CN FD alpha'!AC54)</f>
        <v>-102.89308736730933</v>
      </c>
      <c r="AD53">
        <f>'CN FD B'!AD53-(('CN FD A'!AD53*'CN FD C'!AD54)/'CN FD alpha'!AD54)</f>
        <v>-102.89308736730933</v>
      </c>
      <c r="AE53">
        <f>'CN FD B'!AE53-(('CN FD A'!AE53*'CN FD C'!AE54)/'CN FD alpha'!AE54)</f>
        <v>-102.89308736730933</v>
      </c>
      <c r="AF53">
        <f>'CN FD B'!AF53-(('CN FD A'!AF53*'CN FD C'!AF54)/'CN FD alpha'!AF54)</f>
        <v>-102.89308736730933</v>
      </c>
      <c r="AG53">
        <f>'CN FD B'!AG53-(('CN FD A'!AG53*'CN FD C'!AG54)/'CN FD alpha'!AG54)</f>
        <v>-102.89308736730933</v>
      </c>
      <c r="AH53">
        <f>'CN FD B'!AH53-(('CN FD A'!AH53*'CN FD C'!AH54)/'CN FD alpha'!AH54)</f>
        <v>-102.89308736730933</v>
      </c>
      <c r="AI53">
        <f>'CN FD B'!AI53-(('CN FD A'!AI53*'CN FD C'!AI54)/'CN FD alpha'!AI54)</f>
        <v>-102.89308736730933</v>
      </c>
      <c r="AJ53">
        <f>'CN FD B'!AJ53-(('CN FD A'!AJ53*'CN FD C'!AJ54)/'CN FD alpha'!AJ54)</f>
        <v>-102.89308736730933</v>
      </c>
      <c r="AK53">
        <f>'CN FD B'!AK53-(('CN FD A'!AK53*'CN FD C'!AK54)/'CN FD alpha'!AK54)</f>
        <v>-102.89308736730933</v>
      </c>
      <c r="AL53">
        <f>'CN FD B'!AL53-(('CN FD A'!AL53*'CN FD C'!AL54)/'CN FD alpha'!AL54)</f>
        <v>-102.89308736730933</v>
      </c>
      <c r="AM53">
        <f>'CN FD B'!AM53-(('CN FD A'!AM53*'CN FD C'!AM54)/'CN FD alpha'!AM54)</f>
        <v>-102.89308736730933</v>
      </c>
      <c r="AN53">
        <f>'CN FD B'!AN53-(('CN FD A'!AN53*'CN FD C'!AN54)/'CN FD alpha'!AN54)</f>
        <v>-102.89308736730933</v>
      </c>
      <c r="AO53">
        <f>'CN FD B'!AO53-(('CN FD A'!AO53*'CN FD C'!AO54)/'CN FD alpha'!AO54)</f>
        <v>-102.89308736730933</v>
      </c>
      <c r="AP53">
        <f>'CN FD B'!AP53-(('CN FD A'!AP53*'CN FD C'!AP54)/'CN FD alpha'!AP54)</f>
        <v>-102.89308736730933</v>
      </c>
      <c r="AQ53">
        <f>'CN FD B'!AQ53-(('CN FD A'!AQ53*'CN FD C'!AQ54)/'CN FD alpha'!AQ54)</f>
        <v>-102.89308736730933</v>
      </c>
      <c r="AR53">
        <f>'CN FD B'!AR53-(('CN FD A'!AR53*'CN FD C'!AR54)/'CN FD alpha'!AR54)</f>
        <v>-102.89308736730933</v>
      </c>
      <c r="AS53">
        <f>'CN FD B'!AS53-(('CN FD A'!AS53*'CN FD C'!AS54)/'CN FD alpha'!AS54)</f>
        <v>-102.89308736730933</v>
      </c>
      <c r="AT53">
        <f>'CN FD B'!AT53-(('CN FD A'!AT53*'CN FD C'!AT54)/'CN FD alpha'!AT54)</f>
        <v>-102.89308736730933</v>
      </c>
      <c r="AU53">
        <f>'CN FD B'!AU53-(('CN FD A'!AU53*'CN FD C'!AU54)/'CN FD alpha'!AU54)</f>
        <v>-102.89308736730933</v>
      </c>
      <c r="AV53">
        <f>'CN FD B'!AV53-(('CN FD A'!AV53*'CN FD C'!AV54)/'CN FD alpha'!AV54)</f>
        <v>-102.89308736730933</v>
      </c>
      <c r="AW53">
        <f>'CN FD B'!AW53-(('CN FD A'!AW53*'CN FD C'!AW54)/'CN FD alpha'!AW54)</f>
        <v>-102.89308736730933</v>
      </c>
      <c r="AX53">
        <f>'CN FD B'!AX53-(('CN FD A'!AX53*'CN FD C'!AX54)/'CN FD alpha'!AX54)</f>
        <v>-102.89308736730933</v>
      </c>
      <c r="AY53">
        <f>'CN FD B'!AY53-(('CN FD A'!AY53*'CN FD C'!AY54)/'CN FD alpha'!AY54)</f>
        <v>-102.89308736730933</v>
      </c>
      <c r="AZ53">
        <f>'CN FD B'!AZ53-(('CN FD A'!AZ53*'CN FD C'!AZ54)/'CN FD alpha'!AZ54)</f>
        <v>-102.89308736730933</v>
      </c>
      <c r="BA53" s="6"/>
    </row>
    <row r="54" spans="1:53" x14ac:dyDescent="0.2">
      <c r="A54">
        <f t="shared" si="1"/>
        <v>11</v>
      </c>
      <c r="B54" s="3">
        <f t="shared" si="0"/>
        <v>22</v>
      </c>
      <c r="C54">
        <f>'CN FD B'!C54-(('CN FD A'!C54*'CN FD C'!C55)/'CN FD alpha'!C55)</f>
        <v>-102.4382206891492</v>
      </c>
      <c r="D54">
        <f>'CN FD B'!D54-(('CN FD A'!D54*'CN FD C'!D55)/'CN FD alpha'!D55)</f>
        <v>-102.4382206891492</v>
      </c>
      <c r="E54">
        <f>'CN FD B'!E54-(('CN FD A'!E54*'CN FD C'!E55)/'CN FD alpha'!E55)</f>
        <v>-102.4382206891492</v>
      </c>
      <c r="F54">
        <f>'CN FD B'!F54-(('CN FD A'!F54*'CN FD C'!F55)/'CN FD alpha'!F55)</f>
        <v>-102.4382206891492</v>
      </c>
      <c r="G54">
        <f>'CN FD B'!G54-(('CN FD A'!G54*'CN FD C'!G55)/'CN FD alpha'!G55)</f>
        <v>-102.4382206891492</v>
      </c>
      <c r="H54">
        <f>'CN FD B'!H54-(('CN FD A'!H54*'CN FD C'!H55)/'CN FD alpha'!H55)</f>
        <v>-102.4382206891492</v>
      </c>
      <c r="I54">
        <f>'CN FD B'!I54-(('CN FD A'!I54*'CN FD C'!I55)/'CN FD alpha'!I55)</f>
        <v>-102.4382206891492</v>
      </c>
      <c r="J54">
        <f>'CN FD B'!J54-(('CN FD A'!J54*'CN FD C'!J55)/'CN FD alpha'!J55)</f>
        <v>-102.4382206891492</v>
      </c>
      <c r="K54">
        <f>'CN FD B'!K54-(('CN FD A'!K54*'CN FD C'!K55)/'CN FD alpha'!K55)</f>
        <v>-102.4382206891492</v>
      </c>
      <c r="L54">
        <f>'CN FD B'!L54-(('CN FD A'!L54*'CN FD C'!L55)/'CN FD alpha'!L55)</f>
        <v>-102.4382206891492</v>
      </c>
      <c r="M54">
        <f>'CN FD B'!M54-(('CN FD A'!M54*'CN FD C'!M55)/'CN FD alpha'!M55)</f>
        <v>-102.4382206891492</v>
      </c>
      <c r="N54">
        <f>'CN FD B'!N54-(('CN FD A'!N54*'CN FD C'!N55)/'CN FD alpha'!N55)</f>
        <v>-102.4382206891492</v>
      </c>
      <c r="O54">
        <f>'CN FD B'!O54-(('CN FD A'!O54*'CN FD C'!O55)/'CN FD alpha'!O55)</f>
        <v>-102.4382206891492</v>
      </c>
      <c r="P54">
        <f>'CN FD B'!P54-(('CN FD A'!P54*'CN FD C'!P55)/'CN FD alpha'!P55)</f>
        <v>-102.4382206891492</v>
      </c>
      <c r="Q54">
        <f>'CN FD B'!Q54-(('CN FD A'!Q54*'CN FD C'!Q55)/'CN FD alpha'!Q55)</f>
        <v>-102.4382206891492</v>
      </c>
      <c r="R54">
        <f>'CN FD B'!R54-(('CN FD A'!R54*'CN FD C'!R55)/'CN FD alpha'!R55)</f>
        <v>-102.4382206891492</v>
      </c>
      <c r="S54">
        <f>'CN FD B'!S54-(('CN FD A'!S54*'CN FD C'!S55)/'CN FD alpha'!S55)</f>
        <v>-102.4382206891492</v>
      </c>
      <c r="T54">
        <f>'CN FD B'!T54-(('CN FD A'!T54*'CN FD C'!T55)/'CN FD alpha'!T55)</f>
        <v>-102.4382206891492</v>
      </c>
      <c r="U54">
        <f>'CN FD B'!U54-(('CN FD A'!U54*'CN FD C'!U55)/'CN FD alpha'!U55)</f>
        <v>-102.4382206891492</v>
      </c>
      <c r="V54">
        <f>'CN FD B'!V54-(('CN FD A'!V54*'CN FD C'!V55)/'CN FD alpha'!V55)</f>
        <v>-102.4382206891492</v>
      </c>
      <c r="W54">
        <f>'CN FD B'!W54-(('CN FD A'!W54*'CN FD C'!W55)/'CN FD alpha'!W55)</f>
        <v>-102.4382206891492</v>
      </c>
      <c r="X54">
        <f>'CN FD B'!X54-(('CN FD A'!X54*'CN FD C'!X55)/'CN FD alpha'!X55)</f>
        <v>-102.4382206891492</v>
      </c>
      <c r="Y54">
        <f>'CN FD B'!Y54-(('CN FD A'!Y54*'CN FD C'!Y55)/'CN FD alpha'!Y55)</f>
        <v>-102.4382206891492</v>
      </c>
      <c r="Z54">
        <f>'CN FD B'!Z54-(('CN FD A'!Z54*'CN FD C'!Z55)/'CN FD alpha'!Z55)</f>
        <v>-102.4382206891492</v>
      </c>
      <c r="AA54">
        <f>'CN FD B'!AA54-(('CN FD A'!AA54*'CN FD C'!AA55)/'CN FD alpha'!AA55)</f>
        <v>-102.4382206891492</v>
      </c>
      <c r="AB54">
        <f>'CN FD B'!AB54-(('CN FD A'!AB54*'CN FD C'!AB55)/'CN FD alpha'!AB55)</f>
        <v>-102.4382206891492</v>
      </c>
      <c r="AC54">
        <f>'CN FD B'!AC54-(('CN FD A'!AC54*'CN FD C'!AC55)/'CN FD alpha'!AC55)</f>
        <v>-102.4382206891492</v>
      </c>
      <c r="AD54">
        <f>'CN FD B'!AD54-(('CN FD A'!AD54*'CN FD C'!AD55)/'CN FD alpha'!AD55)</f>
        <v>-102.4382206891492</v>
      </c>
      <c r="AE54">
        <f>'CN FD B'!AE54-(('CN FD A'!AE54*'CN FD C'!AE55)/'CN FD alpha'!AE55)</f>
        <v>-102.4382206891492</v>
      </c>
      <c r="AF54">
        <f>'CN FD B'!AF54-(('CN FD A'!AF54*'CN FD C'!AF55)/'CN FD alpha'!AF55)</f>
        <v>-102.4382206891492</v>
      </c>
      <c r="AG54">
        <f>'CN FD B'!AG54-(('CN FD A'!AG54*'CN FD C'!AG55)/'CN FD alpha'!AG55)</f>
        <v>-102.4382206891492</v>
      </c>
      <c r="AH54">
        <f>'CN FD B'!AH54-(('CN FD A'!AH54*'CN FD C'!AH55)/'CN FD alpha'!AH55)</f>
        <v>-102.4382206891492</v>
      </c>
      <c r="AI54">
        <f>'CN FD B'!AI54-(('CN FD A'!AI54*'CN FD C'!AI55)/'CN FD alpha'!AI55)</f>
        <v>-102.4382206891492</v>
      </c>
      <c r="AJ54">
        <f>'CN FD B'!AJ54-(('CN FD A'!AJ54*'CN FD C'!AJ55)/'CN FD alpha'!AJ55)</f>
        <v>-102.4382206891492</v>
      </c>
      <c r="AK54">
        <f>'CN FD B'!AK54-(('CN FD A'!AK54*'CN FD C'!AK55)/'CN FD alpha'!AK55)</f>
        <v>-102.4382206891492</v>
      </c>
      <c r="AL54">
        <f>'CN FD B'!AL54-(('CN FD A'!AL54*'CN FD C'!AL55)/'CN FD alpha'!AL55)</f>
        <v>-102.4382206891492</v>
      </c>
      <c r="AM54">
        <f>'CN FD B'!AM54-(('CN FD A'!AM54*'CN FD C'!AM55)/'CN FD alpha'!AM55)</f>
        <v>-102.4382206891492</v>
      </c>
      <c r="AN54">
        <f>'CN FD B'!AN54-(('CN FD A'!AN54*'CN FD C'!AN55)/'CN FD alpha'!AN55)</f>
        <v>-102.4382206891492</v>
      </c>
      <c r="AO54">
        <f>'CN FD B'!AO54-(('CN FD A'!AO54*'CN FD C'!AO55)/'CN FD alpha'!AO55)</f>
        <v>-102.4382206891492</v>
      </c>
      <c r="AP54">
        <f>'CN FD B'!AP54-(('CN FD A'!AP54*'CN FD C'!AP55)/'CN FD alpha'!AP55)</f>
        <v>-102.4382206891492</v>
      </c>
      <c r="AQ54">
        <f>'CN FD B'!AQ54-(('CN FD A'!AQ54*'CN FD C'!AQ55)/'CN FD alpha'!AQ55)</f>
        <v>-102.4382206891492</v>
      </c>
      <c r="AR54">
        <f>'CN FD B'!AR54-(('CN FD A'!AR54*'CN FD C'!AR55)/'CN FD alpha'!AR55)</f>
        <v>-102.4382206891492</v>
      </c>
      <c r="AS54">
        <f>'CN FD B'!AS54-(('CN FD A'!AS54*'CN FD C'!AS55)/'CN FD alpha'!AS55)</f>
        <v>-102.4382206891492</v>
      </c>
      <c r="AT54">
        <f>'CN FD B'!AT54-(('CN FD A'!AT54*'CN FD C'!AT55)/'CN FD alpha'!AT55)</f>
        <v>-102.4382206891492</v>
      </c>
      <c r="AU54">
        <f>'CN FD B'!AU54-(('CN FD A'!AU54*'CN FD C'!AU55)/'CN FD alpha'!AU55)</f>
        <v>-102.4382206891492</v>
      </c>
      <c r="AV54">
        <f>'CN FD B'!AV54-(('CN FD A'!AV54*'CN FD C'!AV55)/'CN FD alpha'!AV55)</f>
        <v>-102.4382206891492</v>
      </c>
      <c r="AW54">
        <f>'CN FD B'!AW54-(('CN FD A'!AW54*'CN FD C'!AW55)/'CN FD alpha'!AW55)</f>
        <v>-102.4382206891492</v>
      </c>
      <c r="AX54">
        <f>'CN FD B'!AX54-(('CN FD A'!AX54*'CN FD C'!AX55)/'CN FD alpha'!AX55)</f>
        <v>-102.4382206891492</v>
      </c>
      <c r="AY54">
        <f>'CN FD B'!AY54-(('CN FD A'!AY54*'CN FD C'!AY55)/'CN FD alpha'!AY55)</f>
        <v>-102.4382206891492</v>
      </c>
      <c r="AZ54">
        <f>'CN FD B'!AZ54-(('CN FD A'!AZ54*'CN FD C'!AZ55)/'CN FD alpha'!AZ55)</f>
        <v>-102.4382206891492</v>
      </c>
      <c r="BA54" s="6"/>
    </row>
    <row r="55" spans="1:53" x14ac:dyDescent="0.2">
      <c r="A55">
        <f t="shared" si="1"/>
        <v>10</v>
      </c>
      <c r="B55" s="3">
        <f t="shared" si="0"/>
        <v>20</v>
      </c>
      <c r="C55">
        <f>'CN FD B'!C55-(('CN FD A'!C55*'CN FD C'!C56)/'CN FD alpha'!C56)</f>
        <v>-102.02209749122602</v>
      </c>
      <c r="D55">
        <f>'CN FD B'!D55-(('CN FD A'!D55*'CN FD C'!D56)/'CN FD alpha'!D56)</f>
        <v>-102.02209749122602</v>
      </c>
      <c r="E55">
        <f>'CN FD B'!E55-(('CN FD A'!E55*'CN FD C'!E56)/'CN FD alpha'!E56)</f>
        <v>-102.02209749122602</v>
      </c>
      <c r="F55">
        <f>'CN FD B'!F55-(('CN FD A'!F55*'CN FD C'!F56)/'CN FD alpha'!F56)</f>
        <v>-102.02209749122602</v>
      </c>
      <c r="G55">
        <f>'CN FD B'!G55-(('CN FD A'!G55*'CN FD C'!G56)/'CN FD alpha'!G56)</f>
        <v>-102.02209749122602</v>
      </c>
      <c r="H55">
        <f>'CN FD B'!H55-(('CN FD A'!H55*'CN FD C'!H56)/'CN FD alpha'!H56)</f>
        <v>-102.02209749122602</v>
      </c>
      <c r="I55">
        <f>'CN FD B'!I55-(('CN FD A'!I55*'CN FD C'!I56)/'CN FD alpha'!I56)</f>
        <v>-102.02209749122602</v>
      </c>
      <c r="J55">
        <f>'CN FD B'!J55-(('CN FD A'!J55*'CN FD C'!J56)/'CN FD alpha'!J56)</f>
        <v>-102.02209749122602</v>
      </c>
      <c r="K55">
        <f>'CN FD B'!K55-(('CN FD A'!K55*'CN FD C'!K56)/'CN FD alpha'!K56)</f>
        <v>-102.02209749122602</v>
      </c>
      <c r="L55">
        <f>'CN FD B'!L55-(('CN FD A'!L55*'CN FD C'!L56)/'CN FD alpha'!L56)</f>
        <v>-102.02209749122602</v>
      </c>
      <c r="M55">
        <f>'CN FD B'!M55-(('CN FD A'!M55*'CN FD C'!M56)/'CN FD alpha'!M56)</f>
        <v>-102.02209749122602</v>
      </c>
      <c r="N55">
        <f>'CN FD B'!N55-(('CN FD A'!N55*'CN FD C'!N56)/'CN FD alpha'!N56)</f>
        <v>-102.02209749122602</v>
      </c>
      <c r="O55">
        <f>'CN FD B'!O55-(('CN FD A'!O55*'CN FD C'!O56)/'CN FD alpha'!O56)</f>
        <v>-102.02209749122602</v>
      </c>
      <c r="P55">
        <f>'CN FD B'!P55-(('CN FD A'!P55*'CN FD C'!P56)/'CN FD alpha'!P56)</f>
        <v>-102.02209749122602</v>
      </c>
      <c r="Q55">
        <f>'CN FD B'!Q55-(('CN FD A'!Q55*'CN FD C'!Q56)/'CN FD alpha'!Q56)</f>
        <v>-102.02209749122602</v>
      </c>
      <c r="R55">
        <f>'CN FD B'!R55-(('CN FD A'!R55*'CN FD C'!R56)/'CN FD alpha'!R56)</f>
        <v>-102.02209749122602</v>
      </c>
      <c r="S55">
        <f>'CN FD B'!S55-(('CN FD A'!S55*'CN FD C'!S56)/'CN FD alpha'!S56)</f>
        <v>-102.02209749122602</v>
      </c>
      <c r="T55">
        <f>'CN FD B'!T55-(('CN FD A'!T55*'CN FD C'!T56)/'CN FD alpha'!T56)</f>
        <v>-102.02209749122602</v>
      </c>
      <c r="U55">
        <f>'CN FD B'!U55-(('CN FD A'!U55*'CN FD C'!U56)/'CN FD alpha'!U56)</f>
        <v>-102.02209749122602</v>
      </c>
      <c r="V55">
        <f>'CN FD B'!V55-(('CN FD A'!V55*'CN FD C'!V56)/'CN FD alpha'!V56)</f>
        <v>-102.02209749122602</v>
      </c>
      <c r="W55">
        <f>'CN FD B'!W55-(('CN FD A'!W55*'CN FD C'!W56)/'CN FD alpha'!W56)</f>
        <v>-102.02209749122602</v>
      </c>
      <c r="X55">
        <f>'CN FD B'!X55-(('CN FD A'!X55*'CN FD C'!X56)/'CN FD alpha'!X56)</f>
        <v>-102.02209749122602</v>
      </c>
      <c r="Y55">
        <f>'CN FD B'!Y55-(('CN FD A'!Y55*'CN FD C'!Y56)/'CN FD alpha'!Y56)</f>
        <v>-102.02209749122602</v>
      </c>
      <c r="Z55">
        <f>'CN FD B'!Z55-(('CN FD A'!Z55*'CN FD C'!Z56)/'CN FD alpha'!Z56)</f>
        <v>-102.02209749122602</v>
      </c>
      <c r="AA55">
        <f>'CN FD B'!AA55-(('CN FD A'!AA55*'CN FD C'!AA56)/'CN FD alpha'!AA56)</f>
        <v>-102.02209749122602</v>
      </c>
      <c r="AB55">
        <f>'CN FD B'!AB55-(('CN FD A'!AB55*'CN FD C'!AB56)/'CN FD alpha'!AB56)</f>
        <v>-102.02209749122602</v>
      </c>
      <c r="AC55">
        <f>'CN FD B'!AC55-(('CN FD A'!AC55*'CN FD C'!AC56)/'CN FD alpha'!AC56)</f>
        <v>-102.02209749122602</v>
      </c>
      <c r="AD55">
        <f>'CN FD B'!AD55-(('CN FD A'!AD55*'CN FD C'!AD56)/'CN FD alpha'!AD56)</f>
        <v>-102.02209749122602</v>
      </c>
      <c r="AE55">
        <f>'CN FD B'!AE55-(('CN FD A'!AE55*'CN FD C'!AE56)/'CN FD alpha'!AE56)</f>
        <v>-102.02209749122602</v>
      </c>
      <c r="AF55">
        <f>'CN FD B'!AF55-(('CN FD A'!AF55*'CN FD C'!AF56)/'CN FD alpha'!AF56)</f>
        <v>-102.02209749122602</v>
      </c>
      <c r="AG55">
        <f>'CN FD B'!AG55-(('CN FD A'!AG55*'CN FD C'!AG56)/'CN FD alpha'!AG56)</f>
        <v>-102.02209749122602</v>
      </c>
      <c r="AH55">
        <f>'CN FD B'!AH55-(('CN FD A'!AH55*'CN FD C'!AH56)/'CN FD alpha'!AH56)</f>
        <v>-102.02209749122602</v>
      </c>
      <c r="AI55">
        <f>'CN FD B'!AI55-(('CN FD A'!AI55*'CN FD C'!AI56)/'CN FD alpha'!AI56)</f>
        <v>-102.02209749122602</v>
      </c>
      <c r="AJ55">
        <f>'CN FD B'!AJ55-(('CN FD A'!AJ55*'CN FD C'!AJ56)/'CN FD alpha'!AJ56)</f>
        <v>-102.02209749122602</v>
      </c>
      <c r="AK55">
        <f>'CN FD B'!AK55-(('CN FD A'!AK55*'CN FD C'!AK56)/'CN FD alpha'!AK56)</f>
        <v>-102.02209749122602</v>
      </c>
      <c r="AL55">
        <f>'CN FD B'!AL55-(('CN FD A'!AL55*'CN FD C'!AL56)/'CN FD alpha'!AL56)</f>
        <v>-102.02209749122602</v>
      </c>
      <c r="AM55">
        <f>'CN FD B'!AM55-(('CN FD A'!AM55*'CN FD C'!AM56)/'CN FD alpha'!AM56)</f>
        <v>-102.02209749122602</v>
      </c>
      <c r="AN55">
        <f>'CN FD B'!AN55-(('CN FD A'!AN55*'CN FD C'!AN56)/'CN FD alpha'!AN56)</f>
        <v>-102.02209749122602</v>
      </c>
      <c r="AO55">
        <f>'CN FD B'!AO55-(('CN FD A'!AO55*'CN FD C'!AO56)/'CN FD alpha'!AO56)</f>
        <v>-102.02209749122602</v>
      </c>
      <c r="AP55">
        <f>'CN FD B'!AP55-(('CN FD A'!AP55*'CN FD C'!AP56)/'CN FD alpha'!AP56)</f>
        <v>-102.02209749122602</v>
      </c>
      <c r="AQ55">
        <f>'CN FD B'!AQ55-(('CN FD A'!AQ55*'CN FD C'!AQ56)/'CN FD alpha'!AQ56)</f>
        <v>-102.02209749122602</v>
      </c>
      <c r="AR55">
        <f>'CN FD B'!AR55-(('CN FD A'!AR55*'CN FD C'!AR56)/'CN FD alpha'!AR56)</f>
        <v>-102.02209749122602</v>
      </c>
      <c r="AS55">
        <f>'CN FD B'!AS55-(('CN FD A'!AS55*'CN FD C'!AS56)/'CN FD alpha'!AS56)</f>
        <v>-102.02209749122602</v>
      </c>
      <c r="AT55">
        <f>'CN FD B'!AT55-(('CN FD A'!AT55*'CN FD C'!AT56)/'CN FD alpha'!AT56)</f>
        <v>-102.02209749122602</v>
      </c>
      <c r="AU55">
        <f>'CN FD B'!AU55-(('CN FD A'!AU55*'CN FD C'!AU56)/'CN FD alpha'!AU56)</f>
        <v>-102.02209749122602</v>
      </c>
      <c r="AV55">
        <f>'CN FD B'!AV55-(('CN FD A'!AV55*'CN FD C'!AV56)/'CN FD alpha'!AV56)</f>
        <v>-102.02209749122602</v>
      </c>
      <c r="AW55">
        <f>'CN FD B'!AW55-(('CN FD A'!AW55*'CN FD C'!AW56)/'CN FD alpha'!AW56)</f>
        <v>-102.02209749122602</v>
      </c>
      <c r="AX55">
        <f>'CN FD B'!AX55-(('CN FD A'!AX55*'CN FD C'!AX56)/'CN FD alpha'!AX56)</f>
        <v>-102.02209749122602</v>
      </c>
      <c r="AY55">
        <f>'CN FD B'!AY55-(('CN FD A'!AY55*'CN FD C'!AY56)/'CN FD alpha'!AY56)</f>
        <v>-102.02209749122602</v>
      </c>
      <c r="AZ55">
        <f>'CN FD B'!AZ55-(('CN FD A'!AZ55*'CN FD C'!AZ56)/'CN FD alpha'!AZ56)</f>
        <v>-102.02209749122602</v>
      </c>
      <c r="BA55" s="6"/>
    </row>
    <row r="56" spans="1:53" x14ac:dyDescent="0.2">
      <c r="A56">
        <f t="shared" si="1"/>
        <v>9</v>
      </c>
      <c r="B56" s="3">
        <f t="shared" si="0"/>
        <v>18</v>
      </c>
      <c r="C56">
        <f>'CN FD B'!C56-(('CN FD A'!C56*'CN FD C'!C57)/'CN FD alpha'!C57)</f>
        <v>-101.64493618091934</v>
      </c>
      <c r="D56">
        <f>'CN FD B'!D56-(('CN FD A'!D56*'CN FD C'!D57)/'CN FD alpha'!D57)</f>
        <v>-101.64493618091934</v>
      </c>
      <c r="E56">
        <f>'CN FD B'!E56-(('CN FD A'!E56*'CN FD C'!E57)/'CN FD alpha'!E57)</f>
        <v>-101.64493618091934</v>
      </c>
      <c r="F56">
        <f>'CN FD B'!F56-(('CN FD A'!F56*'CN FD C'!F57)/'CN FD alpha'!F57)</f>
        <v>-101.64493618091934</v>
      </c>
      <c r="G56">
        <f>'CN FD B'!G56-(('CN FD A'!G56*'CN FD C'!G57)/'CN FD alpha'!G57)</f>
        <v>-101.64493618091934</v>
      </c>
      <c r="H56">
        <f>'CN FD B'!H56-(('CN FD A'!H56*'CN FD C'!H57)/'CN FD alpha'!H57)</f>
        <v>-101.64493618091934</v>
      </c>
      <c r="I56">
        <f>'CN FD B'!I56-(('CN FD A'!I56*'CN FD C'!I57)/'CN FD alpha'!I57)</f>
        <v>-101.64493618091934</v>
      </c>
      <c r="J56">
        <f>'CN FD B'!J56-(('CN FD A'!J56*'CN FD C'!J57)/'CN FD alpha'!J57)</f>
        <v>-101.64493618091934</v>
      </c>
      <c r="K56">
        <f>'CN FD B'!K56-(('CN FD A'!K56*'CN FD C'!K57)/'CN FD alpha'!K57)</f>
        <v>-101.64493618091934</v>
      </c>
      <c r="L56">
        <f>'CN FD B'!L56-(('CN FD A'!L56*'CN FD C'!L57)/'CN FD alpha'!L57)</f>
        <v>-101.64493618091934</v>
      </c>
      <c r="M56">
        <f>'CN FD B'!M56-(('CN FD A'!M56*'CN FD C'!M57)/'CN FD alpha'!M57)</f>
        <v>-101.64493618091934</v>
      </c>
      <c r="N56">
        <f>'CN FD B'!N56-(('CN FD A'!N56*'CN FD C'!N57)/'CN FD alpha'!N57)</f>
        <v>-101.64493618091934</v>
      </c>
      <c r="O56">
        <f>'CN FD B'!O56-(('CN FD A'!O56*'CN FD C'!O57)/'CN FD alpha'!O57)</f>
        <v>-101.64493618091934</v>
      </c>
      <c r="P56">
        <f>'CN FD B'!P56-(('CN FD A'!P56*'CN FD C'!P57)/'CN FD alpha'!P57)</f>
        <v>-101.64493618091934</v>
      </c>
      <c r="Q56">
        <f>'CN FD B'!Q56-(('CN FD A'!Q56*'CN FD C'!Q57)/'CN FD alpha'!Q57)</f>
        <v>-101.64493618091934</v>
      </c>
      <c r="R56">
        <f>'CN FD B'!R56-(('CN FD A'!R56*'CN FD C'!R57)/'CN FD alpha'!R57)</f>
        <v>-101.64493618091934</v>
      </c>
      <c r="S56">
        <f>'CN FD B'!S56-(('CN FD A'!S56*'CN FD C'!S57)/'CN FD alpha'!S57)</f>
        <v>-101.64493618091934</v>
      </c>
      <c r="T56">
        <f>'CN FD B'!T56-(('CN FD A'!T56*'CN FD C'!T57)/'CN FD alpha'!T57)</f>
        <v>-101.64493618091934</v>
      </c>
      <c r="U56">
        <f>'CN FD B'!U56-(('CN FD A'!U56*'CN FD C'!U57)/'CN FD alpha'!U57)</f>
        <v>-101.64493618091934</v>
      </c>
      <c r="V56">
        <f>'CN FD B'!V56-(('CN FD A'!V56*'CN FD C'!V57)/'CN FD alpha'!V57)</f>
        <v>-101.64493618091934</v>
      </c>
      <c r="W56">
        <f>'CN FD B'!W56-(('CN FD A'!W56*'CN FD C'!W57)/'CN FD alpha'!W57)</f>
        <v>-101.64493618091934</v>
      </c>
      <c r="X56">
        <f>'CN FD B'!X56-(('CN FD A'!X56*'CN FD C'!X57)/'CN FD alpha'!X57)</f>
        <v>-101.64493618091934</v>
      </c>
      <c r="Y56">
        <f>'CN FD B'!Y56-(('CN FD A'!Y56*'CN FD C'!Y57)/'CN FD alpha'!Y57)</f>
        <v>-101.64493618091934</v>
      </c>
      <c r="Z56">
        <f>'CN FD B'!Z56-(('CN FD A'!Z56*'CN FD C'!Z57)/'CN FD alpha'!Z57)</f>
        <v>-101.64493618091934</v>
      </c>
      <c r="AA56">
        <f>'CN FD B'!AA56-(('CN FD A'!AA56*'CN FD C'!AA57)/'CN FD alpha'!AA57)</f>
        <v>-101.64493618091934</v>
      </c>
      <c r="AB56">
        <f>'CN FD B'!AB56-(('CN FD A'!AB56*'CN FD C'!AB57)/'CN FD alpha'!AB57)</f>
        <v>-101.64493618091934</v>
      </c>
      <c r="AC56">
        <f>'CN FD B'!AC56-(('CN FD A'!AC56*'CN FD C'!AC57)/'CN FD alpha'!AC57)</f>
        <v>-101.64493618091934</v>
      </c>
      <c r="AD56">
        <f>'CN FD B'!AD56-(('CN FD A'!AD56*'CN FD C'!AD57)/'CN FD alpha'!AD57)</f>
        <v>-101.64493618091934</v>
      </c>
      <c r="AE56">
        <f>'CN FD B'!AE56-(('CN FD A'!AE56*'CN FD C'!AE57)/'CN FD alpha'!AE57)</f>
        <v>-101.64493618091934</v>
      </c>
      <c r="AF56">
        <f>'CN FD B'!AF56-(('CN FD A'!AF56*'CN FD C'!AF57)/'CN FD alpha'!AF57)</f>
        <v>-101.64493618091934</v>
      </c>
      <c r="AG56">
        <f>'CN FD B'!AG56-(('CN FD A'!AG56*'CN FD C'!AG57)/'CN FD alpha'!AG57)</f>
        <v>-101.64493618091934</v>
      </c>
      <c r="AH56">
        <f>'CN FD B'!AH56-(('CN FD A'!AH56*'CN FD C'!AH57)/'CN FD alpha'!AH57)</f>
        <v>-101.64493618091934</v>
      </c>
      <c r="AI56">
        <f>'CN FD B'!AI56-(('CN FD A'!AI56*'CN FD C'!AI57)/'CN FD alpha'!AI57)</f>
        <v>-101.64493618091934</v>
      </c>
      <c r="AJ56">
        <f>'CN FD B'!AJ56-(('CN FD A'!AJ56*'CN FD C'!AJ57)/'CN FD alpha'!AJ57)</f>
        <v>-101.64493618091934</v>
      </c>
      <c r="AK56">
        <f>'CN FD B'!AK56-(('CN FD A'!AK56*'CN FD C'!AK57)/'CN FD alpha'!AK57)</f>
        <v>-101.64493618091934</v>
      </c>
      <c r="AL56">
        <f>'CN FD B'!AL56-(('CN FD A'!AL56*'CN FD C'!AL57)/'CN FD alpha'!AL57)</f>
        <v>-101.64493618091934</v>
      </c>
      <c r="AM56">
        <f>'CN FD B'!AM56-(('CN FD A'!AM56*'CN FD C'!AM57)/'CN FD alpha'!AM57)</f>
        <v>-101.64493618091934</v>
      </c>
      <c r="AN56">
        <f>'CN FD B'!AN56-(('CN FD A'!AN56*'CN FD C'!AN57)/'CN FD alpha'!AN57)</f>
        <v>-101.64493618091934</v>
      </c>
      <c r="AO56">
        <f>'CN FD B'!AO56-(('CN FD A'!AO56*'CN FD C'!AO57)/'CN FD alpha'!AO57)</f>
        <v>-101.64493618091934</v>
      </c>
      <c r="AP56">
        <f>'CN FD B'!AP56-(('CN FD A'!AP56*'CN FD C'!AP57)/'CN FD alpha'!AP57)</f>
        <v>-101.64493618091934</v>
      </c>
      <c r="AQ56">
        <f>'CN FD B'!AQ56-(('CN FD A'!AQ56*'CN FD C'!AQ57)/'CN FD alpha'!AQ57)</f>
        <v>-101.64493618091934</v>
      </c>
      <c r="AR56">
        <f>'CN FD B'!AR56-(('CN FD A'!AR56*'CN FD C'!AR57)/'CN FD alpha'!AR57)</f>
        <v>-101.64493618091934</v>
      </c>
      <c r="AS56">
        <f>'CN FD B'!AS56-(('CN FD A'!AS56*'CN FD C'!AS57)/'CN FD alpha'!AS57)</f>
        <v>-101.64493618091934</v>
      </c>
      <c r="AT56">
        <f>'CN FD B'!AT56-(('CN FD A'!AT56*'CN FD C'!AT57)/'CN FD alpha'!AT57)</f>
        <v>-101.64493618091934</v>
      </c>
      <c r="AU56">
        <f>'CN FD B'!AU56-(('CN FD A'!AU56*'CN FD C'!AU57)/'CN FD alpha'!AU57)</f>
        <v>-101.64493618091934</v>
      </c>
      <c r="AV56">
        <f>'CN FD B'!AV56-(('CN FD A'!AV56*'CN FD C'!AV57)/'CN FD alpha'!AV57)</f>
        <v>-101.64493618091934</v>
      </c>
      <c r="AW56">
        <f>'CN FD B'!AW56-(('CN FD A'!AW56*'CN FD C'!AW57)/'CN FD alpha'!AW57)</f>
        <v>-101.64493618091934</v>
      </c>
      <c r="AX56">
        <f>'CN FD B'!AX56-(('CN FD A'!AX56*'CN FD C'!AX57)/'CN FD alpha'!AX57)</f>
        <v>-101.64493618091934</v>
      </c>
      <c r="AY56">
        <f>'CN FD B'!AY56-(('CN FD A'!AY56*'CN FD C'!AY57)/'CN FD alpha'!AY57)</f>
        <v>-101.64493618091934</v>
      </c>
      <c r="AZ56">
        <f>'CN FD B'!AZ56-(('CN FD A'!AZ56*'CN FD C'!AZ57)/'CN FD alpha'!AZ57)</f>
        <v>-101.64493618091934</v>
      </c>
      <c r="BA56" s="6"/>
    </row>
    <row r="57" spans="1:53" x14ac:dyDescent="0.2">
      <c r="A57">
        <f t="shared" si="1"/>
        <v>8</v>
      </c>
      <c r="B57" s="3">
        <f t="shared" si="0"/>
        <v>16</v>
      </c>
      <c r="C57">
        <f>'CN FD B'!C57-(('CN FD A'!C57*'CN FD C'!C58)/'CN FD alpha'!C58)</f>
        <v>-101.30693688478975</v>
      </c>
      <c r="D57">
        <f>'CN FD B'!D57-(('CN FD A'!D57*'CN FD C'!D58)/'CN FD alpha'!D58)</f>
        <v>-101.30693688478975</v>
      </c>
      <c r="E57">
        <f>'CN FD B'!E57-(('CN FD A'!E57*'CN FD C'!E58)/'CN FD alpha'!E58)</f>
        <v>-101.30693688478975</v>
      </c>
      <c r="F57">
        <f>'CN FD B'!F57-(('CN FD A'!F57*'CN FD C'!F58)/'CN FD alpha'!F58)</f>
        <v>-101.30693688478975</v>
      </c>
      <c r="G57">
        <f>'CN FD B'!G57-(('CN FD A'!G57*'CN FD C'!G58)/'CN FD alpha'!G58)</f>
        <v>-101.30693688478975</v>
      </c>
      <c r="H57">
        <f>'CN FD B'!H57-(('CN FD A'!H57*'CN FD C'!H58)/'CN FD alpha'!H58)</f>
        <v>-101.30693688478975</v>
      </c>
      <c r="I57">
        <f>'CN FD B'!I57-(('CN FD A'!I57*'CN FD C'!I58)/'CN FD alpha'!I58)</f>
        <v>-101.30693688478975</v>
      </c>
      <c r="J57">
        <f>'CN FD B'!J57-(('CN FD A'!J57*'CN FD C'!J58)/'CN FD alpha'!J58)</f>
        <v>-101.30693688478975</v>
      </c>
      <c r="K57">
        <f>'CN FD B'!K57-(('CN FD A'!K57*'CN FD C'!K58)/'CN FD alpha'!K58)</f>
        <v>-101.30693688478975</v>
      </c>
      <c r="L57">
        <f>'CN FD B'!L57-(('CN FD A'!L57*'CN FD C'!L58)/'CN FD alpha'!L58)</f>
        <v>-101.30693688478975</v>
      </c>
      <c r="M57">
        <f>'CN FD B'!M57-(('CN FD A'!M57*'CN FD C'!M58)/'CN FD alpha'!M58)</f>
        <v>-101.30693688478975</v>
      </c>
      <c r="N57">
        <f>'CN FD B'!N57-(('CN FD A'!N57*'CN FD C'!N58)/'CN FD alpha'!N58)</f>
        <v>-101.30693688478975</v>
      </c>
      <c r="O57">
        <f>'CN FD B'!O57-(('CN FD A'!O57*'CN FD C'!O58)/'CN FD alpha'!O58)</f>
        <v>-101.30693688478975</v>
      </c>
      <c r="P57">
        <f>'CN FD B'!P57-(('CN FD A'!P57*'CN FD C'!P58)/'CN FD alpha'!P58)</f>
        <v>-101.30693688478975</v>
      </c>
      <c r="Q57">
        <f>'CN FD B'!Q57-(('CN FD A'!Q57*'CN FD C'!Q58)/'CN FD alpha'!Q58)</f>
        <v>-101.30693688478975</v>
      </c>
      <c r="R57">
        <f>'CN FD B'!R57-(('CN FD A'!R57*'CN FD C'!R58)/'CN FD alpha'!R58)</f>
        <v>-101.30693688478975</v>
      </c>
      <c r="S57">
        <f>'CN FD B'!S57-(('CN FD A'!S57*'CN FD C'!S58)/'CN FD alpha'!S58)</f>
        <v>-101.30693688478975</v>
      </c>
      <c r="T57">
        <f>'CN FD B'!T57-(('CN FD A'!T57*'CN FD C'!T58)/'CN FD alpha'!T58)</f>
        <v>-101.30693688478975</v>
      </c>
      <c r="U57">
        <f>'CN FD B'!U57-(('CN FD A'!U57*'CN FD C'!U58)/'CN FD alpha'!U58)</f>
        <v>-101.30693688478975</v>
      </c>
      <c r="V57">
        <f>'CN FD B'!V57-(('CN FD A'!V57*'CN FD C'!V58)/'CN FD alpha'!V58)</f>
        <v>-101.30693688478975</v>
      </c>
      <c r="W57">
        <f>'CN FD B'!W57-(('CN FD A'!W57*'CN FD C'!W58)/'CN FD alpha'!W58)</f>
        <v>-101.30693688478975</v>
      </c>
      <c r="X57">
        <f>'CN FD B'!X57-(('CN FD A'!X57*'CN FD C'!X58)/'CN FD alpha'!X58)</f>
        <v>-101.30693688478975</v>
      </c>
      <c r="Y57">
        <f>'CN FD B'!Y57-(('CN FD A'!Y57*'CN FD C'!Y58)/'CN FD alpha'!Y58)</f>
        <v>-101.30693688478975</v>
      </c>
      <c r="Z57">
        <f>'CN FD B'!Z57-(('CN FD A'!Z57*'CN FD C'!Z58)/'CN FD alpha'!Z58)</f>
        <v>-101.30693688478975</v>
      </c>
      <c r="AA57">
        <f>'CN FD B'!AA57-(('CN FD A'!AA57*'CN FD C'!AA58)/'CN FD alpha'!AA58)</f>
        <v>-101.30693688478975</v>
      </c>
      <c r="AB57">
        <f>'CN FD B'!AB57-(('CN FD A'!AB57*'CN FD C'!AB58)/'CN FD alpha'!AB58)</f>
        <v>-101.30693688478975</v>
      </c>
      <c r="AC57">
        <f>'CN FD B'!AC57-(('CN FD A'!AC57*'CN FD C'!AC58)/'CN FD alpha'!AC58)</f>
        <v>-101.30693688478975</v>
      </c>
      <c r="AD57">
        <f>'CN FD B'!AD57-(('CN FD A'!AD57*'CN FD C'!AD58)/'CN FD alpha'!AD58)</f>
        <v>-101.30693688478975</v>
      </c>
      <c r="AE57">
        <f>'CN FD B'!AE57-(('CN FD A'!AE57*'CN FD C'!AE58)/'CN FD alpha'!AE58)</f>
        <v>-101.30693688478975</v>
      </c>
      <c r="AF57">
        <f>'CN FD B'!AF57-(('CN FD A'!AF57*'CN FD C'!AF58)/'CN FD alpha'!AF58)</f>
        <v>-101.30693688478975</v>
      </c>
      <c r="AG57">
        <f>'CN FD B'!AG57-(('CN FD A'!AG57*'CN FD C'!AG58)/'CN FD alpha'!AG58)</f>
        <v>-101.30693688478975</v>
      </c>
      <c r="AH57">
        <f>'CN FD B'!AH57-(('CN FD A'!AH57*'CN FD C'!AH58)/'CN FD alpha'!AH58)</f>
        <v>-101.30693688478975</v>
      </c>
      <c r="AI57">
        <f>'CN FD B'!AI57-(('CN FD A'!AI57*'CN FD C'!AI58)/'CN FD alpha'!AI58)</f>
        <v>-101.30693688478975</v>
      </c>
      <c r="AJ57">
        <f>'CN FD B'!AJ57-(('CN FD A'!AJ57*'CN FD C'!AJ58)/'CN FD alpha'!AJ58)</f>
        <v>-101.30693688478975</v>
      </c>
      <c r="AK57">
        <f>'CN FD B'!AK57-(('CN FD A'!AK57*'CN FD C'!AK58)/'CN FD alpha'!AK58)</f>
        <v>-101.30693688478975</v>
      </c>
      <c r="AL57">
        <f>'CN FD B'!AL57-(('CN FD A'!AL57*'CN FD C'!AL58)/'CN FD alpha'!AL58)</f>
        <v>-101.30693688478975</v>
      </c>
      <c r="AM57">
        <f>'CN FD B'!AM57-(('CN FD A'!AM57*'CN FD C'!AM58)/'CN FD alpha'!AM58)</f>
        <v>-101.30693688478975</v>
      </c>
      <c r="AN57">
        <f>'CN FD B'!AN57-(('CN FD A'!AN57*'CN FD C'!AN58)/'CN FD alpha'!AN58)</f>
        <v>-101.30693688478975</v>
      </c>
      <c r="AO57">
        <f>'CN FD B'!AO57-(('CN FD A'!AO57*'CN FD C'!AO58)/'CN FD alpha'!AO58)</f>
        <v>-101.30693688478975</v>
      </c>
      <c r="AP57">
        <f>'CN FD B'!AP57-(('CN FD A'!AP57*'CN FD C'!AP58)/'CN FD alpha'!AP58)</f>
        <v>-101.30693688478975</v>
      </c>
      <c r="AQ57">
        <f>'CN FD B'!AQ57-(('CN FD A'!AQ57*'CN FD C'!AQ58)/'CN FD alpha'!AQ58)</f>
        <v>-101.30693688478975</v>
      </c>
      <c r="AR57">
        <f>'CN FD B'!AR57-(('CN FD A'!AR57*'CN FD C'!AR58)/'CN FD alpha'!AR58)</f>
        <v>-101.30693688478975</v>
      </c>
      <c r="AS57">
        <f>'CN FD B'!AS57-(('CN FD A'!AS57*'CN FD C'!AS58)/'CN FD alpha'!AS58)</f>
        <v>-101.30693688478975</v>
      </c>
      <c r="AT57">
        <f>'CN FD B'!AT57-(('CN FD A'!AT57*'CN FD C'!AT58)/'CN FD alpha'!AT58)</f>
        <v>-101.30693688478975</v>
      </c>
      <c r="AU57">
        <f>'CN FD B'!AU57-(('CN FD A'!AU57*'CN FD C'!AU58)/'CN FD alpha'!AU58)</f>
        <v>-101.30693688478975</v>
      </c>
      <c r="AV57">
        <f>'CN FD B'!AV57-(('CN FD A'!AV57*'CN FD C'!AV58)/'CN FD alpha'!AV58)</f>
        <v>-101.30693688478975</v>
      </c>
      <c r="AW57">
        <f>'CN FD B'!AW57-(('CN FD A'!AW57*'CN FD C'!AW58)/'CN FD alpha'!AW58)</f>
        <v>-101.30693688478975</v>
      </c>
      <c r="AX57">
        <f>'CN FD B'!AX57-(('CN FD A'!AX57*'CN FD C'!AX58)/'CN FD alpha'!AX58)</f>
        <v>-101.30693688478975</v>
      </c>
      <c r="AY57">
        <f>'CN FD B'!AY57-(('CN FD A'!AY57*'CN FD C'!AY58)/'CN FD alpha'!AY58)</f>
        <v>-101.30693688478975</v>
      </c>
      <c r="AZ57">
        <f>'CN FD B'!AZ57-(('CN FD A'!AZ57*'CN FD C'!AZ58)/'CN FD alpha'!AZ58)</f>
        <v>-101.30693688478975</v>
      </c>
      <c r="BA57" s="6"/>
    </row>
    <row r="58" spans="1:53" x14ac:dyDescent="0.2">
      <c r="A58">
        <f t="shared" si="1"/>
        <v>7</v>
      </c>
      <c r="B58" s="3">
        <f t="shared" si="0"/>
        <v>14</v>
      </c>
      <c r="C58">
        <f>'CN FD B'!C58-(('CN FD A'!C58*'CN FD C'!C59)/'CN FD alpha'!C59)</f>
        <v>-101.00828038212393</v>
      </c>
      <c r="D58">
        <f>'CN FD B'!D58-(('CN FD A'!D58*'CN FD C'!D59)/'CN FD alpha'!D59)</f>
        <v>-101.00828038212393</v>
      </c>
      <c r="E58">
        <f>'CN FD B'!E58-(('CN FD A'!E58*'CN FD C'!E59)/'CN FD alpha'!E59)</f>
        <v>-101.00828038212393</v>
      </c>
      <c r="F58">
        <f>'CN FD B'!F58-(('CN FD A'!F58*'CN FD C'!F59)/'CN FD alpha'!F59)</f>
        <v>-101.00828038212393</v>
      </c>
      <c r="G58">
        <f>'CN FD B'!G58-(('CN FD A'!G58*'CN FD C'!G59)/'CN FD alpha'!G59)</f>
        <v>-101.00828038212393</v>
      </c>
      <c r="H58">
        <f>'CN FD B'!H58-(('CN FD A'!H58*'CN FD C'!H59)/'CN FD alpha'!H59)</f>
        <v>-101.00828038212393</v>
      </c>
      <c r="I58">
        <f>'CN FD B'!I58-(('CN FD A'!I58*'CN FD C'!I59)/'CN FD alpha'!I59)</f>
        <v>-101.00828038212393</v>
      </c>
      <c r="J58">
        <f>'CN FD B'!J58-(('CN FD A'!J58*'CN FD C'!J59)/'CN FD alpha'!J59)</f>
        <v>-101.00828038212393</v>
      </c>
      <c r="K58">
        <f>'CN FD B'!K58-(('CN FD A'!K58*'CN FD C'!K59)/'CN FD alpha'!K59)</f>
        <v>-101.00828038212393</v>
      </c>
      <c r="L58">
        <f>'CN FD B'!L58-(('CN FD A'!L58*'CN FD C'!L59)/'CN FD alpha'!L59)</f>
        <v>-101.00828038212393</v>
      </c>
      <c r="M58">
        <f>'CN FD B'!M58-(('CN FD A'!M58*'CN FD C'!M59)/'CN FD alpha'!M59)</f>
        <v>-101.00828038212393</v>
      </c>
      <c r="N58">
        <f>'CN FD B'!N58-(('CN FD A'!N58*'CN FD C'!N59)/'CN FD alpha'!N59)</f>
        <v>-101.00828038212393</v>
      </c>
      <c r="O58">
        <f>'CN FD B'!O58-(('CN FD A'!O58*'CN FD C'!O59)/'CN FD alpha'!O59)</f>
        <v>-101.00828038212393</v>
      </c>
      <c r="P58">
        <f>'CN FD B'!P58-(('CN FD A'!P58*'CN FD C'!P59)/'CN FD alpha'!P59)</f>
        <v>-101.00828038212393</v>
      </c>
      <c r="Q58">
        <f>'CN FD B'!Q58-(('CN FD A'!Q58*'CN FD C'!Q59)/'CN FD alpha'!Q59)</f>
        <v>-101.00828038212393</v>
      </c>
      <c r="R58">
        <f>'CN FD B'!R58-(('CN FD A'!R58*'CN FD C'!R59)/'CN FD alpha'!R59)</f>
        <v>-101.00828038212393</v>
      </c>
      <c r="S58">
        <f>'CN FD B'!S58-(('CN FD A'!S58*'CN FD C'!S59)/'CN FD alpha'!S59)</f>
        <v>-101.00828038212393</v>
      </c>
      <c r="T58">
        <f>'CN FD B'!T58-(('CN FD A'!T58*'CN FD C'!T59)/'CN FD alpha'!T59)</f>
        <v>-101.00828038212393</v>
      </c>
      <c r="U58">
        <f>'CN FD B'!U58-(('CN FD A'!U58*'CN FD C'!U59)/'CN FD alpha'!U59)</f>
        <v>-101.00828038212393</v>
      </c>
      <c r="V58">
        <f>'CN FD B'!V58-(('CN FD A'!V58*'CN FD C'!V59)/'CN FD alpha'!V59)</f>
        <v>-101.00828038212393</v>
      </c>
      <c r="W58">
        <f>'CN FD B'!W58-(('CN FD A'!W58*'CN FD C'!W59)/'CN FD alpha'!W59)</f>
        <v>-101.00828038212393</v>
      </c>
      <c r="X58">
        <f>'CN FD B'!X58-(('CN FD A'!X58*'CN FD C'!X59)/'CN FD alpha'!X59)</f>
        <v>-101.00828038212393</v>
      </c>
      <c r="Y58">
        <f>'CN FD B'!Y58-(('CN FD A'!Y58*'CN FD C'!Y59)/'CN FD alpha'!Y59)</f>
        <v>-101.00828038212393</v>
      </c>
      <c r="Z58">
        <f>'CN FD B'!Z58-(('CN FD A'!Z58*'CN FD C'!Z59)/'CN FD alpha'!Z59)</f>
        <v>-101.00828038212393</v>
      </c>
      <c r="AA58">
        <f>'CN FD B'!AA58-(('CN FD A'!AA58*'CN FD C'!AA59)/'CN FD alpha'!AA59)</f>
        <v>-101.00828038212393</v>
      </c>
      <c r="AB58">
        <f>'CN FD B'!AB58-(('CN FD A'!AB58*'CN FD C'!AB59)/'CN FD alpha'!AB59)</f>
        <v>-101.00828038212393</v>
      </c>
      <c r="AC58">
        <f>'CN FD B'!AC58-(('CN FD A'!AC58*'CN FD C'!AC59)/'CN FD alpha'!AC59)</f>
        <v>-101.00828038212393</v>
      </c>
      <c r="AD58">
        <f>'CN FD B'!AD58-(('CN FD A'!AD58*'CN FD C'!AD59)/'CN FD alpha'!AD59)</f>
        <v>-101.00828038212393</v>
      </c>
      <c r="AE58">
        <f>'CN FD B'!AE58-(('CN FD A'!AE58*'CN FD C'!AE59)/'CN FD alpha'!AE59)</f>
        <v>-101.00828038212393</v>
      </c>
      <c r="AF58">
        <f>'CN FD B'!AF58-(('CN FD A'!AF58*'CN FD C'!AF59)/'CN FD alpha'!AF59)</f>
        <v>-101.00828038212393</v>
      </c>
      <c r="AG58">
        <f>'CN FD B'!AG58-(('CN FD A'!AG58*'CN FD C'!AG59)/'CN FD alpha'!AG59)</f>
        <v>-101.00828038212393</v>
      </c>
      <c r="AH58">
        <f>'CN FD B'!AH58-(('CN FD A'!AH58*'CN FD C'!AH59)/'CN FD alpha'!AH59)</f>
        <v>-101.00828038212393</v>
      </c>
      <c r="AI58">
        <f>'CN FD B'!AI58-(('CN FD A'!AI58*'CN FD C'!AI59)/'CN FD alpha'!AI59)</f>
        <v>-101.00828038212393</v>
      </c>
      <c r="AJ58">
        <f>'CN FD B'!AJ58-(('CN FD A'!AJ58*'CN FD C'!AJ59)/'CN FD alpha'!AJ59)</f>
        <v>-101.00828038212393</v>
      </c>
      <c r="AK58">
        <f>'CN FD B'!AK58-(('CN FD A'!AK58*'CN FD C'!AK59)/'CN FD alpha'!AK59)</f>
        <v>-101.00828038212393</v>
      </c>
      <c r="AL58">
        <f>'CN FD B'!AL58-(('CN FD A'!AL58*'CN FD C'!AL59)/'CN FD alpha'!AL59)</f>
        <v>-101.00828038212393</v>
      </c>
      <c r="AM58">
        <f>'CN FD B'!AM58-(('CN FD A'!AM58*'CN FD C'!AM59)/'CN FD alpha'!AM59)</f>
        <v>-101.00828038212393</v>
      </c>
      <c r="AN58">
        <f>'CN FD B'!AN58-(('CN FD A'!AN58*'CN FD C'!AN59)/'CN FD alpha'!AN59)</f>
        <v>-101.00828038212393</v>
      </c>
      <c r="AO58">
        <f>'CN FD B'!AO58-(('CN FD A'!AO58*'CN FD C'!AO59)/'CN FD alpha'!AO59)</f>
        <v>-101.00828038212393</v>
      </c>
      <c r="AP58">
        <f>'CN FD B'!AP58-(('CN FD A'!AP58*'CN FD C'!AP59)/'CN FD alpha'!AP59)</f>
        <v>-101.00828038212393</v>
      </c>
      <c r="AQ58">
        <f>'CN FD B'!AQ58-(('CN FD A'!AQ58*'CN FD C'!AQ59)/'CN FD alpha'!AQ59)</f>
        <v>-101.00828038212393</v>
      </c>
      <c r="AR58">
        <f>'CN FD B'!AR58-(('CN FD A'!AR58*'CN FD C'!AR59)/'CN FD alpha'!AR59)</f>
        <v>-101.00828038212393</v>
      </c>
      <c r="AS58">
        <f>'CN FD B'!AS58-(('CN FD A'!AS58*'CN FD C'!AS59)/'CN FD alpha'!AS59)</f>
        <v>-101.00828038212393</v>
      </c>
      <c r="AT58">
        <f>'CN FD B'!AT58-(('CN FD A'!AT58*'CN FD C'!AT59)/'CN FD alpha'!AT59)</f>
        <v>-101.00828038212393</v>
      </c>
      <c r="AU58">
        <f>'CN FD B'!AU58-(('CN FD A'!AU58*'CN FD C'!AU59)/'CN FD alpha'!AU59)</f>
        <v>-101.00828038212393</v>
      </c>
      <c r="AV58">
        <f>'CN FD B'!AV58-(('CN FD A'!AV58*'CN FD C'!AV59)/'CN FD alpha'!AV59)</f>
        <v>-101.00828038212393</v>
      </c>
      <c r="AW58">
        <f>'CN FD B'!AW58-(('CN FD A'!AW58*'CN FD C'!AW59)/'CN FD alpha'!AW59)</f>
        <v>-101.00828038212393</v>
      </c>
      <c r="AX58">
        <f>'CN FD B'!AX58-(('CN FD A'!AX58*'CN FD C'!AX59)/'CN FD alpha'!AX59)</f>
        <v>-101.00828038212393</v>
      </c>
      <c r="AY58">
        <f>'CN FD B'!AY58-(('CN FD A'!AY58*'CN FD C'!AY59)/'CN FD alpha'!AY59)</f>
        <v>-101.00828038212393</v>
      </c>
      <c r="AZ58">
        <f>'CN FD B'!AZ58-(('CN FD A'!AZ58*'CN FD C'!AZ59)/'CN FD alpha'!AZ59)</f>
        <v>-101.00828038212393</v>
      </c>
      <c r="BA58" s="6"/>
    </row>
    <row r="59" spans="1:53" x14ac:dyDescent="0.2">
      <c r="A59">
        <f t="shared" si="1"/>
        <v>6</v>
      </c>
      <c r="B59" s="3">
        <f t="shared" si="0"/>
        <v>12</v>
      </c>
      <c r="C59">
        <f>'CN FD B'!C59-(('CN FD A'!C59*'CN FD C'!C60)/'CN FD alpha'!C60)</f>
        <v>-100.74912712289976</v>
      </c>
      <c r="D59">
        <f>'CN FD B'!D59-(('CN FD A'!D59*'CN FD C'!D60)/'CN FD alpha'!D60)</f>
        <v>-100.74912712289976</v>
      </c>
      <c r="E59">
        <f>'CN FD B'!E59-(('CN FD A'!E59*'CN FD C'!E60)/'CN FD alpha'!E60)</f>
        <v>-100.74912712289976</v>
      </c>
      <c r="F59">
        <f>'CN FD B'!F59-(('CN FD A'!F59*'CN FD C'!F60)/'CN FD alpha'!F60)</f>
        <v>-100.74912712289976</v>
      </c>
      <c r="G59">
        <f>'CN FD B'!G59-(('CN FD A'!G59*'CN FD C'!G60)/'CN FD alpha'!G60)</f>
        <v>-100.74912712289976</v>
      </c>
      <c r="H59">
        <f>'CN FD B'!H59-(('CN FD A'!H59*'CN FD C'!H60)/'CN FD alpha'!H60)</f>
        <v>-100.74912712289976</v>
      </c>
      <c r="I59">
        <f>'CN FD B'!I59-(('CN FD A'!I59*'CN FD C'!I60)/'CN FD alpha'!I60)</f>
        <v>-100.74912712289976</v>
      </c>
      <c r="J59">
        <f>'CN FD B'!J59-(('CN FD A'!J59*'CN FD C'!J60)/'CN FD alpha'!J60)</f>
        <v>-100.74912712289976</v>
      </c>
      <c r="K59">
        <f>'CN FD B'!K59-(('CN FD A'!K59*'CN FD C'!K60)/'CN FD alpha'!K60)</f>
        <v>-100.74912712289976</v>
      </c>
      <c r="L59">
        <f>'CN FD B'!L59-(('CN FD A'!L59*'CN FD C'!L60)/'CN FD alpha'!L60)</f>
        <v>-100.74912712289976</v>
      </c>
      <c r="M59">
        <f>'CN FD B'!M59-(('CN FD A'!M59*'CN FD C'!M60)/'CN FD alpha'!M60)</f>
        <v>-100.74912712289976</v>
      </c>
      <c r="N59">
        <f>'CN FD B'!N59-(('CN FD A'!N59*'CN FD C'!N60)/'CN FD alpha'!N60)</f>
        <v>-100.74912712289976</v>
      </c>
      <c r="O59">
        <f>'CN FD B'!O59-(('CN FD A'!O59*'CN FD C'!O60)/'CN FD alpha'!O60)</f>
        <v>-100.74912712289976</v>
      </c>
      <c r="P59">
        <f>'CN FD B'!P59-(('CN FD A'!P59*'CN FD C'!P60)/'CN FD alpha'!P60)</f>
        <v>-100.74912712289976</v>
      </c>
      <c r="Q59">
        <f>'CN FD B'!Q59-(('CN FD A'!Q59*'CN FD C'!Q60)/'CN FD alpha'!Q60)</f>
        <v>-100.74912712289976</v>
      </c>
      <c r="R59">
        <f>'CN FD B'!R59-(('CN FD A'!R59*'CN FD C'!R60)/'CN FD alpha'!R60)</f>
        <v>-100.74912712289976</v>
      </c>
      <c r="S59">
        <f>'CN FD B'!S59-(('CN FD A'!S59*'CN FD C'!S60)/'CN FD alpha'!S60)</f>
        <v>-100.74912712289976</v>
      </c>
      <c r="T59">
        <f>'CN FD B'!T59-(('CN FD A'!T59*'CN FD C'!T60)/'CN FD alpha'!T60)</f>
        <v>-100.74912712289976</v>
      </c>
      <c r="U59">
        <f>'CN FD B'!U59-(('CN FD A'!U59*'CN FD C'!U60)/'CN FD alpha'!U60)</f>
        <v>-100.74912712289976</v>
      </c>
      <c r="V59">
        <f>'CN FD B'!V59-(('CN FD A'!V59*'CN FD C'!V60)/'CN FD alpha'!V60)</f>
        <v>-100.74912712289976</v>
      </c>
      <c r="W59">
        <f>'CN FD B'!W59-(('CN FD A'!W59*'CN FD C'!W60)/'CN FD alpha'!W60)</f>
        <v>-100.74912712289976</v>
      </c>
      <c r="X59">
        <f>'CN FD B'!X59-(('CN FD A'!X59*'CN FD C'!X60)/'CN FD alpha'!X60)</f>
        <v>-100.74912712289976</v>
      </c>
      <c r="Y59">
        <f>'CN FD B'!Y59-(('CN FD A'!Y59*'CN FD C'!Y60)/'CN FD alpha'!Y60)</f>
        <v>-100.74912712289976</v>
      </c>
      <c r="Z59">
        <f>'CN FD B'!Z59-(('CN FD A'!Z59*'CN FD C'!Z60)/'CN FD alpha'!Z60)</f>
        <v>-100.74912712289976</v>
      </c>
      <c r="AA59">
        <f>'CN FD B'!AA59-(('CN FD A'!AA59*'CN FD C'!AA60)/'CN FD alpha'!AA60)</f>
        <v>-100.74912712289976</v>
      </c>
      <c r="AB59">
        <f>'CN FD B'!AB59-(('CN FD A'!AB59*'CN FD C'!AB60)/'CN FD alpha'!AB60)</f>
        <v>-100.74912712289976</v>
      </c>
      <c r="AC59">
        <f>'CN FD B'!AC59-(('CN FD A'!AC59*'CN FD C'!AC60)/'CN FD alpha'!AC60)</f>
        <v>-100.74912712289976</v>
      </c>
      <c r="AD59">
        <f>'CN FD B'!AD59-(('CN FD A'!AD59*'CN FD C'!AD60)/'CN FD alpha'!AD60)</f>
        <v>-100.74912712289976</v>
      </c>
      <c r="AE59">
        <f>'CN FD B'!AE59-(('CN FD A'!AE59*'CN FD C'!AE60)/'CN FD alpha'!AE60)</f>
        <v>-100.74912712289976</v>
      </c>
      <c r="AF59">
        <f>'CN FD B'!AF59-(('CN FD A'!AF59*'CN FD C'!AF60)/'CN FD alpha'!AF60)</f>
        <v>-100.74912712289976</v>
      </c>
      <c r="AG59">
        <f>'CN FD B'!AG59-(('CN FD A'!AG59*'CN FD C'!AG60)/'CN FD alpha'!AG60)</f>
        <v>-100.74912712289976</v>
      </c>
      <c r="AH59">
        <f>'CN FD B'!AH59-(('CN FD A'!AH59*'CN FD C'!AH60)/'CN FD alpha'!AH60)</f>
        <v>-100.74912712289976</v>
      </c>
      <c r="AI59">
        <f>'CN FD B'!AI59-(('CN FD A'!AI59*'CN FD C'!AI60)/'CN FD alpha'!AI60)</f>
        <v>-100.74912712289976</v>
      </c>
      <c r="AJ59">
        <f>'CN FD B'!AJ59-(('CN FD A'!AJ59*'CN FD C'!AJ60)/'CN FD alpha'!AJ60)</f>
        <v>-100.74912712289976</v>
      </c>
      <c r="AK59">
        <f>'CN FD B'!AK59-(('CN FD A'!AK59*'CN FD C'!AK60)/'CN FD alpha'!AK60)</f>
        <v>-100.74912712289976</v>
      </c>
      <c r="AL59">
        <f>'CN FD B'!AL59-(('CN FD A'!AL59*'CN FD C'!AL60)/'CN FD alpha'!AL60)</f>
        <v>-100.74912712289976</v>
      </c>
      <c r="AM59">
        <f>'CN FD B'!AM59-(('CN FD A'!AM59*'CN FD C'!AM60)/'CN FD alpha'!AM60)</f>
        <v>-100.74912712289976</v>
      </c>
      <c r="AN59">
        <f>'CN FD B'!AN59-(('CN FD A'!AN59*'CN FD C'!AN60)/'CN FD alpha'!AN60)</f>
        <v>-100.74912712289976</v>
      </c>
      <c r="AO59">
        <f>'CN FD B'!AO59-(('CN FD A'!AO59*'CN FD C'!AO60)/'CN FD alpha'!AO60)</f>
        <v>-100.74912712289976</v>
      </c>
      <c r="AP59">
        <f>'CN FD B'!AP59-(('CN FD A'!AP59*'CN FD C'!AP60)/'CN FD alpha'!AP60)</f>
        <v>-100.74912712289976</v>
      </c>
      <c r="AQ59">
        <f>'CN FD B'!AQ59-(('CN FD A'!AQ59*'CN FD C'!AQ60)/'CN FD alpha'!AQ60)</f>
        <v>-100.74912712289976</v>
      </c>
      <c r="AR59">
        <f>'CN FD B'!AR59-(('CN FD A'!AR59*'CN FD C'!AR60)/'CN FD alpha'!AR60)</f>
        <v>-100.74912712289976</v>
      </c>
      <c r="AS59">
        <f>'CN FD B'!AS59-(('CN FD A'!AS59*'CN FD C'!AS60)/'CN FD alpha'!AS60)</f>
        <v>-100.74912712289976</v>
      </c>
      <c r="AT59">
        <f>'CN FD B'!AT59-(('CN FD A'!AT59*'CN FD C'!AT60)/'CN FD alpha'!AT60)</f>
        <v>-100.74912712289976</v>
      </c>
      <c r="AU59">
        <f>'CN FD B'!AU59-(('CN FD A'!AU59*'CN FD C'!AU60)/'CN FD alpha'!AU60)</f>
        <v>-100.74912712289976</v>
      </c>
      <c r="AV59">
        <f>'CN FD B'!AV59-(('CN FD A'!AV59*'CN FD C'!AV60)/'CN FD alpha'!AV60)</f>
        <v>-100.74912712289976</v>
      </c>
      <c r="AW59">
        <f>'CN FD B'!AW59-(('CN FD A'!AW59*'CN FD C'!AW60)/'CN FD alpha'!AW60)</f>
        <v>-100.74912712289976</v>
      </c>
      <c r="AX59">
        <f>'CN FD B'!AX59-(('CN FD A'!AX59*'CN FD C'!AX60)/'CN FD alpha'!AX60)</f>
        <v>-100.74912712289976</v>
      </c>
      <c r="AY59">
        <f>'CN FD B'!AY59-(('CN FD A'!AY59*'CN FD C'!AY60)/'CN FD alpha'!AY60)</f>
        <v>-100.74912712289976</v>
      </c>
      <c r="AZ59">
        <f>'CN FD B'!AZ59-(('CN FD A'!AZ59*'CN FD C'!AZ60)/'CN FD alpha'!AZ60)</f>
        <v>-100.74912712289976</v>
      </c>
      <c r="BA59" s="6"/>
    </row>
    <row r="60" spans="1:53" x14ac:dyDescent="0.2">
      <c r="A60">
        <f t="shared" si="1"/>
        <v>5</v>
      </c>
      <c r="B60" s="3">
        <f t="shared" si="0"/>
        <v>10</v>
      </c>
      <c r="C60">
        <f>'CN FD B'!C60-(('CN FD A'!C60*'CN FD C'!C61)/'CN FD alpha'!C61)</f>
        <v>-100.52961634228515</v>
      </c>
      <c r="D60">
        <f>'CN FD B'!D60-(('CN FD A'!D60*'CN FD C'!D61)/'CN FD alpha'!D61)</f>
        <v>-100.52961634228515</v>
      </c>
      <c r="E60">
        <f>'CN FD B'!E60-(('CN FD A'!E60*'CN FD C'!E61)/'CN FD alpha'!E61)</f>
        <v>-100.52961634228515</v>
      </c>
      <c r="F60">
        <f>'CN FD B'!F60-(('CN FD A'!F60*'CN FD C'!F61)/'CN FD alpha'!F61)</f>
        <v>-100.52961634228515</v>
      </c>
      <c r="G60">
        <f>'CN FD B'!G60-(('CN FD A'!G60*'CN FD C'!G61)/'CN FD alpha'!G61)</f>
        <v>-100.52961634228515</v>
      </c>
      <c r="H60">
        <f>'CN FD B'!H60-(('CN FD A'!H60*'CN FD C'!H61)/'CN FD alpha'!H61)</f>
        <v>-100.52961634228515</v>
      </c>
      <c r="I60">
        <f>'CN FD B'!I60-(('CN FD A'!I60*'CN FD C'!I61)/'CN FD alpha'!I61)</f>
        <v>-100.52961634228515</v>
      </c>
      <c r="J60">
        <f>'CN FD B'!J60-(('CN FD A'!J60*'CN FD C'!J61)/'CN FD alpha'!J61)</f>
        <v>-100.52961634228515</v>
      </c>
      <c r="K60">
        <f>'CN FD B'!K60-(('CN FD A'!K60*'CN FD C'!K61)/'CN FD alpha'!K61)</f>
        <v>-100.52961634228515</v>
      </c>
      <c r="L60">
        <f>'CN FD B'!L60-(('CN FD A'!L60*'CN FD C'!L61)/'CN FD alpha'!L61)</f>
        <v>-100.52961634228515</v>
      </c>
      <c r="M60">
        <f>'CN FD B'!M60-(('CN FD A'!M60*'CN FD C'!M61)/'CN FD alpha'!M61)</f>
        <v>-100.52961634228515</v>
      </c>
      <c r="N60">
        <f>'CN FD B'!N60-(('CN FD A'!N60*'CN FD C'!N61)/'CN FD alpha'!N61)</f>
        <v>-100.52961634228515</v>
      </c>
      <c r="O60">
        <f>'CN FD B'!O60-(('CN FD A'!O60*'CN FD C'!O61)/'CN FD alpha'!O61)</f>
        <v>-100.52961634228515</v>
      </c>
      <c r="P60">
        <f>'CN FD B'!P60-(('CN FD A'!P60*'CN FD C'!P61)/'CN FD alpha'!P61)</f>
        <v>-100.52961634228515</v>
      </c>
      <c r="Q60">
        <f>'CN FD B'!Q60-(('CN FD A'!Q60*'CN FD C'!Q61)/'CN FD alpha'!Q61)</f>
        <v>-100.52961634228515</v>
      </c>
      <c r="R60">
        <f>'CN FD B'!R60-(('CN FD A'!R60*'CN FD C'!R61)/'CN FD alpha'!R61)</f>
        <v>-100.52961634228515</v>
      </c>
      <c r="S60">
        <f>'CN FD B'!S60-(('CN FD A'!S60*'CN FD C'!S61)/'CN FD alpha'!S61)</f>
        <v>-100.52961634228515</v>
      </c>
      <c r="T60">
        <f>'CN FD B'!T60-(('CN FD A'!T60*'CN FD C'!T61)/'CN FD alpha'!T61)</f>
        <v>-100.52961634228515</v>
      </c>
      <c r="U60">
        <f>'CN FD B'!U60-(('CN FD A'!U60*'CN FD C'!U61)/'CN FD alpha'!U61)</f>
        <v>-100.52961634228515</v>
      </c>
      <c r="V60">
        <f>'CN FD B'!V60-(('CN FD A'!V60*'CN FD C'!V61)/'CN FD alpha'!V61)</f>
        <v>-100.52961634228515</v>
      </c>
      <c r="W60">
        <f>'CN FD B'!W60-(('CN FD A'!W60*'CN FD C'!W61)/'CN FD alpha'!W61)</f>
        <v>-100.52961634228515</v>
      </c>
      <c r="X60">
        <f>'CN FD B'!X60-(('CN FD A'!X60*'CN FD C'!X61)/'CN FD alpha'!X61)</f>
        <v>-100.52961634228515</v>
      </c>
      <c r="Y60">
        <f>'CN FD B'!Y60-(('CN FD A'!Y60*'CN FD C'!Y61)/'CN FD alpha'!Y61)</f>
        <v>-100.52961634228515</v>
      </c>
      <c r="Z60">
        <f>'CN FD B'!Z60-(('CN FD A'!Z60*'CN FD C'!Z61)/'CN FD alpha'!Z61)</f>
        <v>-100.52961634228515</v>
      </c>
      <c r="AA60">
        <f>'CN FD B'!AA60-(('CN FD A'!AA60*'CN FD C'!AA61)/'CN FD alpha'!AA61)</f>
        <v>-100.52961634228515</v>
      </c>
      <c r="AB60">
        <f>'CN FD B'!AB60-(('CN FD A'!AB60*'CN FD C'!AB61)/'CN FD alpha'!AB61)</f>
        <v>-100.52961634228515</v>
      </c>
      <c r="AC60">
        <f>'CN FD B'!AC60-(('CN FD A'!AC60*'CN FD C'!AC61)/'CN FD alpha'!AC61)</f>
        <v>-100.52961634228515</v>
      </c>
      <c r="AD60">
        <f>'CN FD B'!AD60-(('CN FD A'!AD60*'CN FD C'!AD61)/'CN FD alpha'!AD61)</f>
        <v>-100.52961634228515</v>
      </c>
      <c r="AE60">
        <f>'CN FD B'!AE60-(('CN FD A'!AE60*'CN FD C'!AE61)/'CN FD alpha'!AE61)</f>
        <v>-100.52961634228515</v>
      </c>
      <c r="AF60">
        <f>'CN FD B'!AF60-(('CN FD A'!AF60*'CN FD C'!AF61)/'CN FD alpha'!AF61)</f>
        <v>-100.52961634228515</v>
      </c>
      <c r="AG60">
        <f>'CN FD B'!AG60-(('CN FD A'!AG60*'CN FD C'!AG61)/'CN FD alpha'!AG61)</f>
        <v>-100.52961634228515</v>
      </c>
      <c r="AH60">
        <f>'CN FD B'!AH60-(('CN FD A'!AH60*'CN FD C'!AH61)/'CN FD alpha'!AH61)</f>
        <v>-100.52961634228515</v>
      </c>
      <c r="AI60">
        <f>'CN FD B'!AI60-(('CN FD A'!AI60*'CN FD C'!AI61)/'CN FD alpha'!AI61)</f>
        <v>-100.52961634228515</v>
      </c>
      <c r="AJ60">
        <f>'CN FD B'!AJ60-(('CN FD A'!AJ60*'CN FD C'!AJ61)/'CN FD alpha'!AJ61)</f>
        <v>-100.52961634228515</v>
      </c>
      <c r="AK60">
        <f>'CN FD B'!AK60-(('CN FD A'!AK60*'CN FD C'!AK61)/'CN FD alpha'!AK61)</f>
        <v>-100.52961634228515</v>
      </c>
      <c r="AL60">
        <f>'CN FD B'!AL60-(('CN FD A'!AL60*'CN FD C'!AL61)/'CN FD alpha'!AL61)</f>
        <v>-100.52961634228515</v>
      </c>
      <c r="AM60">
        <f>'CN FD B'!AM60-(('CN FD A'!AM60*'CN FD C'!AM61)/'CN FD alpha'!AM61)</f>
        <v>-100.52961634228515</v>
      </c>
      <c r="AN60">
        <f>'CN FD B'!AN60-(('CN FD A'!AN60*'CN FD C'!AN61)/'CN FD alpha'!AN61)</f>
        <v>-100.52961634228515</v>
      </c>
      <c r="AO60">
        <f>'CN FD B'!AO60-(('CN FD A'!AO60*'CN FD C'!AO61)/'CN FD alpha'!AO61)</f>
        <v>-100.52961634228515</v>
      </c>
      <c r="AP60">
        <f>'CN FD B'!AP60-(('CN FD A'!AP60*'CN FD C'!AP61)/'CN FD alpha'!AP61)</f>
        <v>-100.52961634228515</v>
      </c>
      <c r="AQ60">
        <f>'CN FD B'!AQ60-(('CN FD A'!AQ60*'CN FD C'!AQ61)/'CN FD alpha'!AQ61)</f>
        <v>-100.52961634228515</v>
      </c>
      <c r="AR60">
        <f>'CN FD B'!AR60-(('CN FD A'!AR60*'CN FD C'!AR61)/'CN FD alpha'!AR61)</f>
        <v>-100.52961634228515</v>
      </c>
      <c r="AS60">
        <f>'CN FD B'!AS60-(('CN FD A'!AS60*'CN FD C'!AS61)/'CN FD alpha'!AS61)</f>
        <v>-100.52961634228515</v>
      </c>
      <c r="AT60">
        <f>'CN FD B'!AT60-(('CN FD A'!AT60*'CN FD C'!AT61)/'CN FD alpha'!AT61)</f>
        <v>-100.52961634228515</v>
      </c>
      <c r="AU60">
        <f>'CN FD B'!AU60-(('CN FD A'!AU60*'CN FD C'!AU61)/'CN FD alpha'!AU61)</f>
        <v>-100.52961634228515</v>
      </c>
      <c r="AV60">
        <f>'CN FD B'!AV60-(('CN FD A'!AV60*'CN FD C'!AV61)/'CN FD alpha'!AV61)</f>
        <v>-100.52961634228515</v>
      </c>
      <c r="AW60">
        <f>'CN FD B'!AW60-(('CN FD A'!AW60*'CN FD C'!AW61)/'CN FD alpha'!AW61)</f>
        <v>-100.52961634228515</v>
      </c>
      <c r="AX60">
        <f>'CN FD B'!AX60-(('CN FD A'!AX60*'CN FD C'!AX61)/'CN FD alpha'!AX61)</f>
        <v>-100.52961634228515</v>
      </c>
      <c r="AY60">
        <f>'CN FD B'!AY60-(('CN FD A'!AY60*'CN FD C'!AY61)/'CN FD alpha'!AY61)</f>
        <v>-100.52961634228515</v>
      </c>
      <c r="AZ60">
        <f>'CN FD B'!AZ60-(('CN FD A'!AZ60*'CN FD C'!AZ61)/'CN FD alpha'!AZ61)</f>
        <v>-100.52961634228515</v>
      </c>
      <c r="BA60" s="6"/>
    </row>
    <row r="61" spans="1:53" x14ac:dyDescent="0.2">
      <c r="A61">
        <f t="shared" si="1"/>
        <v>4</v>
      </c>
      <c r="B61" s="3">
        <f t="shared" si="0"/>
        <v>8</v>
      </c>
      <c r="C61">
        <f>'CN FD B'!C61-(('CN FD A'!C61*'CN FD C'!C62)/'CN FD alpha'!C62)</f>
        <v>-100.34986528286359</v>
      </c>
      <c r="D61">
        <f>'CN FD B'!D61-(('CN FD A'!D61*'CN FD C'!D62)/'CN FD alpha'!D62)</f>
        <v>-100.34986528286359</v>
      </c>
      <c r="E61">
        <f>'CN FD B'!E61-(('CN FD A'!E61*'CN FD C'!E62)/'CN FD alpha'!E62)</f>
        <v>-100.34986528286359</v>
      </c>
      <c r="F61">
        <f>'CN FD B'!F61-(('CN FD A'!F61*'CN FD C'!F62)/'CN FD alpha'!F62)</f>
        <v>-100.34986528286359</v>
      </c>
      <c r="G61">
        <f>'CN FD B'!G61-(('CN FD A'!G61*'CN FD C'!G62)/'CN FD alpha'!G62)</f>
        <v>-100.34986528286359</v>
      </c>
      <c r="H61">
        <f>'CN FD B'!H61-(('CN FD A'!H61*'CN FD C'!H62)/'CN FD alpha'!H62)</f>
        <v>-100.34986528286359</v>
      </c>
      <c r="I61">
        <f>'CN FD B'!I61-(('CN FD A'!I61*'CN FD C'!I62)/'CN FD alpha'!I62)</f>
        <v>-100.34986528286359</v>
      </c>
      <c r="J61">
        <f>'CN FD B'!J61-(('CN FD A'!J61*'CN FD C'!J62)/'CN FD alpha'!J62)</f>
        <v>-100.34986528286359</v>
      </c>
      <c r="K61">
        <f>'CN FD B'!K61-(('CN FD A'!K61*'CN FD C'!K62)/'CN FD alpha'!K62)</f>
        <v>-100.34986528286359</v>
      </c>
      <c r="L61">
        <f>'CN FD B'!L61-(('CN FD A'!L61*'CN FD C'!L62)/'CN FD alpha'!L62)</f>
        <v>-100.34986528286359</v>
      </c>
      <c r="M61">
        <f>'CN FD B'!M61-(('CN FD A'!M61*'CN FD C'!M62)/'CN FD alpha'!M62)</f>
        <v>-100.34986528286359</v>
      </c>
      <c r="N61">
        <f>'CN FD B'!N61-(('CN FD A'!N61*'CN FD C'!N62)/'CN FD alpha'!N62)</f>
        <v>-100.34986528286359</v>
      </c>
      <c r="O61">
        <f>'CN FD B'!O61-(('CN FD A'!O61*'CN FD C'!O62)/'CN FD alpha'!O62)</f>
        <v>-100.34986528286359</v>
      </c>
      <c r="P61">
        <f>'CN FD B'!P61-(('CN FD A'!P61*'CN FD C'!P62)/'CN FD alpha'!P62)</f>
        <v>-100.34986528286359</v>
      </c>
      <c r="Q61">
        <f>'CN FD B'!Q61-(('CN FD A'!Q61*'CN FD C'!Q62)/'CN FD alpha'!Q62)</f>
        <v>-100.34986528286359</v>
      </c>
      <c r="R61">
        <f>'CN FD B'!R61-(('CN FD A'!R61*'CN FD C'!R62)/'CN FD alpha'!R62)</f>
        <v>-100.34986528286359</v>
      </c>
      <c r="S61">
        <f>'CN FD B'!S61-(('CN FD A'!S61*'CN FD C'!S62)/'CN FD alpha'!S62)</f>
        <v>-100.34986528286359</v>
      </c>
      <c r="T61">
        <f>'CN FD B'!T61-(('CN FD A'!T61*'CN FD C'!T62)/'CN FD alpha'!T62)</f>
        <v>-100.34986528286359</v>
      </c>
      <c r="U61">
        <f>'CN FD B'!U61-(('CN FD A'!U61*'CN FD C'!U62)/'CN FD alpha'!U62)</f>
        <v>-100.34986528286359</v>
      </c>
      <c r="V61">
        <f>'CN FD B'!V61-(('CN FD A'!V61*'CN FD C'!V62)/'CN FD alpha'!V62)</f>
        <v>-100.34986528286359</v>
      </c>
      <c r="W61">
        <f>'CN FD B'!W61-(('CN FD A'!W61*'CN FD C'!W62)/'CN FD alpha'!W62)</f>
        <v>-100.34986528286359</v>
      </c>
      <c r="X61">
        <f>'CN FD B'!X61-(('CN FD A'!X61*'CN FD C'!X62)/'CN FD alpha'!X62)</f>
        <v>-100.34986528286359</v>
      </c>
      <c r="Y61">
        <f>'CN FD B'!Y61-(('CN FD A'!Y61*'CN FD C'!Y62)/'CN FD alpha'!Y62)</f>
        <v>-100.34986528286359</v>
      </c>
      <c r="Z61">
        <f>'CN FD B'!Z61-(('CN FD A'!Z61*'CN FD C'!Z62)/'CN FD alpha'!Z62)</f>
        <v>-100.34986528286359</v>
      </c>
      <c r="AA61">
        <f>'CN FD B'!AA61-(('CN FD A'!AA61*'CN FD C'!AA62)/'CN FD alpha'!AA62)</f>
        <v>-100.34986528286359</v>
      </c>
      <c r="AB61">
        <f>'CN FD B'!AB61-(('CN FD A'!AB61*'CN FD C'!AB62)/'CN FD alpha'!AB62)</f>
        <v>-100.34986528286359</v>
      </c>
      <c r="AC61">
        <f>'CN FD B'!AC61-(('CN FD A'!AC61*'CN FD C'!AC62)/'CN FD alpha'!AC62)</f>
        <v>-100.34986528286359</v>
      </c>
      <c r="AD61">
        <f>'CN FD B'!AD61-(('CN FD A'!AD61*'CN FD C'!AD62)/'CN FD alpha'!AD62)</f>
        <v>-100.34986528286359</v>
      </c>
      <c r="AE61">
        <f>'CN FD B'!AE61-(('CN FD A'!AE61*'CN FD C'!AE62)/'CN FD alpha'!AE62)</f>
        <v>-100.34986528286359</v>
      </c>
      <c r="AF61">
        <f>'CN FD B'!AF61-(('CN FD A'!AF61*'CN FD C'!AF62)/'CN FD alpha'!AF62)</f>
        <v>-100.34986528286359</v>
      </c>
      <c r="AG61">
        <f>'CN FD B'!AG61-(('CN FD A'!AG61*'CN FD C'!AG62)/'CN FD alpha'!AG62)</f>
        <v>-100.34986528286359</v>
      </c>
      <c r="AH61">
        <f>'CN FD B'!AH61-(('CN FD A'!AH61*'CN FD C'!AH62)/'CN FD alpha'!AH62)</f>
        <v>-100.34986528286359</v>
      </c>
      <c r="AI61">
        <f>'CN FD B'!AI61-(('CN FD A'!AI61*'CN FD C'!AI62)/'CN FD alpha'!AI62)</f>
        <v>-100.34986528286359</v>
      </c>
      <c r="AJ61">
        <f>'CN FD B'!AJ61-(('CN FD A'!AJ61*'CN FD C'!AJ62)/'CN FD alpha'!AJ62)</f>
        <v>-100.34986528286359</v>
      </c>
      <c r="AK61">
        <f>'CN FD B'!AK61-(('CN FD A'!AK61*'CN FD C'!AK62)/'CN FD alpha'!AK62)</f>
        <v>-100.34986528286359</v>
      </c>
      <c r="AL61">
        <f>'CN FD B'!AL61-(('CN FD A'!AL61*'CN FD C'!AL62)/'CN FD alpha'!AL62)</f>
        <v>-100.34986528286359</v>
      </c>
      <c r="AM61">
        <f>'CN FD B'!AM61-(('CN FD A'!AM61*'CN FD C'!AM62)/'CN FD alpha'!AM62)</f>
        <v>-100.34986528286359</v>
      </c>
      <c r="AN61">
        <f>'CN FD B'!AN61-(('CN FD A'!AN61*'CN FD C'!AN62)/'CN FD alpha'!AN62)</f>
        <v>-100.34986528286359</v>
      </c>
      <c r="AO61">
        <f>'CN FD B'!AO61-(('CN FD A'!AO61*'CN FD C'!AO62)/'CN FD alpha'!AO62)</f>
        <v>-100.34986528286359</v>
      </c>
      <c r="AP61">
        <f>'CN FD B'!AP61-(('CN FD A'!AP61*'CN FD C'!AP62)/'CN FD alpha'!AP62)</f>
        <v>-100.34986528286359</v>
      </c>
      <c r="AQ61">
        <f>'CN FD B'!AQ61-(('CN FD A'!AQ61*'CN FD C'!AQ62)/'CN FD alpha'!AQ62)</f>
        <v>-100.34986528286359</v>
      </c>
      <c r="AR61">
        <f>'CN FD B'!AR61-(('CN FD A'!AR61*'CN FD C'!AR62)/'CN FD alpha'!AR62)</f>
        <v>-100.34986528286359</v>
      </c>
      <c r="AS61">
        <f>'CN FD B'!AS61-(('CN FD A'!AS61*'CN FD C'!AS62)/'CN FD alpha'!AS62)</f>
        <v>-100.34986528286359</v>
      </c>
      <c r="AT61">
        <f>'CN FD B'!AT61-(('CN FD A'!AT61*'CN FD C'!AT62)/'CN FD alpha'!AT62)</f>
        <v>-100.34986528286359</v>
      </c>
      <c r="AU61">
        <f>'CN FD B'!AU61-(('CN FD A'!AU61*'CN FD C'!AU62)/'CN FD alpha'!AU62)</f>
        <v>-100.34986528286359</v>
      </c>
      <c r="AV61">
        <f>'CN FD B'!AV61-(('CN FD A'!AV61*'CN FD C'!AV62)/'CN FD alpha'!AV62)</f>
        <v>-100.34986528286359</v>
      </c>
      <c r="AW61">
        <f>'CN FD B'!AW61-(('CN FD A'!AW61*'CN FD C'!AW62)/'CN FD alpha'!AW62)</f>
        <v>-100.34986528286359</v>
      </c>
      <c r="AX61">
        <f>'CN FD B'!AX61-(('CN FD A'!AX61*'CN FD C'!AX62)/'CN FD alpha'!AX62)</f>
        <v>-100.34986528286359</v>
      </c>
      <c r="AY61">
        <f>'CN FD B'!AY61-(('CN FD A'!AY61*'CN FD C'!AY62)/'CN FD alpha'!AY62)</f>
        <v>-100.34986528286359</v>
      </c>
      <c r="AZ61">
        <f>'CN FD B'!AZ61-(('CN FD A'!AZ61*'CN FD C'!AZ62)/'CN FD alpha'!AZ62)</f>
        <v>-100.34986528286359</v>
      </c>
      <c r="BA61" s="6"/>
    </row>
    <row r="62" spans="1:53" x14ac:dyDescent="0.2">
      <c r="A62">
        <f t="shared" si="1"/>
        <v>3</v>
      </c>
      <c r="B62" s="3">
        <f t="shared" si="0"/>
        <v>6</v>
      </c>
      <c r="C62">
        <f>'CN FD B'!C62-(('CN FD A'!C62*'CN FD C'!C63)/'CN FD alpha'!C63)</f>
        <v>-100.20996853461114</v>
      </c>
      <c r="D62">
        <f>'CN FD B'!D62-(('CN FD A'!D62*'CN FD C'!D63)/'CN FD alpha'!D63)</f>
        <v>-100.20996853461114</v>
      </c>
      <c r="E62">
        <f>'CN FD B'!E62-(('CN FD A'!E62*'CN FD C'!E63)/'CN FD alpha'!E63)</f>
        <v>-100.20996853461114</v>
      </c>
      <c r="F62">
        <f>'CN FD B'!F62-(('CN FD A'!F62*'CN FD C'!F63)/'CN FD alpha'!F63)</f>
        <v>-100.20996853461114</v>
      </c>
      <c r="G62">
        <f>'CN FD B'!G62-(('CN FD A'!G62*'CN FD C'!G63)/'CN FD alpha'!G63)</f>
        <v>-100.20996853461114</v>
      </c>
      <c r="H62">
        <f>'CN FD B'!H62-(('CN FD A'!H62*'CN FD C'!H63)/'CN FD alpha'!H63)</f>
        <v>-100.20996853461114</v>
      </c>
      <c r="I62">
        <f>'CN FD B'!I62-(('CN FD A'!I62*'CN FD C'!I63)/'CN FD alpha'!I63)</f>
        <v>-100.20996853461114</v>
      </c>
      <c r="J62">
        <f>'CN FD B'!J62-(('CN FD A'!J62*'CN FD C'!J63)/'CN FD alpha'!J63)</f>
        <v>-100.20996853461114</v>
      </c>
      <c r="K62">
        <f>'CN FD B'!K62-(('CN FD A'!K62*'CN FD C'!K63)/'CN FD alpha'!K63)</f>
        <v>-100.20996853461114</v>
      </c>
      <c r="L62">
        <f>'CN FD B'!L62-(('CN FD A'!L62*'CN FD C'!L63)/'CN FD alpha'!L63)</f>
        <v>-100.20996853461114</v>
      </c>
      <c r="M62">
        <f>'CN FD B'!M62-(('CN FD A'!M62*'CN FD C'!M63)/'CN FD alpha'!M63)</f>
        <v>-100.20996853461114</v>
      </c>
      <c r="N62">
        <f>'CN FD B'!N62-(('CN FD A'!N62*'CN FD C'!N63)/'CN FD alpha'!N63)</f>
        <v>-100.20996853461114</v>
      </c>
      <c r="O62">
        <f>'CN FD B'!O62-(('CN FD A'!O62*'CN FD C'!O63)/'CN FD alpha'!O63)</f>
        <v>-100.20996853461114</v>
      </c>
      <c r="P62">
        <f>'CN FD B'!P62-(('CN FD A'!P62*'CN FD C'!P63)/'CN FD alpha'!P63)</f>
        <v>-100.20996853461114</v>
      </c>
      <c r="Q62">
        <f>'CN FD B'!Q62-(('CN FD A'!Q62*'CN FD C'!Q63)/'CN FD alpha'!Q63)</f>
        <v>-100.20996853461114</v>
      </c>
      <c r="R62">
        <f>'CN FD B'!R62-(('CN FD A'!R62*'CN FD C'!R63)/'CN FD alpha'!R63)</f>
        <v>-100.20996853461114</v>
      </c>
      <c r="S62">
        <f>'CN FD B'!S62-(('CN FD A'!S62*'CN FD C'!S63)/'CN FD alpha'!S63)</f>
        <v>-100.20996853461114</v>
      </c>
      <c r="T62">
        <f>'CN FD B'!T62-(('CN FD A'!T62*'CN FD C'!T63)/'CN FD alpha'!T63)</f>
        <v>-100.20996853461114</v>
      </c>
      <c r="U62">
        <f>'CN FD B'!U62-(('CN FD A'!U62*'CN FD C'!U63)/'CN FD alpha'!U63)</f>
        <v>-100.20996853461114</v>
      </c>
      <c r="V62">
        <f>'CN FD B'!V62-(('CN FD A'!V62*'CN FD C'!V63)/'CN FD alpha'!V63)</f>
        <v>-100.20996853461114</v>
      </c>
      <c r="W62">
        <f>'CN FD B'!W62-(('CN FD A'!W62*'CN FD C'!W63)/'CN FD alpha'!W63)</f>
        <v>-100.20996853461114</v>
      </c>
      <c r="X62">
        <f>'CN FD B'!X62-(('CN FD A'!X62*'CN FD C'!X63)/'CN FD alpha'!X63)</f>
        <v>-100.20996853461114</v>
      </c>
      <c r="Y62">
        <f>'CN FD B'!Y62-(('CN FD A'!Y62*'CN FD C'!Y63)/'CN FD alpha'!Y63)</f>
        <v>-100.20996853461114</v>
      </c>
      <c r="Z62">
        <f>'CN FD B'!Z62-(('CN FD A'!Z62*'CN FD C'!Z63)/'CN FD alpha'!Z63)</f>
        <v>-100.20996853461114</v>
      </c>
      <c r="AA62">
        <f>'CN FD B'!AA62-(('CN FD A'!AA62*'CN FD C'!AA63)/'CN FD alpha'!AA63)</f>
        <v>-100.20996853461114</v>
      </c>
      <c r="AB62">
        <f>'CN FD B'!AB62-(('CN FD A'!AB62*'CN FD C'!AB63)/'CN FD alpha'!AB63)</f>
        <v>-100.20996853461114</v>
      </c>
      <c r="AC62">
        <f>'CN FD B'!AC62-(('CN FD A'!AC62*'CN FD C'!AC63)/'CN FD alpha'!AC63)</f>
        <v>-100.20996853461114</v>
      </c>
      <c r="AD62">
        <f>'CN FD B'!AD62-(('CN FD A'!AD62*'CN FD C'!AD63)/'CN FD alpha'!AD63)</f>
        <v>-100.20996853461114</v>
      </c>
      <c r="AE62">
        <f>'CN FD B'!AE62-(('CN FD A'!AE62*'CN FD C'!AE63)/'CN FD alpha'!AE63)</f>
        <v>-100.20996853461114</v>
      </c>
      <c r="AF62">
        <f>'CN FD B'!AF62-(('CN FD A'!AF62*'CN FD C'!AF63)/'CN FD alpha'!AF63)</f>
        <v>-100.20996853461114</v>
      </c>
      <c r="AG62">
        <f>'CN FD B'!AG62-(('CN FD A'!AG62*'CN FD C'!AG63)/'CN FD alpha'!AG63)</f>
        <v>-100.20996853461114</v>
      </c>
      <c r="AH62">
        <f>'CN FD B'!AH62-(('CN FD A'!AH62*'CN FD C'!AH63)/'CN FD alpha'!AH63)</f>
        <v>-100.20996853461114</v>
      </c>
      <c r="AI62">
        <f>'CN FD B'!AI62-(('CN FD A'!AI62*'CN FD C'!AI63)/'CN FD alpha'!AI63)</f>
        <v>-100.20996853461114</v>
      </c>
      <c r="AJ62">
        <f>'CN FD B'!AJ62-(('CN FD A'!AJ62*'CN FD C'!AJ63)/'CN FD alpha'!AJ63)</f>
        <v>-100.20996853461114</v>
      </c>
      <c r="AK62">
        <f>'CN FD B'!AK62-(('CN FD A'!AK62*'CN FD C'!AK63)/'CN FD alpha'!AK63)</f>
        <v>-100.20996853461114</v>
      </c>
      <c r="AL62">
        <f>'CN FD B'!AL62-(('CN FD A'!AL62*'CN FD C'!AL63)/'CN FD alpha'!AL63)</f>
        <v>-100.20996853461114</v>
      </c>
      <c r="AM62">
        <f>'CN FD B'!AM62-(('CN FD A'!AM62*'CN FD C'!AM63)/'CN FD alpha'!AM63)</f>
        <v>-100.20996853461114</v>
      </c>
      <c r="AN62">
        <f>'CN FD B'!AN62-(('CN FD A'!AN62*'CN FD C'!AN63)/'CN FD alpha'!AN63)</f>
        <v>-100.20996853461114</v>
      </c>
      <c r="AO62">
        <f>'CN FD B'!AO62-(('CN FD A'!AO62*'CN FD C'!AO63)/'CN FD alpha'!AO63)</f>
        <v>-100.20996853461114</v>
      </c>
      <c r="AP62">
        <f>'CN FD B'!AP62-(('CN FD A'!AP62*'CN FD C'!AP63)/'CN FD alpha'!AP63)</f>
        <v>-100.20996853461114</v>
      </c>
      <c r="AQ62">
        <f>'CN FD B'!AQ62-(('CN FD A'!AQ62*'CN FD C'!AQ63)/'CN FD alpha'!AQ63)</f>
        <v>-100.20996853461114</v>
      </c>
      <c r="AR62">
        <f>'CN FD B'!AR62-(('CN FD A'!AR62*'CN FD C'!AR63)/'CN FD alpha'!AR63)</f>
        <v>-100.20996853461114</v>
      </c>
      <c r="AS62">
        <f>'CN FD B'!AS62-(('CN FD A'!AS62*'CN FD C'!AS63)/'CN FD alpha'!AS63)</f>
        <v>-100.20996853461114</v>
      </c>
      <c r="AT62">
        <f>'CN FD B'!AT62-(('CN FD A'!AT62*'CN FD C'!AT63)/'CN FD alpha'!AT63)</f>
        <v>-100.20996853461114</v>
      </c>
      <c r="AU62">
        <f>'CN FD B'!AU62-(('CN FD A'!AU62*'CN FD C'!AU63)/'CN FD alpha'!AU63)</f>
        <v>-100.20996853461114</v>
      </c>
      <c r="AV62">
        <f>'CN FD B'!AV62-(('CN FD A'!AV62*'CN FD C'!AV63)/'CN FD alpha'!AV63)</f>
        <v>-100.20996853461114</v>
      </c>
      <c r="AW62">
        <f>'CN FD B'!AW62-(('CN FD A'!AW62*'CN FD C'!AW63)/'CN FD alpha'!AW63)</f>
        <v>-100.20996853461114</v>
      </c>
      <c r="AX62">
        <f>'CN FD B'!AX62-(('CN FD A'!AX62*'CN FD C'!AX63)/'CN FD alpha'!AX63)</f>
        <v>-100.20996853461114</v>
      </c>
      <c r="AY62">
        <f>'CN FD B'!AY62-(('CN FD A'!AY62*'CN FD C'!AY63)/'CN FD alpha'!AY63)</f>
        <v>-100.20996853461114</v>
      </c>
      <c r="AZ62">
        <f>'CN FD B'!AZ62-(('CN FD A'!AZ62*'CN FD C'!AZ63)/'CN FD alpha'!AZ63)</f>
        <v>-100.20996853461114</v>
      </c>
      <c r="BA62" s="6"/>
    </row>
    <row r="63" spans="1:53" x14ac:dyDescent="0.2">
      <c r="A63">
        <f t="shared" si="1"/>
        <v>2</v>
      </c>
      <c r="B63" s="3">
        <f t="shared" si="0"/>
        <v>4</v>
      </c>
      <c r="C63">
        <f>'CN FD B'!C63-(('CN FD A'!C63*'CN FD C'!C64)/'CN FD alpha'!C64)</f>
        <v>-100.10999750124938</v>
      </c>
      <c r="D63">
        <f>'CN FD B'!D63-(('CN FD A'!D63*'CN FD C'!D64)/'CN FD alpha'!D64)</f>
        <v>-100.10999750124938</v>
      </c>
      <c r="E63">
        <f>'CN FD B'!E63-(('CN FD A'!E63*'CN FD C'!E64)/'CN FD alpha'!E64)</f>
        <v>-100.10999750124938</v>
      </c>
      <c r="F63">
        <f>'CN FD B'!F63-(('CN FD A'!F63*'CN FD C'!F64)/'CN FD alpha'!F64)</f>
        <v>-100.10999750124938</v>
      </c>
      <c r="G63">
        <f>'CN FD B'!G63-(('CN FD A'!G63*'CN FD C'!G64)/'CN FD alpha'!G64)</f>
        <v>-100.10999750124938</v>
      </c>
      <c r="H63">
        <f>'CN FD B'!H63-(('CN FD A'!H63*'CN FD C'!H64)/'CN FD alpha'!H64)</f>
        <v>-100.10999750124938</v>
      </c>
      <c r="I63">
        <f>'CN FD B'!I63-(('CN FD A'!I63*'CN FD C'!I64)/'CN FD alpha'!I64)</f>
        <v>-100.10999750124938</v>
      </c>
      <c r="J63">
        <f>'CN FD B'!J63-(('CN FD A'!J63*'CN FD C'!J64)/'CN FD alpha'!J64)</f>
        <v>-100.10999750124938</v>
      </c>
      <c r="K63">
        <f>'CN FD B'!K63-(('CN FD A'!K63*'CN FD C'!K64)/'CN FD alpha'!K64)</f>
        <v>-100.10999750124938</v>
      </c>
      <c r="L63">
        <f>'CN FD B'!L63-(('CN FD A'!L63*'CN FD C'!L64)/'CN FD alpha'!L64)</f>
        <v>-100.10999750124938</v>
      </c>
      <c r="M63">
        <f>'CN FD B'!M63-(('CN FD A'!M63*'CN FD C'!M64)/'CN FD alpha'!M64)</f>
        <v>-100.10999750124938</v>
      </c>
      <c r="N63">
        <f>'CN FD B'!N63-(('CN FD A'!N63*'CN FD C'!N64)/'CN FD alpha'!N64)</f>
        <v>-100.10999750124938</v>
      </c>
      <c r="O63">
        <f>'CN FD B'!O63-(('CN FD A'!O63*'CN FD C'!O64)/'CN FD alpha'!O64)</f>
        <v>-100.10999750124938</v>
      </c>
      <c r="P63">
        <f>'CN FD B'!P63-(('CN FD A'!P63*'CN FD C'!P64)/'CN FD alpha'!P64)</f>
        <v>-100.10999750124938</v>
      </c>
      <c r="Q63">
        <f>'CN FD B'!Q63-(('CN FD A'!Q63*'CN FD C'!Q64)/'CN FD alpha'!Q64)</f>
        <v>-100.10999750124938</v>
      </c>
      <c r="R63">
        <f>'CN FD B'!R63-(('CN FD A'!R63*'CN FD C'!R64)/'CN FD alpha'!R64)</f>
        <v>-100.10999750124938</v>
      </c>
      <c r="S63">
        <f>'CN FD B'!S63-(('CN FD A'!S63*'CN FD C'!S64)/'CN FD alpha'!S64)</f>
        <v>-100.10999750124938</v>
      </c>
      <c r="T63">
        <f>'CN FD B'!T63-(('CN FD A'!T63*'CN FD C'!T64)/'CN FD alpha'!T64)</f>
        <v>-100.10999750124938</v>
      </c>
      <c r="U63">
        <f>'CN FD B'!U63-(('CN FD A'!U63*'CN FD C'!U64)/'CN FD alpha'!U64)</f>
        <v>-100.10999750124938</v>
      </c>
      <c r="V63">
        <f>'CN FD B'!V63-(('CN FD A'!V63*'CN FD C'!V64)/'CN FD alpha'!V64)</f>
        <v>-100.10999750124938</v>
      </c>
      <c r="W63">
        <f>'CN FD B'!W63-(('CN FD A'!W63*'CN FD C'!W64)/'CN FD alpha'!W64)</f>
        <v>-100.10999750124938</v>
      </c>
      <c r="X63">
        <f>'CN FD B'!X63-(('CN FD A'!X63*'CN FD C'!X64)/'CN FD alpha'!X64)</f>
        <v>-100.10999750124938</v>
      </c>
      <c r="Y63">
        <f>'CN FD B'!Y63-(('CN FD A'!Y63*'CN FD C'!Y64)/'CN FD alpha'!Y64)</f>
        <v>-100.10999750124938</v>
      </c>
      <c r="Z63">
        <f>'CN FD B'!Z63-(('CN FD A'!Z63*'CN FD C'!Z64)/'CN FD alpha'!Z64)</f>
        <v>-100.10999750124938</v>
      </c>
      <c r="AA63">
        <f>'CN FD B'!AA63-(('CN FD A'!AA63*'CN FD C'!AA64)/'CN FD alpha'!AA64)</f>
        <v>-100.10999750124938</v>
      </c>
      <c r="AB63">
        <f>'CN FD B'!AB63-(('CN FD A'!AB63*'CN FD C'!AB64)/'CN FD alpha'!AB64)</f>
        <v>-100.10999750124938</v>
      </c>
      <c r="AC63">
        <f>'CN FD B'!AC63-(('CN FD A'!AC63*'CN FD C'!AC64)/'CN FD alpha'!AC64)</f>
        <v>-100.10999750124938</v>
      </c>
      <c r="AD63">
        <f>'CN FD B'!AD63-(('CN FD A'!AD63*'CN FD C'!AD64)/'CN FD alpha'!AD64)</f>
        <v>-100.10999750124938</v>
      </c>
      <c r="AE63">
        <f>'CN FD B'!AE63-(('CN FD A'!AE63*'CN FD C'!AE64)/'CN FD alpha'!AE64)</f>
        <v>-100.10999750124938</v>
      </c>
      <c r="AF63">
        <f>'CN FD B'!AF63-(('CN FD A'!AF63*'CN FD C'!AF64)/'CN FD alpha'!AF64)</f>
        <v>-100.10999750124938</v>
      </c>
      <c r="AG63">
        <f>'CN FD B'!AG63-(('CN FD A'!AG63*'CN FD C'!AG64)/'CN FD alpha'!AG64)</f>
        <v>-100.10999750124938</v>
      </c>
      <c r="AH63">
        <f>'CN FD B'!AH63-(('CN FD A'!AH63*'CN FD C'!AH64)/'CN FD alpha'!AH64)</f>
        <v>-100.10999750124938</v>
      </c>
      <c r="AI63">
        <f>'CN FD B'!AI63-(('CN FD A'!AI63*'CN FD C'!AI64)/'CN FD alpha'!AI64)</f>
        <v>-100.10999750124938</v>
      </c>
      <c r="AJ63">
        <f>'CN FD B'!AJ63-(('CN FD A'!AJ63*'CN FD C'!AJ64)/'CN FD alpha'!AJ64)</f>
        <v>-100.10999750124938</v>
      </c>
      <c r="AK63">
        <f>'CN FD B'!AK63-(('CN FD A'!AK63*'CN FD C'!AK64)/'CN FD alpha'!AK64)</f>
        <v>-100.10999750124938</v>
      </c>
      <c r="AL63">
        <f>'CN FD B'!AL63-(('CN FD A'!AL63*'CN FD C'!AL64)/'CN FD alpha'!AL64)</f>
        <v>-100.10999750124938</v>
      </c>
      <c r="AM63">
        <f>'CN FD B'!AM63-(('CN FD A'!AM63*'CN FD C'!AM64)/'CN FD alpha'!AM64)</f>
        <v>-100.10999750124938</v>
      </c>
      <c r="AN63">
        <f>'CN FD B'!AN63-(('CN FD A'!AN63*'CN FD C'!AN64)/'CN FD alpha'!AN64)</f>
        <v>-100.10999750124938</v>
      </c>
      <c r="AO63">
        <f>'CN FD B'!AO63-(('CN FD A'!AO63*'CN FD C'!AO64)/'CN FD alpha'!AO64)</f>
        <v>-100.10999750124938</v>
      </c>
      <c r="AP63">
        <f>'CN FD B'!AP63-(('CN FD A'!AP63*'CN FD C'!AP64)/'CN FD alpha'!AP64)</f>
        <v>-100.10999750124938</v>
      </c>
      <c r="AQ63">
        <f>'CN FD B'!AQ63-(('CN FD A'!AQ63*'CN FD C'!AQ64)/'CN FD alpha'!AQ64)</f>
        <v>-100.10999750124938</v>
      </c>
      <c r="AR63">
        <f>'CN FD B'!AR63-(('CN FD A'!AR63*'CN FD C'!AR64)/'CN FD alpha'!AR64)</f>
        <v>-100.10999750124938</v>
      </c>
      <c r="AS63">
        <f>'CN FD B'!AS63-(('CN FD A'!AS63*'CN FD C'!AS64)/'CN FD alpha'!AS64)</f>
        <v>-100.10999750124938</v>
      </c>
      <c r="AT63">
        <f>'CN FD B'!AT63-(('CN FD A'!AT63*'CN FD C'!AT64)/'CN FD alpha'!AT64)</f>
        <v>-100.10999750124938</v>
      </c>
      <c r="AU63">
        <f>'CN FD B'!AU63-(('CN FD A'!AU63*'CN FD C'!AU64)/'CN FD alpha'!AU64)</f>
        <v>-100.10999750124938</v>
      </c>
      <c r="AV63">
        <f>'CN FD B'!AV63-(('CN FD A'!AV63*'CN FD C'!AV64)/'CN FD alpha'!AV64)</f>
        <v>-100.10999750124938</v>
      </c>
      <c r="AW63">
        <f>'CN FD B'!AW63-(('CN FD A'!AW63*'CN FD C'!AW64)/'CN FD alpha'!AW64)</f>
        <v>-100.10999750124938</v>
      </c>
      <c r="AX63">
        <f>'CN FD B'!AX63-(('CN FD A'!AX63*'CN FD C'!AX64)/'CN FD alpha'!AX64)</f>
        <v>-100.10999750124938</v>
      </c>
      <c r="AY63">
        <f>'CN FD B'!AY63-(('CN FD A'!AY63*'CN FD C'!AY64)/'CN FD alpha'!AY64)</f>
        <v>-100.10999750124938</v>
      </c>
      <c r="AZ63">
        <f>'CN FD B'!AZ63-(('CN FD A'!AZ63*'CN FD C'!AZ64)/'CN FD alpha'!AZ64)</f>
        <v>-100.10999750124938</v>
      </c>
      <c r="BA63" s="6"/>
    </row>
    <row r="64" spans="1:53" x14ac:dyDescent="0.2">
      <c r="A64">
        <f t="shared" si="1"/>
        <v>1</v>
      </c>
      <c r="B64" s="3">
        <f t="shared" si="0"/>
        <v>2</v>
      </c>
      <c r="C64">
        <f>'CN FD B'!C64-(('CN FD A'!C64*'CN FD C'!C65)/'CN FD alpha'!C65)</f>
        <v>-100.05</v>
      </c>
      <c r="D64">
        <f>'CN FD B'!D64-(('CN FD A'!D64*'CN FD C'!D65)/'CN FD alpha'!D65)</f>
        <v>-100.05</v>
      </c>
      <c r="E64">
        <f>'CN FD B'!E64-(('CN FD A'!E64*'CN FD C'!E65)/'CN FD alpha'!E65)</f>
        <v>-100.05</v>
      </c>
      <c r="F64">
        <f>'CN FD B'!F64-(('CN FD A'!F64*'CN FD C'!F65)/'CN FD alpha'!F65)</f>
        <v>-100.05</v>
      </c>
      <c r="G64">
        <f>'CN FD B'!G64-(('CN FD A'!G64*'CN FD C'!G65)/'CN FD alpha'!G65)</f>
        <v>-100.05</v>
      </c>
      <c r="H64">
        <f>'CN FD B'!H64-(('CN FD A'!H64*'CN FD C'!H65)/'CN FD alpha'!H65)</f>
        <v>-100.05</v>
      </c>
      <c r="I64">
        <f>'CN FD B'!I64-(('CN FD A'!I64*'CN FD C'!I65)/'CN FD alpha'!I65)</f>
        <v>-100.05</v>
      </c>
      <c r="J64">
        <f>'CN FD B'!J64-(('CN FD A'!J64*'CN FD C'!J65)/'CN FD alpha'!J65)</f>
        <v>-100.05</v>
      </c>
      <c r="K64">
        <f>'CN FD B'!K64-(('CN FD A'!K64*'CN FD C'!K65)/'CN FD alpha'!K65)</f>
        <v>-100.05</v>
      </c>
      <c r="L64">
        <f>'CN FD B'!L64-(('CN FD A'!L64*'CN FD C'!L65)/'CN FD alpha'!L65)</f>
        <v>-100.05</v>
      </c>
      <c r="M64">
        <f>'CN FD B'!M64-(('CN FD A'!M64*'CN FD C'!M65)/'CN FD alpha'!M65)</f>
        <v>-100.05</v>
      </c>
      <c r="N64">
        <f>'CN FD B'!N64-(('CN FD A'!N64*'CN FD C'!N65)/'CN FD alpha'!N65)</f>
        <v>-100.05</v>
      </c>
      <c r="O64">
        <f>'CN FD B'!O64-(('CN FD A'!O64*'CN FD C'!O65)/'CN FD alpha'!O65)</f>
        <v>-100.05</v>
      </c>
      <c r="P64">
        <f>'CN FD B'!P64-(('CN FD A'!P64*'CN FD C'!P65)/'CN FD alpha'!P65)</f>
        <v>-100.05</v>
      </c>
      <c r="Q64">
        <f>'CN FD B'!Q64-(('CN FD A'!Q64*'CN FD C'!Q65)/'CN FD alpha'!Q65)</f>
        <v>-100.05</v>
      </c>
      <c r="R64">
        <f>'CN FD B'!R64-(('CN FD A'!R64*'CN FD C'!R65)/'CN FD alpha'!R65)</f>
        <v>-100.05</v>
      </c>
      <c r="S64">
        <f>'CN FD B'!S64-(('CN FD A'!S64*'CN FD C'!S65)/'CN FD alpha'!S65)</f>
        <v>-100.05</v>
      </c>
      <c r="T64">
        <f>'CN FD B'!T64-(('CN FD A'!T64*'CN FD C'!T65)/'CN FD alpha'!T65)</f>
        <v>-100.05</v>
      </c>
      <c r="U64">
        <f>'CN FD B'!U64-(('CN FD A'!U64*'CN FD C'!U65)/'CN FD alpha'!U65)</f>
        <v>-100.05</v>
      </c>
      <c r="V64">
        <f>'CN FD B'!V64-(('CN FD A'!V64*'CN FD C'!V65)/'CN FD alpha'!V65)</f>
        <v>-100.05</v>
      </c>
      <c r="W64">
        <f>'CN FD B'!W64-(('CN FD A'!W64*'CN FD C'!W65)/'CN FD alpha'!W65)</f>
        <v>-100.05</v>
      </c>
      <c r="X64">
        <f>'CN FD B'!X64-(('CN FD A'!X64*'CN FD C'!X65)/'CN FD alpha'!X65)</f>
        <v>-100.05</v>
      </c>
      <c r="Y64">
        <f>'CN FD B'!Y64-(('CN FD A'!Y64*'CN FD C'!Y65)/'CN FD alpha'!Y65)</f>
        <v>-100.05</v>
      </c>
      <c r="Z64">
        <f>'CN FD B'!Z64-(('CN FD A'!Z64*'CN FD C'!Z65)/'CN FD alpha'!Z65)</f>
        <v>-100.05</v>
      </c>
      <c r="AA64">
        <f>'CN FD B'!AA64-(('CN FD A'!AA64*'CN FD C'!AA65)/'CN FD alpha'!AA65)</f>
        <v>-100.05</v>
      </c>
      <c r="AB64">
        <f>'CN FD B'!AB64-(('CN FD A'!AB64*'CN FD C'!AB65)/'CN FD alpha'!AB65)</f>
        <v>-100.05</v>
      </c>
      <c r="AC64">
        <f>'CN FD B'!AC64-(('CN FD A'!AC64*'CN FD C'!AC65)/'CN FD alpha'!AC65)</f>
        <v>-100.05</v>
      </c>
      <c r="AD64">
        <f>'CN FD B'!AD64-(('CN FD A'!AD64*'CN FD C'!AD65)/'CN FD alpha'!AD65)</f>
        <v>-100.05</v>
      </c>
      <c r="AE64">
        <f>'CN FD B'!AE64-(('CN FD A'!AE64*'CN FD C'!AE65)/'CN FD alpha'!AE65)</f>
        <v>-100.05</v>
      </c>
      <c r="AF64">
        <f>'CN FD B'!AF64-(('CN FD A'!AF64*'CN FD C'!AF65)/'CN FD alpha'!AF65)</f>
        <v>-100.05</v>
      </c>
      <c r="AG64">
        <f>'CN FD B'!AG64-(('CN FD A'!AG64*'CN FD C'!AG65)/'CN FD alpha'!AG65)</f>
        <v>-100.05</v>
      </c>
      <c r="AH64">
        <f>'CN FD B'!AH64-(('CN FD A'!AH64*'CN FD C'!AH65)/'CN FD alpha'!AH65)</f>
        <v>-100.05</v>
      </c>
      <c r="AI64">
        <f>'CN FD B'!AI64-(('CN FD A'!AI64*'CN FD C'!AI65)/'CN FD alpha'!AI65)</f>
        <v>-100.05</v>
      </c>
      <c r="AJ64">
        <f>'CN FD B'!AJ64-(('CN FD A'!AJ64*'CN FD C'!AJ65)/'CN FD alpha'!AJ65)</f>
        <v>-100.05</v>
      </c>
      <c r="AK64">
        <f>'CN FD B'!AK64-(('CN FD A'!AK64*'CN FD C'!AK65)/'CN FD alpha'!AK65)</f>
        <v>-100.05</v>
      </c>
      <c r="AL64">
        <f>'CN FD B'!AL64-(('CN FD A'!AL64*'CN FD C'!AL65)/'CN FD alpha'!AL65)</f>
        <v>-100.05</v>
      </c>
      <c r="AM64">
        <f>'CN FD B'!AM64-(('CN FD A'!AM64*'CN FD C'!AM65)/'CN FD alpha'!AM65)</f>
        <v>-100.05</v>
      </c>
      <c r="AN64">
        <f>'CN FD B'!AN64-(('CN FD A'!AN64*'CN FD C'!AN65)/'CN FD alpha'!AN65)</f>
        <v>-100.05</v>
      </c>
      <c r="AO64">
        <f>'CN FD B'!AO64-(('CN FD A'!AO64*'CN FD C'!AO65)/'CN FD alpha'!AO65)</f>
        <v>-100.05</v>
      </c>
      <c r="AP64">
        <f>'CN FD B'!AP64-(('CN FD A'!AP64*'CN FD C'!AP65)/'CN FD alpha'!AP65)</f>
        <v>-100.05</v>
      </c>
      <c r="AQ64">
        <f>'CN FD B'!AQ64-(('CN FD A'!AQ64*'CN FD C'!AQ65)/'CN FD alpha'!AQ65)</f>
        <v>-100.05</v>
      </c>
      <c r="AR64">
        <f>'CN FD B'!AR64-(('CN FD A'!AR64*'CN FD C'!AR65)/'CN FD alpha'!AR65)</f>
        <v>-100.05</v>
      </c>
      <c r="AS64">
        <f>'CN FD B'!AS64-(('CN FD A'!AS64*'CN FD C'!AS65)/'CN FD alpha'!AS65)</f>
        <v>-100.05</v>
      </c>
      <c r="AT64">
        <f>'CN FD B'!AT64-(('CN FD A'!AT64*'CN FD C'!AT65)/'CN FD alpha'!AT65)</f>
        <v>-100.05</v>
      </c>
      <c r="AU64">
        <f>'CN FD B'!AU64-(('CN FD A'!AU64*'CN FD C'!AU65)/'CN FD alpha'!AU65)</f>
        <v>-100.05</v>
      </c>
      <c r="AV64">
        <f>'CN FD B'!AV64-(('CN FD A'!AV64*'CN FD C'!AV65)/'CN FD alpha'!AV65)</f>
        <v>-100.05</v>
      </c>
      <c r="AW64">
        <f>'CN FD B'!AW64-(('CN FD A'!AW64*'CN FD C'!AW65)/'CN FD alpha'!AW65)</f>
        <v>-100.05</v>
      </c>
      <c r="AX64">
        <f>'CN FD B'!AX64-(('CN FD A'!AX64*'CN FD C'!AX65)/'CN FD alpha'!AX65)</f>
        <v>-100.05</v>
      </c>
      <c r="AY64">
        <f>'CN FD B'!AY64-(('CN FD A'!AY64*'CN FD C'!AY65)/'CN FD alpha'!AY65)</f>
        <v>-100.05</v>
      </c>
      <c r="AZ64">
        <f>'CN FD B'!AZ64-(('CN FD A'!AZ64*'CN FD C'!AZ65)/'CN FD alpha'!AZ65)</f>
        <v>-100.05</v>
      </c>
      <c r="BA64" s="6"/>
    </row>
    <row r="65" spans="1:53" x14ac:dyDescent="0.2">
      <c r="A65">
        <f t="shared" si="1"/>
        <v>0</v>
      </c>
      <c r="B65" s="3">
        <f t="shared" si="0"/>
        <v>0</v>
      </c>
      <c r="C65" s="6">
        <f>'CN FD B'!C65</f>
        <v>1</v>
      </c>
      <c r="D65" s="6">
        <f>'CN FD B'!D65</f>
        <v>1</v>
      </c>
      <c r="E65" s="6">
        <f>'CN FD B'!E65</f>
        <v>1</v>
      </c>
      <c r="F65" s="6">
        <f>'CN FD B'!F65</f>
        <v>1</v>
      </c>
      <c r="G65" s="6">
        <f>'CN FD B'!G65</f>
        <v>1</v>
      </c>
      <c r="H65" s="6">
        <f>'CN FD B'!H65</f>
        <v>1</v>
      </c>
      <c r="I65" s="6">
        <f>'CN FD B'!I65</f>
        <v>1</v>
      </c>
      <c r="J65" s="6">
        <f>'CN FD B'!J65</f>
        <v>1</v>
      </c>
      <c r="K65" s="6">
        <f>'CN FD B'!K65</f>
        <v>1</v>
      </c>
      <c r="L65" s="6">
        <f>'CN FD B'!L65</f>
        <v>1</v>
      </c>
      <c r="M65" s="6">
        <f>'CN FD B'!M65</f>
        <v>1</v>
      </c>
      <c r="N65" s="6">
        <f>'CN FD B'!N65</f>
        <v>1</v>
      </c>
      <c r="O65" s="6">
        <f>'CN FD B'!O65</f>
        <v>1</v>
      </c>
      <c r="P65" s="6">
        <f>'CN FD B'!P65</f>
        <v>1</v>
      </c>
      <c r="Q65" s="6">
        <f>'CN FD B'!Q65</f>
        <v>1</v>
      </c>
      <c r="R65" s="6">
        <f>'CN FD B'!R65</f>
        <v>1</v>
      </c>
      <c r="S65" s="6">
        <f>'CN FD B'!S65</f>
        <v>1</v>
      </c>
      <c r="T65" s="6">
        <f>'CN FD B'!T65</f>
        <v>1</v>
      </c>
      <c r="U65" s="6">
        <f>'CN FD B'!U65</f>
        <v>1</v>
      </c>
      <c r="V65" s="6">
        <f>'CN FD B'!V65</f>
        <v>1</v>
      </c>
      <c r="W65" s="6">
        <f>'CN FD B'!W65</f>
        <v>1</v>
      </c>
      <c r="X65" s="6">
        <f>'CN FD B'!X65</f>
        <v>1</v>
      </c>
      <c r="Y65" s="6">
        <f>'CN FD B'!Y65</f>
        <v>1</v>
      </c>
      <c r="Z65" s="6">
        <f>'CN FD B'!Z65</f>
        <v>1</v>
      </c>
      <c r="AA65" s="6">
        <f>'CN FD B'!AA65</f>
        <v>1</v>
      </c>
      <c r="AB65" s="6">
        <f>'CN FD B'!AB65</f>
        <v>1</v>
      </c>
      <c r="AC65" s="6">
        <f>'CN FD B'!AC65</f>
        <v>1</v>
      </c>
      <c r="AD65" s="6">
        <f>'CN FD B'!AD65</f>
        <v>1</v>
      </c>
      <c r="AE65" s="6">
        <f>'CN FD B'!AE65</f>
        <v>1</v>
      </c>
      <c r="AF65" s="6">
        <f>'CN FD B'!AF65</f>
        <v>1</v>
      </c>
      <c r="AG65" s="6">
        <f>'CN FD B'!AG65</f>
        <v>1</v>
      </c>
      <c r="AH65" s="6">
        <f>'CN FD B'!AH65</f>
        <v>1</v>
      </c>
      <c r="AI65" s="6">
        <f>'CN FD B'!AI65</f>
        <v>1</v>
      </c>
      <c r="AJ65" s="6">
        <f>'CN FD B'!AJ65</f>
        <v>1</v>
      </c>
      <c r="AK65" s="6">
        <f>'CN FD B'!AK65</f>
        <v>1</v>
      </c>
      <c r="AL65" s="6">
        <f>'CN FD B'!AL65</f>
        <v>1</v>
      </c>
      <c r="AM65" s="6">
        <f>'CN FD B'!AM65</f>
        <v>1</v>
      </c>
      <c r="AN65" s="6">
        <f>'CN FD B'!AN65</f>
        <v>1</v>
      </c>
      <c r="AO65" s="6">
        <f>'CN FD B'!AO65</f>
        <v>1</v>
      </c>
      <c r="AP65" s="6">
        <f>'CN FD B'!AP65</f>
        <v>1</v>
      </c>
      <c r="AQ65" s="6">
        <f>'CN FD B'!AQ65</f>
        <v>1</v>
      </c>
      <c r="AR65" s="6">
        <f>'CN FD B'!AR65</f>
        <v>1</v>
      </c>
      <c r="AS65" s="6">
        <f>'CN FD B'!AS65</f>
        <v>1</v>
      </c>
      <c r="AT65" s="6">
        <f>'CN FD B'!AT65</f>
        <v>1</v>
      </c>
      <c r="AU65" s="6">
        <f>'CN FD B'!AU65</f>
        <v>1</v>
      </c>
      <c r="AV65" s="6">
        <f>'CN FD B'!AV65</f>
        <v>1</v>
      </c>
      <c r="AW65" s="6">
        <f>'CN FD B'!AW65</f>
        <v>1</v>
      </c>
      <c r="AX65" s="6">
        <f>'CN FD B'!AX65</f>
        <v>1</v>
      </c>
      <c r="AY65" s="6">
        <f>'CN FD B'!AY65</f>
        <v>1</v>
      </c>
      <c r="AZ65" s="6">
        <f>'CN FD B'!AZ65</f>
        <v>1</v>
      </c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BA66" si="2">D67*dt</f>
        <v>0.01</v>
      </c>
      <c r="E66" s="5">
        <f t="shared" si="2"/>
        <v>0.02</v>
      </c>
      <c r="F66" s="5">
        <f t="shared" si="2"/>
        <v>0.03</v>
      </c>
      <c r="G66" s="5">
        <f t="shared" si="2"/>
        <v>0.04</v>
      </c>
      <c r="H66" s="5">
        <f t="shared" si="2"/>
        <v>0.05</v>
      </c>
      <c r="I66" s="5">
        <f t="shared" si="2"/>
        <v>0.06</v>
      </c>
      <c r="J66" s="5">
        <f t="shared" si="2"/>
        <v>7.0000000000000007E-2</v>
      </c>
      <c r="K66" s="5">
        <f t="shared" si="2"/>
        <v>0.08</v>
      </c>
      <c r="L66" s="5">
        <f t="shared" si="2"/>
        <v>0.09</v>
      </c>
      <c r="M66" s="5">
        <f t="shared" si="2"/>
        <v>0.1</v>
      </c>
      <c r="N66" s="5">
        <f t="shared" si="2"/>
        <v>0.11</v>
      </c>
      <c r="O66" s="5">
        <f t="shared" si="2"/>
        <v>0.12</v>
      </c>
      <c r="P66" s="5">
        <f t="shared" si="2"/>
        <v>0.13</v>
      </c>
      <c r="Q66" s="5">
        <f t="shared" si="2"/>
        <v>0.14000000000000001</v>
      </c>
      <c r="R66" s="5">
        <f t="shared" si="2"/>
        <v>0.15</v>
      </c>
      <c r="S66" s="5">
        <f t="shared" si="2"/>
        <v>0.16</v>
      </c>
      <c r="T66" s="5">
        <f t="shared" si="2"/>
        <v>0.17</v>
      </c>
      <c r="U66" s="5">
        <f t="shared" si="2"/>
        <v>0.18</v>
      </c>
      <c r="V66" s="5">
        <f t="shared" si="2"/>
        <v>0.19</v>
      </c>
      <c r="W66" s="5">
        <f t="shared" si="2"/>
        <v>0.2</v>
      </c>
      <c r="X66" s="5">
        <f t="shared" si="2"/>
        <v>0.21</v>
      </c>
      <c r="Y66" s="5">
        <f t="shared" si="2"/>
        <v>0.22</v>
      </c>
      <c r="Z66" s="5">
        <f t="shared" si="2"/>
        <v>0.23</v>
      </c>
      <c r="AA66" s="5">
        <f t="shared" si="2"/>
        <v>0.24</v>
      </c>
      <c r="AB66" s="5">
        <f t="shared" si="2"/>
        <v>0.25</v>
      </c>
      <c r="AC66" s="5">
        <f t="shared" si="2"/>
        <v>0.26</v>
      </c>
      <c r="AD66" s="5">
        <f t="shared" si="2"/>
        <v>0.27</v>
      </c>
      <c r="AE66" s="5">
        <f t="shared" si="2"/>
        <v>0.28000000000000003</v>
      </c>
      <c r="AF66" s="5">
        <f t="shared" si="2"/>
        <v>0.28999999999999998</v>
      </c>
      <c r="AG66" s="5">
        <f t="shared" si="2"/>
        <v>0.3</v>
      </c>
      <c r="AH66" s="5">
        <f t="shared" si="2"/>
        <v>0.31</v>
      </c>
      <c r="AI66" s="5">
        <f t="shared" si="2"/>
        <v>0.32</v>
      </c>
      <c r="AJ66" s="5">
        <f t="shared" si="2"/>
        <v>0.33</v>
      </c>
      <c r="AK66" s="5">
        <f t="shared" si="2"/>
        <v>0.34</v>
      </c>
      <c r="AL66" s="5">
        <f t="shared" si="2"/>
        <v>0.35000000000000003</v>
      </c>
      <c r="AM66" s="5">
        <f t="shared" si="2"/>
        <v>0.36</v>
      </c>
      <c r="AN66" s="5">
        <f t="shared" si="2"/>
        <v>0.37</v>
      </c>
      <c r="AO66" s="5">
        <f t="shared" si="2"/>
        <v>0.38</v>
      </c>
      <c r="AP66" s="5">
        <f t="shared" si="2"/>
        <v>0.39</v>
      </c>
      <c r="AQ66" s="5">
        <f t="shared" si="2"/>
        <v>0.4</v>
      </c>
      <c r="AR66" s="5">
        <f t="shared" si="2"/>
        <v>0.41000000000000003</v>
      </c>
      <c r="AS66" s="5">
        <f t="shared" si="2"/>
        <v>0.42</v>
      </c>
      <c r="AT66" s="5">
        <f t="shared" si="2"/>
        <v>0.43</v>
      </c>
      <c r="AU66" s="5">
        <f t="shared" si="2"/>
        <v>0.44</v>
      </c>
      <c r="AV66" s="5">
        <f t="shared" si="2"/>
        <v>0.45</v>
      </c>
      <c r="AW66" s="5">
        <f t="shared" si="2"/>
        <v>0.46</v>
      </c>
      <c r="AX66" s="5">
        <f t="shared" si="2"/>
        <v>0.47000000000000003</v>
      </c>
      <c r="AY66" s="5">
        <f t="shared" si="2"/>
        <v>0.48</v>
      </c>
      <c r="AZ66" s="5">
        <f t="shared" si="2"/>
        <v>0.49</v>
      </c>
      <c r="BA66" s="5">
        <f t="shared" si="2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">F67+1</f>
        <v>4</v>
      </c>
      <c r="H67" s="2">
        <f t="shared" si="3"/>
        <v>5</v>
      </c>
      <c r="I67" s="2">
        <f t="shared" si="3"/>
        <v>6</v>
      </c>
      <c r="J67" s="2">
        <f t="shared" si="3"/>
        <v>7</v>
      </c>
      <c r="K67" s="2">
        <f t="shared" si="3"/>
        <v>8</v>
      </c>
      <c r="L67" s="2">
        <f t="shared" si="3"/>
        <v>9</v>
      </c>
      <c r="M67" s="2">
        <f t="shared" si="3"/>
        <v>10</v>
      </c>
      <c r="N67" s="2">
        <f t="shared" si="3"/>
        <v>11</v>
      </c>
      <c r="O67" s="2">
        <f t="shared" si="3"/>
        <v>12</v>
      </c>
      <c r="P67" s="2">
        <f t="shared" si="3"/>
        <v>13</v>
      </c>
      <c r="Q67" s="2">
        <f t="shared" si="3"/>
        <v>14</v>
      </c>
      <c r="R67" s="2">
        <f t="shared" si="3"/>
        <v>15</v>
      </c>
      <c r="S67" s="2">
        <f t="shared" si="3"/>
        <v>16</v>
      </c>
      <c r="T67" s="2">
        <f t="shared" si="3"/>
        <v>17</v>
      </c>
      <c r="U67" s="2">
        <f t="shared" si="3"/>
        <v>18</v>
      </c>
      <c r="V67" s="2">
        <f t="shared" si="3"/>
        <v>19</v>
      </c>
      <c r="W67" s="2">
        <f t="shared" si="3"/>
        <v>20</v>
      </c>
      <c r="X67" s="2">
        <f t="shared" si="3"/>
        <v>21</v>
      </c>
      <c r="Y67" s="2">
        <f t="shared" si="3"/>
        <v>22</v>
      </c>
      <c r="Z67" s="2">
        <f t="shared" si="3"/>
        <v>23</v>
      </c>
      <c r="AA67" s="2">
        <f t="shared" si="3"/>
        <v>24</v>
      </c>
      <c r="AB67" s="2">
        <f t="shared" si="3"/>
        <v>25</v>
      </c>
      <c r="AC67" s="2">
        <f t="shared" si="3"/>
        <v>26</v>
      </c>
      <c r="AD67" s="2">
        <f t="shared" si="3"/>
        <v>27</v>
      </c>
      <c r="AE67" s="2">
        <f t="shared" si="3"/>
        <v>28</v>
      </c>
      <c r="AF67" s="2">
        <f t="shared" si="3"/>
        <v>29</v>
      </c>
      <c r="AG67" s="2">
        <f t="shared" si="3"/>
        <v>30</v>
      </c>
      <c r="AH67" s="2">
        <f t="shared" si="3"/>
        <v>31</v>
      </c>
      <c r="AI67" s="2">
        <f t="shared" si="3"/>
        <v>32</v>
      </c>
      <c r="AJ67" s="2">
        <f t="shared" si="3"/>
        <v>33</v>
      </c>
      <c r="AK67" s="2">
        <f t="shared" si="3"/>
        <v>34</v>
      </c>
      <c r="AL67" s="2">
        <f t="shared" si="3"/>
        <v>35</v>
      </c>
      <c r="AM67" s="2">
        <f t="shared" si="3"/>
        <v>36</v>
      </c>
      <c r="AN67" s="2">
        <f t="shared" si="3"/>
        <v>37</v>
      </c>
      <c r="AO67" s="2">
        <f t="shared" si="3"/>
        <v>38</v>
      </c>
      <c r="AP67" s="2">
        <f t="shared" si="3"/>
        <v>39</v>
      </c>
      <c r="AQ67" s="2">
        <f t="shared" si="3"/>
        <v>40</v>
      </c>
      <c r="AR67" s="2">
        <f t="shared" si="3"/>
        <v>41</v>
      </c>
      <c r="AS67" s="2">
        <f t="shared" si="3"/>
        <v>42</v>
      </c>
      <c r="AT67" s="2">
        <f t="shared" si="3"/>
        <v>43</v>
      </c>
      <c r="AU67" s="2">
        <f t="shared" si="3"/>
        <v>44</v>
      </c>
      <c r="AV67" s="2">
        <f t="shared" si="3"/>
        <v>45</v>
      </c>
      <c r="AW67" s="2">
        <f t="shared" si="3"/>
        <v>46</v>
      </c>
      <c r="AX67" s="2">
        <f t="shared" si="3"/>
        <v>47</v>
      </c>
      <c r="AY67" s="2">
        <f t="shared" si="3"/>
        <v>48</v>
      </c>
      <c r="AZ67" s="2">
        <f t="shared" si="3"/>
        <v>49</v>
      </c>
      <c r="BA67" s="2">
        <f t="shared" si="3"/>
        <v>50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4:BA67"/>
  <sheetViews>
    <sheetView topLeftCell="AB31" workbookViewId="0">
      <selection activeCell="AZ61" sqref="AZ61"/>
    </sheetView>
  </sheetViews>
  <sheetFormatPr defaultColWidth="8.85546875" defaultRowHeight="12.75" x14ac:dyDescent="0.2"/>
  <sheetData>
    <row r="14" spans="1:53" x14ac:dyDescent="0.2">
      <c r="A14" t="s">
        <v>12</v>
      </c>
      <c r="B14" t="s">
        <v>11</v>
      </c>
    </row>
    <row r="15" spans="1:53" x14ac:dyDescent="0.2">
      <c r="A15">
        <v>50</v>
      </c>
      <c r="B15" s="3">
        <f t="shared" ref="B15:B65" si="0">Smin+dS*A15</f>
        <v>100</v>
      </c>
      <c r="C15" s="26">
        <f>'CN FD D'!C15-('CN FD A'!C15*'CN FD S'!C16/'CN FD alpha'!C16)</f>
        <v>61.182178658059676</v>
      </c>
      <c r="D15" s="26">
        <f>'CN FD D'!D15-('CN FD A'!D15*'CN FD S'!D16/'CN FD alpha'!D16)</f>
        <v>61.158880976649016</v>
      </c>
      <c r="E15" s="26">
        <f>'CN FD D'!E15-('CN FD A'!E15*'CN FD S'!E16/'CN FD alpha'!E16)</f>
        <v>61.135569312435088</v>
      </c>
      <c r="F15" s="26">
        <f>'CN FD D'!F15-('CN FD A'!F15*'CN FD S'!F16/'CN FD alpha'!F16)</f>
        <v>61.112243657025701</v>
      </c>
      <c r="G15" s="26">
        <f>'CN FD D'!G15-('CN FD A'!G15*'CN FD S'!G16/'CN FD alpha'!G16)</f>
        <v>61.088904002023604</v>
      </c>
      <c r="H15" s="26">
        <f>'CN FD D'!H15-('CN FD A'!H15*'CN FD S'!H16/'CN FD alpha'!H16)</f>
        <v>61.06555033902653</v>
      </c>
      <c r="I15" s="26">
        <f>'CN FD D'!I15-('CN FD A'!I15*'CN FD S'!I16/'CN FD alpha'!I16)</f>
        <v>61.042182659627152</v>
      </c>
      <c r="J15" s="26">
        <f>'CN FD D'!J15-('CN FD A'!J15*'CN FD S'!J16/'CN FD alpha'!J16)</f>
        <v>61.01880095541312</v>
      </c>
      <c r="K15" s="26">
        <f>'CN FD D'!K15-('CN FD A'!K15*'CN FD S'!K16/'CN FD alpha'!K16)</f>
        <v>60.995405217967004</v>
      </c>
      <c r="L15" s="26">
        <f>'CN FD D'!L15-('CN FD A'!L15*'CN FD S'!L16/'CN FD alpha'!L16)</f>
        <v>60.971995438866344</v>
      </c>
      <c r="M15" s="26">
        <f>'CN FD D'!M15-('CN FD A'!M15*'CN FD S'!M16/'CN FD alpha'!M16)</f>
        <v>60.948571609683626</v>
      </c>
      <c r="N15" s="26">
        <f>'CN FD D'!N15-('CN FD A'!N15*'CN FD S'!N16/'CN FD alpha'!N16)</f>
        <v>60.925133721986263</v>
      </c>
      <c r="O15" s="26">
        <f>'CN FD D'!O15-('CN FD A'!O15*'CN FD S'!O16/'CN FD alpha'!O16)</f>
        <v>60.901681767336619</v>
      </c>
      <c r="P15" s="26">
        <f>'CN FD D'!P15-('CN FD A'!P15*'CN FD S'!P16/'CN FD alpha'!P16)</f>
        <v>60.878215737291995</v>
      </c>
      <c r="Q15" s="26">
        <f>'CN FD D'!Q15-('CN FD A'!Q15*'CN FD S'!Q16/'CN FD alpha'!Q16)</f>
        <v>60.854735623404601</v>
      </c>
      <c r="R15" s="26">
        <f>'CN FD D'!R15-('CN FD A'!R15*'CN FD S'!R16/'CN FD alpha'!R16)</f>
        <v>60.831241417221619</v>
      </c>
      <c r="S15" s="26">
        <f>'CN FD D'!S15-('CN FD A'!S15*'CN FD S'!S16/'CN FD alpha'!S16)</f>
        <v>60.807733110285113</v>
      </c>
      <c r="T15" s="26">
        <f>'CN FD D'!T15-('CN FD A'!T15*'CN FD S'!T16/'CN FD alpha'!T16)</f>
        <v>60.784210694132113</v>
      </c>
      <c r="U15" s="26">
        <f>'CN FD D'!U15-('CN FD A'!U15*'CN FD S'!U16/'CN FD alpha'!U16)</f>
        <v>60.760674160294542</v>
      </c>
      <c r="V15" s="26">
        <f>'CN FD D'!V15-('CN FD A'!V15*'CN FD S'!V16/'CN FD alpha'!V16)</f>
        <v>60.737123500299234</v>
      </c>
      <c r="W15" s="26">
        <f>'CN FD D'!W15-('CN FD A'!W15*'CN FD S'!W16/'CN FD alpha'!W16)</f>
        <v>60.713558705667971</v>
      </c>
      <c r="X15" s="26">
        <f>'CN FD D'!X15-('CN FD A'!X15*'CN FD S'!X16/'CN FD alpha'!X16)</f>
        <v>60.689979767917414</v>
      </c>
      <c r="Y15" s="26">
        <f>'CN FD D'!Y15-('CN FD A'!Y15*'CN FD S'!Y16/'CN FD alpha'!Y16)</f>
        <v>60.666386678559149</v>
      </c>
      <c r="Z15" s="26">
        <f>'CN FD D'!Z15-('CN FD A'!Z15*'CN FD S'!Z16/'CN FD alpha'!Z16)</f>
        <v>60.642779429099669</v>
      </c>
      <c r="AA15" s="26">
        <f>'CN FD D'!AA15-('CN FD A'!AA15*'CN FD S'!AA16/'CN FD alpha'!AA16)</f>
        <v>60.619158011040348</v>
      </c>
      <c r="AB15" s="26">
        <f>'CN FD D'!AB15-('CN FD A'!AB15*'CN FD S'!AB16/'CN FD alpha'!AB16)</f>
        <v>60.595522415877497</v>
      </c>
      <c r="AC15" s="26">
        <f>'CN FD D'!AC15-('CN FD A'!AC15*'CN FD S'!AC16/'CN FD alpha'!AC16)</f>
        <v>60.571872635102281</v>
      </c>
      <c r="AD15" s="26">
        <f>'CN FD D'!AD15-('CN FD A'!AD15*'CN FD S'!AD16/'CN FD alpha'!AD16)</f>
        <v>60.548208660200793</v>
      </c>
      <c r="AE15" s="26">
        <f>'CN FD D'!AE15-('CN FD A'!AE15*'CN FD S'!AE16/'CN FD alpha'!AE16)</f>
        <v>60.524530482653994</v>
      </c>
      <c r="AF15" s="26">
        <f>'CN FD D'!AF15-('CN FD A'!AF15*'CN FD S'!AF16/'CN FD alpha'!AF16)</f>
        <v>60.500838093937745</v>
      </c>
      <c r="AG15" s="26">
        <f>'CN FD D'!AG15-('CN FD A'!AG15*'CN FD S'!AG16/'CN FD alpha'!AG16)</f>
        <v>60.477131485522776</v>
      </c>
      <c r="AH15" s="26">
        <f>'CN FD D'!AH15-('CN FD A'!AH15*'CN FD S'!AH16/'CN FD alpha'!AH16)</f>
        <v>60.453410648874723</v>
      </c>
      <c r="AI15" s="26">
        <f>'CN FD D'!AI15-('CN FD A'!AI15*'CN FD S'!AI16/'CN FD alpha'!AI16)</f>
        <v>60.42967557545407</v>
      </c>
      <c r="AJ15" s="26">
        <f>'CN FD D'!AJ15-('CN FD A'!AJ15*'CN FD S'!AJ16/'CN FD alpha'!AJ16)</f>
        <v>60.405926256716207</v>
      </c>
      <c r="AK15" s="26">
        <f>'CN FD D'!AK15-('CN FD A'!AK15*'CN FD S'!AK16/'CN FD alpha'!AK16)</f>
        <v>60.382162684111357</v>
      </c>
      <c r="AL15" s="26">
        <f>'CN FD D'!AL15-('CN FD A'!AL15*'CN FD S'!AL16/'CN FD alpha'!AL16)</f>
        <v>60.358384849084658</v>
      </c>
      <c r="AM15" s="26">
        <f>'CN FD D'!AM15-('CN FD A'!AM15*'CN FD S'!AM16/'CN FD alpha'!AM16)</f>
        <v>60.334592743076065</v>
      </c>
      <c r="AN15" s="26">
        <f>'CN FD D'!AN15-('CN FD A'!AN15*'CN FD S'!AN16/'CN FD alpha'!AN16)</f>
        <v>60.310786357520435</v>
      </c>
      <c r="AO15" s="26">
        <f>'CN FD D'!AO15-('CN FD A'!AO15*'CN FD S'!AO16/'CN FD alpha'!AO16)</f>
        <v>60.286965683847463</v>
      </c>
      <c r="AP15" s="26">
        <f>'CN FD D'!AP15-('CN FD A'!AP15*'CN FD S'!AP16/'CN FD alpha'!AP16)</f>
        <v>60.263130713481715</v>
      </c>
      <c r="AQ15" s="26">
        <f>'CN FD D'!AQ15-('CN FD A'!AQ15*'CN FD S'!AQ16/'CN FD alpha'!AQ16)</f>
        <v>60.239281437842592</v>
      </c>
      <c r="AR15" s="26">
        <f>'CN FD D'!AR15-('CN FD A'!AR15*'CN FD S'!AR16/'CN FD alpha'!AR16)</f>
        <v>60.215417848344352</v>
      </c>
      <c r="AS15" s="26">
        <f>'CN FD D'!AS15-('CN FD A'!AS15*'CN FD S'!AS16/'CN FD alpha'!AS16)</f>
        <v>60.191539936396111</v>
      </c>
      <c r="AT15" s="26">
        <f>'CN FD D'!AT15-('CN FD A'!AT15*'CN FD S'!AT16/'CN FD alpha'!AT16)</f>
        <v>60.167647693401818</v>
      </c>
      <c r="AU15" s="26">
        <f>'CN FD D'!AU15-('CN FD A'!AU15*'CN FD S'!AU16/'CN FD alpha'!AU16)</f>
        <v>60.143741110760267</v>
      </c>
      <c r="AV15" s="26">
        <f>'CN FD D'!AV15-('CN FD A'!AV15*'CN FD S'!AV16/'CN FD alpha'!AV16)</f>
        <v>60.11982017986508</v>
      </c>
      <c r="AW15" s="26">
        <f>'CN FD D'!AW15-('CN FD A'!AW15*'CN FD S'!AW16/'CN FD alpha'!AW16)</f>
        <v>60.095884892104728</v>
      </c>
      <c r="AX15" s="26">
        <f>'CN FD D'!AX15-('CN FD A'!AX15*'CN FD S'!AX16/'CN FD alpha'!AX16)</f>
        <v>60.071935238862508</v>
      </c>
      <c r="AY15" s="26">
        <f>'CN FD D'!AY15-('CN FD A'!AY15*'CN FD S'!AY16/'CN FD alpha'!AY16)</f>
        <v>60.047971211516547</v>
      </c>
      <c r="AZ15" s="26">
        <f>'CN FD D'!AZ15-('CN FD A'!AZ15*'CN FD S'!AZ16/'CN FD alpha'!AZ16)</f>
        <v>60.023992801439782</v>
      </c>
      <c r="BA15" s="6"/>
    </row>
    <row r="16" spans="1:53" x14ac:dyDescent="0.2">
      <c r="A16">
        <f>A15-1</f>
        <v>49</v>
      </c>
      <c r="B16" s="3">
        <f t="shared" si="0"/>
        <v>98</v>
      </c>
      <c r="C16" s="26">
        <f>'CN FD D'!C16-('CN FD A'!C16*'CN FD S'!C17/'CN FD alpha'!C17)</f>
        <v>-7018.2908982696617</v>
      </c>
      <c r="D16" s="26">
        <f>'CN FD D'!D16-('CN FD A'!D16*'CN FD S'!D17/'CN FD alpha'!D17)</f>
        <v>-7015.5085926385527</v>
      </c>
      <c r="E16" s="26">
        <f>'CN FD D'!E16-('CN FD A'!E16*'CN FD S'!E17/'CN FD alpha'!E17)</f>
        <v>-7012.7246171262204</v>
      </c>
      <c r="F16" s="26">
        <f>'CN FD D'!F16-('CN FD A'!F16*'CN FD S'!F17/'CN FD alpha'!F17)</f>
        <v>-7009.9389707297196</v>
      </c>
      <c r="G16" s="26">
        <f>'CN FD D'!G16-('CN FD A'!G16*'CN FD S'!G17/'CN FD alpha'!G17)</f>
        <v>-7007.1516524456429</v>
      </c>
      <c r="H16" s="26">
        <f>'CN FD D'!H16-('CN FD A'!H16*'CN FD S'!H17/'CN FD alpha'!H17)</f>
        <v>-7004.3626612700991</v>
      </c>
      <c r="I16" s="26">
        <f>'CN FD D'!I16-('CN FD A'!I16*'CN FD S'!I17/'CN FD alpha'!I17)</f>
        <v>-7001.5719961986924</v>
      </c>
      <c r="J16" s="26">
        <f>'CN FD D'!J16-('CN FD A'!J16*'CN FD S'!J17/'CN FD alpha'!J17)</f>
        <v>-6998.7796562264994</v>
      </c>
      <c r="K16" s="26">
        <f>'CN FD D'!K16-('CN FD A'!K16*'CN FD S'!K17/'CN FD alpha'!K17)</f>
        <v>-6995.985640348058</v>
      </c>
      <c r="L16" s="26">
        <f>'CN FD D'!L16-('CN FD A'!L16*'CN FD S'!L17/'CN FD alpha'!L17)</f>
        <v>-6993.1899475573555</v>
      </c>
      <c r="M16" s="26">
        <f>'CN FD D'!M16-('CN FD A'!M16*'CN FD S'!M17/'CN FD alpha'!M17)</f>
        <v>-6990.3925768478111</v>
      </c>
      <c r="N16" s="26">
        <f>'CN FD D'!N16-('CN FD A'!N16*'CN FD S'!N17/'CN FD alpha'!N17)</f>
        <v>-6987.593527212277</v>
      </c>
      <c r="O16" s="26">
        <f>'CN FD D'!O16-('CN FD A'!O16*'CN FD S'!O17/'CN FD alpha'!O17)</f>
        <v>-6984.7927976430165</v>
      </c>
      <c r="P16" s="26">
        <f>'CN FD D'!P16-('CN FD A'!P16*'CN FD S'!P17/'CN FD alpha'!P17)</f>
        <v>-6981.9903871317138</v>
      </c>
      <c r="Q16" s="26">
        <f>'CN FD D'!Q16-('CN FD A'!Q16*'CN FD S'!Q17/'CN FD alpha'!Q17)</f>
        <v>-6979.1862946694573</v>
      </c>
      <c r="R16" s="26">
        <f>'CN FD D'!R16-('CN FD A'!R16*'CN FD S'!R17/'CN FD alpha'!R17)</f>
        <v>-6976.3805192467407</v>
      </c>
      <c r="S16" s="26">
        <f>'CN FD D'!S16-('CN FD A'!S16*'CN FD S'!S17/'CN FD alpha'!S17)</f>
        <v>-6973.5730598534601</v>
      </c>
      <c r="T16" s="26">
        <f>'CN FD D'!T16-('CN FD A'!T16*'CN FD S'!T17/'CN FD alpha'!T17)</f>
        <v>-6970.7639154789067</v>
      </c>
      <c r="U16" s="26">
        <f>'CN FD D'!U16-('CN FD A'!U16*'CN FD S'!U17/'CN FD alpha'!U17)</f>
        <v>-6967.9530851117697</v>
      </c>
      <c r="V16" s="26">
        <f>'CN FD D'!V16-('CN FD A'!V16*'CN FD S'!V17/'CN FD alpha'!V17)</f>
        <v>-6965.1405677401362</v>
      </c>
      <c r="W16" s="26">
        <f>'CN FD D'!W16-('CN FD A'!W16*'CN FD S'!W17/'CN FD alpha'!W17)</f>
        <v>-6962.3263623514849</v>
      </c>
      <c r="X16" s="26">
        <f>'CN FD D'!X16-('CN FD A'!X16*'CN FD S'!X17/'CN FD alpha'!X17)</f>
        <v>-6959.5104679326887</v>
      </c>
      <c r="Y16" s="26">
        <f>'CN FD D'!Y16-('CN FD A'!Y16*'CN FD S'!Y17/'CN FD alpha'!Y17)</f>
        <v>-6956.6928834700084</v>
      </c>
      <c r="Z16" s="26">
        <f>'CN FD D'!Z16-('CN FD A'!Z16*'CN FD S'!Z17/'CN FD alpha'!Z17)</f>
        <v>-6953.8736079490991</v>
      </c>
      <c r="AA16" s="26">
        <f>'CN FD D'!AA16-('CN FD A'!AA16*'CN FD S'!AA17/'CN FD alpha'!AA17)</f>
        <v>-6951.0526403550039</v>
      </c>
      <c r="AB16" s="26">
        <f>'CN FD D'!AB16-('CN FD A'!AB16*'CN FD S'!AB17/'CN FD alpha'!AB17)</f>
        <v>-6948.2299796721572</v>
      </c>
      <c r="AC16" s="26">
        <f>'CN FD D'!AC16-('CN FD A'!AC16*'CN FD S'!AC17/'CN FD alpha'!AC17)</f>
        <v>-6945.4056248843826</v>
      </c>
      <c r="AD16" s="26">
        <f>'CN FD D'!AD16-('CN FD A'!AD16*'CN FD S'!AD17/'CN FD alpha'!AD17)</f>
        <v>-6942.5795749748904</v>
      </c>
      <c r="AE16" s="26">
        <f>'CN FD D'!AE16-('CN FD A'!AE16*'CN FD S'!AE17/'CN FD alpha'!AE17)</f>
        <v>-6939.7518289262789</v>
      </c>
      <c r="AF16" s="26">
        <f>'CN FD D'!AF16-('CN FD A'!AF16*'CN FD S'!AF17/'CN FD alpha'!AF17)</f>
        <v>-6936.9223857205325</v>
      </c>
      <c r="AG16" s="26">
        <f>'CN FD D'!AG16-('CN FD A'!AG16*'CN FD S'!AG17/'CN FD alpha'!AG17)</f>
        <v>-6934.0912443390234</v>
      </c>
      <c r="AH16" s="26">
        <f>'CN FD D'!AH16-('CN FD A'!AH16*'CN FD S'!AH17/'CN FD alpha'!AH17)</f>
        <v>-6931.2584037625074</v>
      </c>
      <c r="AI16" s="26">
        <f>'CN FD D'!AI16-('CN FD A'!AI16*'CN FD S'!AI17/'CN FD alpha'!AI17)</f>
        <v>-6928.4238629711253</v>
      </c>
      <c r="AJ16" s="26">
        <f>'CN FD D'!AJ16-('CN FD A'!AJ16*'CN FD S'!AJ17/'CN FD alpha'!AJ17)</f>
        <v>-6925.5876209443977</v>
      </c>
      <c r="AK16" s="26">
        <f>'CN FD D'!AK16-('CN FD A'!AK16*'CN FD S'!AK17/'CN FD alpha'!AK17)</f>
        <v>-6922.7496766612303</v>
      </c>
      <c r="AL16" s="26">
        <f>'CN FD D'!AL16-('CN FD A'!AL16*'CN FD S'!AL17/'CN FD alpha'!AL17)</f>
        <v>-6919.9100290999077</v>
      </c>
      <c r="AM16" s="26">
        <f>'CN FD D'!AM16-('CN FD A'!AM16*'CN FD S'!AM17/'CN FD alpha'!AM17)</f>
        <v>-6917.0686772380895</v>
      </c>
      <c r="AN16" s="26">
        <f>'CN FD D'!AN16-('CN FD A'!AN16*'CN FD S'!AN17/'CN FD alpha'!AN17)</f>
        <v>-6914.2256200528136</v>
      </c>
      <c r="AO16" s="26">
        <f>'CN FD D'!AO16-('CN FD A'!AO16*'CN FD S'!AO17/'CN FD alpha'!AO17)</f>
        <v>-6911.3808565204872</v>
      </c>
      <c r="AP16" s="26">
        <f>'CN FD D'!AP16-('CN FD A'!AP16*'CN FD S'!AP17/'CN FD alpha'!AP17)</f>
        <v>-6908.5343856168847</v>
      </c>
      <c r="AQ16" s="26">
        <f>'CN FD D'!AQ16-('CN FD A'!AQ16*'CN FD S'!AQ17/'CN FD alpha'!AQ17)</f>
        <v>-6905.6862063171393</v>
      </c>
      <c r="AR16" s="26">
        <f>'CN FD D'!AR16-('CN FD A'!AR16*'CN FD S'!AR17/'CN FD alpha'!AR17)</f>
        <v>-6902.8363175957402</v>
      </c>
      <c r="AS16" s="26">
        <f>'CN FD D'!AS16-('CN FD A'!AS16*'CN FD S'!AS17/'CN FD alpha'!AS17)</f>
        <v>-6899.9847184265072</v>
      </c>
      <c r="AT16" s="26">
        <f>'CN FD D'!AT16-('CN FD A'!AT16*'CN FD S'!AT17/'CN FD alpha'!AT17)</f>
        <v>-6897.1314077825864</v>
      </c>
      <c r="AU16" s="26">
        <f>'CN FD D'!AU16-('CN FD A'!AU16*'CN FD S'!AU17/'CN FD alpha'!AU17)</f>
        <v>-6894.2763846364051</v>
      </c>
      <c r="AV16" s="26">
        <f>'CN FD D'!AV16-('CN FD A'!AV16*'CN FD S'!AV17/'CN FD alpha'!AV17)</f>
        <v>-6891.4196479596158</v>
      </c>
      <c r="AW16" s="26">
        <f>'CN FD D'!AW16-('CN FD A'!AW16*'CN FD S'!AW17/'CN FD alpha'!AW17)</f>
        <v>-6888.5611967229961</v>
      </c>
      <c r="AX16" s="26">
        <f>'CN FD D'!AX16-('CN FD A'!AX16*'CN FD S'!AX17/'CN FD alpha'!AX17)</f>
        <v>-6885.7010298962259</v>
      </c>
      <c r="AY16" s="26">
        <f>'CN FD D'!AY16-('CN FD A'!AY16*'CN FD S'!AY17/'CN FD alpha'!AY17)</f>
        <v>-6882.8391464473652</v>
      </c>
      <c r="AZ16" s="26">
        <f>'CN FD D'!AZ16-('CN FD A'!AZ16*'CN FD S'!AZ17/'CN FD alpha'!AZ17)</f>
        <v>-6879.9755453413127</v>
      </c>
      <c r="BA16" s="6"/>
    </row>
    <row r="17" spans="1:53" x14ac:dyDescent="0.2">
      <c r="A17">
        <f t="shared" ref="A17:A65" si="1">A16-1</f>
        <v>48</v>
      </c>
      <c r="B17" s="3">
        <f t="shared" si="0"/>
        <v>96</v>
      </c>
      <c r="C17" s="26">
        <f>'CN FD D'!C17-('CN FD A'!C17*'CN FD S'!C18/'CN FD alpha'!C18)</f>
        <v>-6742.1697367662809</v>
      </c>
      <c r="D17" s="26">
        <f>'CN FD D'!D17-('CN FD A'!D17*'CN FD S'!D18/'CN FD alpha'!D18)</f>
        <v>-6739.4034197974324</v>
      </c>
      <c r="E17" s="26">
        <f>'CN FD D'!E17-('CN FD A'!E17*'CN FD S'!E18/'CN FD alpha'!E18)</f>
        <v>-6736.6354425478139</v>
      </c>
      <c r="F17" s="26">
        <f>'CN FD D'!F17-('CN FD A'!F17*'CN FD S'!F18/'CN FD alpha'!F18)</f>
        <v>-6733.865804019284</v>
      </c>
      <c r="G17" s="26">
        <f>'CN FD D'!G17-('CN FD A'!G17*'CN FD S'!G18/'CN FD alpha'!G18)</f>
        <v>-6731.0945032134241</v>
      </c>
      <c r="H17" s="26">
        <f>'CN FD D'!H17-('CN FD A'!H17*'CN FD S'!H18/'CN FD alpha'!H18)</f>
        <v>-6728.3215391314843</v>
      </c>
      <c r="I17" s="26">
        <f>'CN FD D'!I17-('CN FD A'!I17*'CN FD S'!I18/'CN FD alpha'!I18)</f>
        <v>-6725.5469107743374</v>
      </c>
      <c r="J17" s="26">
        <f>'CN FD D'!J17-('CN FD A'!J17*'CN FD S'!J18/'CN FD alpha'!J18)</f>
        <v>-6722.7706171424397</v>
      </c>
      <c r="K17" s="26">
        <f>'CN FD D'!K17-('CN FD A'!K17*'CN FD S'!K18/'CN FD alpha'!K18)</f>
        <v>-6719.9926572357936</v>
      </c>
      <c r="L17" s="26">
        <f>'CN FD D'!L17-('CN FD A'!L17*'CN FD S'!L18/'CN FD alpha'!L18)</f>
        <v>-6717.2130300539247</v>
      </c>
      <c r="M17" s="26">
        <f>'CN FD D'!M17-('CN FD A'!M17*'CN FD S'!M18/'CN FD alpha'!M18)</f>
        <v>-6714.4317345958498</v>
      </c>
      <c r="N17" s="26">
        <f>'CN FD D'!N17-('CN FD A'!N17*'CN FD S'!N18/'CN FD alpha'!N18)</f>
        <v>-6711.6487698600604</v>
      </c>
      <c r="O17" s="26">
        <f>'CN FD D'!O17-('CN FD A'!O17*'CN FD S'!O18/'CN FD alpha'!O18)</f>
        <v>-6708.8641348445062</v>
      </c>
      <c r="P17" s="26">
        <f>'CN FD D'!P17-('CN FD A'!P17*'CN FD S'!P18/'CN FD alpha'!P18)</f>
        <v>-6706.0778285465831</v>
      </c>
      <c r="Q17" s="26">
        <f>'CN FD D'!Q17-('CN FD A'!Q17*'CN FD S'!Q18/'CN FD alpha'!Q18)</f>
        <v>-6703.2898499631119</v>
      </c>
      <c r="R17" s="26">
        <f>'CN FD D'!R17-('CN FD A'!R17*'CN FD S'!R18/'CN FD alpha'!R18)</f>
        <v>-6700.5001980903444</v>
      </c>
      <c r="S17" s="26">
        <f>'CN FD D'!S17-('CN FD A'!S17*'CN FD S'!S18/'CN FD alpha'!S18)</f>
        <v>-6697.7088719239428</v>
      </c>
      <c r="T17" s="26">
        <f>'CN FD D'!T17-('CN FD A'!T17*'CN FD S'!T18/'CN FD alpha'!T18)</f>
        <v>-6694.9158704589818</v>
      </c>
      <c r="U17" s="26">
        <f>'CN FD D'!U17-('CN FD A'!U17*'CN FD S'!U18/'CN FD alpha'!U18)</f>
        <v>-6692.1211926899423</v>
      </c>
      <c r="V17" s="26">
        <f>'CN FD D'!V17-('CN FD A'!V17*'CN FD S'!V18/'CN FD alpha'!V18)</f>
        <v>-6689.3248376107067</v>
      </c>
      <c r="W17" s="26">
        <f>'CN FD D'!W17-('CN FD A'!W17*'CN FD S'!W18/'CN FD alpha'!W18)</f>
        <v>-6686.526804214559</v>
      </c>
      <c r="X17" s="26">
        <f>'CN FD D'!X17-('CN FD A'!X17*'CN FD S'!X18/'CN FD alpha'!X18)</f>
        <v>-6683.7270914941791</v>
      </c>
      <c r="Y17" s="26">
        <f>'CN FD D'!Y17-('CN FD A'!Y17*'CN FD S'!Y18/'CN FD alpha'!Y18)</f>
        <v>-6680.9256984416434</v>
      </c>
      <c r="Z17" s="26">
        <f>'CN FD D'!Z17-('CN FD A'!Z17*'CN FD S'!Z18/'CN FD alpha'!Z18)</f>
        <v>-6678.1226240484239</v>
      </c>
      <c r="AA17" s="26">
        <f>'CN FD D'!AA17-('CN FD A'!AA17*'CN FD S'!AA18/'CN FD alpha'!AA18)</f>
        <v>-6675.3178673053835</v>
      </c>
      <c r="AB17" s="26">
        <f>'CN FD D'!AB17-('CN FD A'!AB17*'CN FD S'!AB18/'CN FD alpha'!AB18)</f>
        <v>-6672.5114272027822</v>
      </c>
      <c r="AC17" s="26">
        <f>'CN FD D'!AC17-('CN FD A'!AC17*'CN FD S'!AC18/'CN FD alpha'!AC18)</f>
        <v>-6669.7033027302659</v>
      </c>
      <c r="AD17" s="26">
        <f>'CN FD D'!AD17-('CN FD A'!AD17*'CN FD S'!AD18/'CN FD alpha'!AD18)</f>
        <v>-6666.8934928768767</v>
      </c>
      <c r="AE17" s="26">
        <f>'CN FD D'!AE17-('CN FD A'!AE17*'CN FD S'!AE18/'CN FD alpha'!AE18)</f>
        <v>-6664.0819966310419</v>
      </c>
      <c r="AF17" s="26">
        <f>'CN FD D'!AF17-('CN FD A'!AF17*'CN FD S'!AF18/'CN FD alpha'!AF18)</f>
        <v>-6661.2688129805802</v>
      </c>
      <c r="AG17" s="26">
        <f>'CN FD D'!AG17-('CN FD A'!AG17*'CN FD S'!AG18/'CN FD alpha'!AG18)</f>
        <v>-6658.4539409126983</v>
      </c>
      <c r="AH17" s="26">
        <f>'CN FD D'!AH17-('CN FD A'!AH17*'CN FD S'!AH18/'CN FD alpha'!AH18)</f>
        <v>-6655.6373794139881</v>
      </c>
      <c r="AI17" s="26">
        <f>'CN FD D'!AI17-('CN FD A'!AI17*'CN FD S'!AI18/'CN FD alpha'!AI18)</f>
        <v>-6652.8191274704268</v>
      </c>
      <c r="AJ17" s="26">
        <f>'CN FD D'!AJ17-('CN FD A'!AJ17*'CN FD S'!AJ18/'CN FD alpha'!AJ18)</f>
        <v>-6649.9991840673765</v>
      </c>
      <c r="AK17" s="26">
        <f>'CN FD D'!AK17-('CN FD A'!AK17*'CN FD S'!AK18/'CN FD alpha'!AK18)</f>
        <v>-6647.1775481895811</v>
      </c>
      <c r="AL17" s="26">
        <f>'CN FD D'!AL17-('CN FD A'!AL17*'CN FD S'!AL18/'CN FD alpha'!AL18)</f>
        <v>-6644.3542188211632</v>
      </c>
      <c r="AM17" s="26">
        <f>'CN FD D'!AM17-('CN FD A'!AM17*'CN FD S'!AM18/'CN FD alpha'!AM18)</f>
        <v>-6641.5291949456232</v>
      </c>
      <c r="AN17" s="26">
        <f>'CN FD D'!AN17-('CN FD A'!AN17*'CN FD S'!AN18/'CN FD alpha'!AN18)</f>
        <v>-6638.7024755458369</v>
      </c>
      <c r="AO17" s="26">
        <f>'CN FD D'!AO17-('CN FD A'!AO17*'CN FD S'!AO18/'CN FD alpha'!AO18)</f>
        <v>-6635.8740596040461</v>
      </c>
      <c r="AP17" s="26">
        <f>'CN FD D'!AP17-('CN FD A'!AP17*'CN FD S'!AP18/'CN FD alpha'!AP18)</f>
        <v>-6633.0439461018605</v>
      </c>
      <c r="AQ17" s="26">
        <f>'CN FD D'!AQ17-('CN FD A'!AQ17*'CN FD S'!AQ18/'CN FD alpha'!AQ18)</f>
        <v>-6630.2121340202439</v>
      </c>
      <c r="AR17" s="26">
        <f>'CN FD D'!AR17-('CN FD A'!AR17*'CN FD S'!AR18/'CN FD alpha'!AR18)</f>
        <v>-6627.37862233951</v>
      </c>
      <c r="AS17" s="26">
        <f>'CN FD D'!AS17-('CN FD A'!AS17*'CN FD S'!AS18/'CN FD alpha'!AS18)</f>
        <v>-6624.5434100393031</v>
      </c>
      <c r="AT17" s="26">
        <f>'CN FD D'!AT17-('CN FD A'!AT17*'CN FD S'!AT18/'CN FD alpha'!AT18)</f>
        <v>-6621.7064960985872</v>
      </c>
      <c r="AU17" s="26">
        <f>'CN FD D'!AU17-('CN FD A'!AU17*'CN FD S'!AU18/'CN FD alpha'!AU18)</f>
        <v>-6618.8678794956104</v>
      </c>
      <c r="AV17" s="26">
        <f>'CN FD D'!AV17-('CN FD A'!AV17*'CN FD S'!AV18/'CN FD alpha'!AV18)</f>
        <v>-6616.0275592078715</v>
      </c>
      <c r="AW17" s="26">
        <f>'CN FD D'!AW17-('CN FD A'!AW17*'CN FD S'!AW18/'CN FD alpha'!AW18)</f>
        <v>-6613.1855342120589</v>
      </c>
      <c r="AX17" s="26">
        <f>'CN FD D'!AX17-('CN FD A'!AX17*'CN FD S'!AX18/'CN FD alpha'!AX18)</f>
        <v>-6610.3418034839824</v>
      </c>
      <c r="AY17" s="26">
        <f>'CN FD D'!AY17-('CN FD A'!AY17*'CN FD S'!AY18/'CN FD alpha'!AY18)</f>
        <v>-6607.4963659985442</v>
      </c>
      <c r="AZ17" s="26">
        <f>'CN FD D'!AZ17-('CN FD A'!AZ17*'CN FD S'!AZ18/'CN FD alpha'!AZ18)</f>
        <v>-6604.6492207302281</v>
      </c>
      <c r="BA17" s="6"/>
    </row>
    <row r="18" spans="1:53" x14ac:dyDescent="0.2">
      <c r="A18">
        <f t="shared" si="1"/>
        <v>47</v>
      </c>
      <c r="B18" s="3">
        <f t="shared" si="0"/>
        <v>94</v>
      </c>
      <c r="C18" s="26">
        <f>'CN FD D'!C18-('CN FD A'!C18*'CN FD S'!C19/'CN FD alpha'!C19)</f>
        <v>-6469.1712690953482</v>
      </c>
      <c r="D18" s="26">
        <f>'CN FD D'!D18-('CN FD A'!D18*'CN FD S'!D19/'CN FD alpha'!D19)</f>
        <v>-6466.4207644676253</v>
      </c>
      <c r="E18" s="26">
        <f>'CN FD D'!E18-('CN FD A'!E18*'CN FD S'!E19/'CN FD alpha'!E19)</f>
        <v>-6463.6686090580934</v>
      </c>
      <c r="F18" s="26">
        <f>'CN FD D'!F18-('CN FD A'!F18*'CN FD S'!F19/'CN FD alpha'!F19)</f>
        <v>-6460.9148018725282</v>
      </c>
      <c r="G18" s="26">
        <f>'CN FD D'!G18-('CN FD A'!G18*'CN FD S'!G19/'CN FD alpha'!G19)</f>
        <v>-6458.1593419167493</v>
      </c>
      <c r="H18" s="26">
        <f>'CN FD D'!H18-('CN FD A'!H18*'CN FD S'!H19/'CN FD alpha'!H19)</f>
        <v>-6455.4022281965108</v>
      </c>
      <c r="I18" s="26">
        <f>'CN FD D'!I18-('CN FD A'!I18*'CN FD S'!I19/'CN FD alpha'!I19)</f>
        <v>-6452.6434597174211</v>
      </c>
      <c r="J18" s="26">
        <f>'CN FD D'!J18-('CN FD A'!J18*'CN FD S'!J19/'CN FD alpha'!J19)</f>
        <v>-6449.8830354848642</v>
      </c>
      <c r="K18" s="26">
        <f>'CN FD D'!K18-('CN FD A'!K18*'CN FD S'!K19/'CN FD alpha'!K19)</f>
        <v>-6447.1209545039401</v>
      </c>
      <c r="L18" s="26">
        <f>'CN FD D'!L18-('CN FD A'!L18*'CN FD S'!L19/'CN FD alpha'!L19)</f>
        <v>-6444.3572157793942</v>
      </c>
      <c r="M18" s="26">
        <f>'CN FD D'!M18-('CN FD A'!M18*'CN FD S'!M19/'CN FD alpha'!M19)</f>
        <v>-6441.5918183155845</v>
      </c>
      <c r="N18" s="26">
        <f>'CN FD D'!N18-('CN FD A'!N18*'CN FD S'!N19/'CN FD alpha'!N19)</f>
        <v>-6438.824761116427</v>
      </c>
      <c r="O18" s="26">
        <f>'CN FD D'!O18-('CN FD A'!O18*'CN FD S'!O19/'CN FD alpha'!O19)</f>
        <v>-6436.0560431853728</v>
      </c>
      <c r="P18" s="26">
        <f>'CN FD D'!P18-('CN FD A'!P18*'CN FD S'!P19/'CN FD alpha'!P19)</f>
        <v>-6433.2856635253711</v>
      </c>
      <c r="Q18" s="26">
        <f>'CN FD D'!Q18-('CN FD A'!Q18*'CN FD S'!Q19/'CN FD alpha'!Q19)</f>
        <v>-6430.5136211388517</v>
      </c>
      <c r="R18" s="26">
        <f>'CN FD D'!R18-('CN FD A'!R18*'CN FD S'!R19/'CN FD alpha'!R19)</f>
        <v>-6427.7399150277051</v>
      </c>
      <c r="S18" s="26">
        <f>'CN FD D'!S18-('CN FD A'!S18*'CN FD S'!S19/'CN FD alpha'!S19)</f>
        <v>-6424.9645441932616</v>
      </c>
      <c r="T18" s="26">
        <f>'CN FD D'!T18-('CN FD A'!T18*'CN FD S'!T19/'CN FD alpha'!T19)</f>
        <v>-6422.1875076362894</v>
      </c>
      <c r="U18" s="26">
        <f>'CN FD D'!U18-('CN FD A'!U18*'CN FD S'!U19/'CN FD alpha'!U19)</f>
        <v>-6419.4088043569809</v>
      </c>
      <c r="V18" s="26">
        <f>'CN FD D'!V18-('CN FD A'!V18*'CN FD S'!V19/'CN FD alpha'!V19)</f>
        <v>-6416.6284333549393</v>
      </c>
      <c r="W18" s="26">
        <f>'CN FD D'!W18-('CN FD A'!W18*'CN FD S'!W19/'CN FD alpha'!W19)</f>
        <v>-6413.8463936291773</v>
      </c>
      <c r="X18" s="26">
        <f>'CN FD D'!X18-('CN FD A'!X18*'CN FD S'!X19/'CN FD alpha'!X19)</f>
        <v>-6411.0626841781213</v>
      </c>
      <c r="Y18" s="26">
        <f>'CN FD D'!Y18-('CN FD A'!Y18*'CN FD S'!Y19/'CN FD alpha'!Y19)</f>
        <v>-6408.2773039995955</v>
      </c>
      <c r="Z18" s="26">
        <f>'CN FD D'!Z18-('CN FD A'!Z18*'CN FD S'!Z19/'CN FD alpha'!Z19)</f>
        <v>-6405.4902520908263</v>
      </c>
      <c r="AA18" s="26">
        <f>'CN FD D'!AA18-('CN FD A'!AA18*'CN FD S'!AA19/'CN FD alpha'!AA19)</f>
        <v>-6402.7015274484347</v>
      </c>
      <c r="AB18" s="26">
        <f>'CN FD D'!AB18-('CN FD A'!AB18*'CN FD S'!AB19/'CN FD alpha'!AB19)</f>
        <v>-6399.9111290684423</v>
      </c>
      <c r="AC18" s="26">
        <f>'CN FD D'!AC18-('CN FD A'!AC18*'CN FD S'!AC19/'CN FD alpha'!AC19)</f>
        <v>-6397.1190559462648</v>
      </c>
      <c r="AD18" s="26">
        <f>'CN FD D'!AD18-('CN FD A'!AD18*'CN FD S'!AD19/'CN FD alpha'!AD19)</f>
        <v>-6394.3253070767132</v>
      </c>
      <c r="AE18" s="26">
        <f>'CN FD D'!AE18-('CN FD A'!AE18*'CN FD S'!AE19/'CN FD alpha'!AE19)</f>
        <v>-6391.5298814539892</v>
      </c>
      <c r="AF18" s="26">
        <f>'CN FD D'!AF18-('CN FD A'!AF18*'CN FD S'!AF19/'CN FD alpha'!AF19)</f>
        <v>-6388.7327780716869</v>
      </c>
      <c r="AG18" s="26">
        <f>'CN FD D'!AG18-('CN FD A'!AG18*'CN FD S'!AG19/'CN FD alpha'!AG19)</f>
        <v>-6385.9339959227964</v>
      </c>
      <c r="AH18" s="26">
        <f>'CN FD D'!AH18-('CN FD A'!AH18*'CN FD S'!AH19/'CN FD alpha'!AH19)</f>
        <v>-6383.1335339996913</v>
      </c>
      <c r="AI18" s="26">
        <f>'CN FD D'!AI18-('CN FD A'!AI18*'CN FD S'!AI19/'CN FD alpha'!AI19)</f>
        <v>-6380.3313912941376</v>
      </c>
      <c r="AJ18" s="26">
        <f>'CN FD D'!AJ18-('CN FD A'!AJ18*'CN FD S'!AJ19/'CN FD alpha'!AJ19)</f>
        <v>-6377.5275667972883</v>
      </c>
      <c r="AK18" s="26">
        <f>'CN FD D'!AK18-('CN FD A'!AK18*'CN FD S'!AK19/'CN FD alpha'!AK19)</f>
        <v>-6374.7220594996816</v>
      </c>
      <c r="AL18" s="26">
        <f>'CN FD D'!AL18-('CN FD A'!AL18*'CN FD S'!AL19/'CN FD alpha'!AL19)</f>
        <v>-6371.9148683912399</v>
      </c>
      <c r="AM18" s="26">
        <f>'CN FD D'!AM18-('CN FD A'!AM18*'CN FD S'!AM19/'CN FD alpha'!AM19)</f>
        <v>-6369.1059924612682</v>
      </c>
      <c r="AN18" s="26">
        <f>'CN FD D'!AN18-('CN FD A'!AN18*'CN FD S'!AN19/'CN FD alpha'!AN19)</f>
        <v>-6366.2954306984511</v>
      </c>
      <c r="AO18" s="26">
        <f>'CN FD D'!AO18-('CN FD A'!AO18*'CN FD S'!AO19/'CN FD alpha'!AO19)</f>
        <v>-6363.4831820908503</v>
      </c>
      <c r="AP18" s="26">
        <f>'CN FD D'!AP18-('CN FD A'!AP18*'CN FD S'!AP19/'CN FD alpha'!AP19)</f>
        <v>-6360.6692456259025</v>
      </c>
      <c r="AQ18" s="26">
        <f>'CN FD D'!AQ18-('CN FD A'!AQ18*'CN FD S'!AQ19/'CN FD alpha'!AQ19)</f>
        <v>-6357.8536202904143</v>
      </c>
      <c r="AR18" s="26">
        <f>'CN FD D'!AR18-('CN FD A'!AR18*'CN FD S'!AR19/'CN FD alpha'!AR19)</f>
        <v>-6355.0363050705564</v>
      </c>
      <c r="AS18" s="26">
        <f>'CN FD D'!AS18-('CN FD A'!AS18*'CN FD S'!AS19/'CN FD alpha'!AS19)</f>
        <v>-6352.217298951864</v>
      </c>
      <c r="AT18" s="26">
        <f>'CN FD D'!AT18-('CN FD A'!AT18*'CN FD S'!AT19/'CN FD alpha'!AT19)</f>
        <v>-6349.3966009192354</v>
      </c>
      <c r="AU18" s="26">
        <f>'CN FD D'!AU18-('CN FD A'!AU18*'CN FD S'!AU19/'CN FD alpha'!AU19)</f>
        <v>-6346.574209956927</v>
      </c>
      <c r="AV18" s="26">
        <f>'CN FD D'!AV18-('CN FD A'!AV18*'CN FD S'!AV19/'CN FD alpha'!AV19)</f>
        <v>-6343.7501250485711</v>
      </c>
      <c r="AW18" s="26">
        <f>'CN FD D'!AW18-('CN FD A'!AW18*'CN FD S'!AW19/'CN FD alpha'!AW19)</f>
        <v>-6340.9243451772072</v>
      </c>
      <c r="AX18" s="26">
        <f>'CN FD D'!AX18-('CN FD A'!AX18*'CN FD S'!AX19/'CN FD alpha'!AX19)</f>
        <v>-6338.0968693253935</v>
      </c>
      <c r="AY18" s="26">
        <f>'CN FD D'!AY18-('CN FD A'!AY18*'CN FD S'!AY19/'CN FD alpha'!AY19)</f>
        <v>-6335.2676964754783</v>
      </c>
      <c r="AZ18" s="26">
        <f>'CN FD D'!AZ18-('CN FD A'!AZ18*'CN FD S'!AZ19/'CN FD alpha'!AZ19)</f>
        <v>-6332.4368256101534</v>
      </c>
      <c r="BA18" s="6"/>
    </row>
    <row r="19" spans="1:53" x14ac:dyDescent="0.2">
      <c r="A19">
        <f t="shared" si="1"/>
        <v>46</v>
      </c>
      <c r="B19" s="3">
        <f t="shared" si="0"/>
        <v>92</v>
      </c>
      <c r="C19" s="26">
        <f>'CN FD D'!C19-('CN FD A'!C19*'CN FD S'!C20/'CN FD alpha'!C20)</f>
        <v>-6199.262415464882</v>
      </c>
      <c r="D19" s="26">
        <f>'CN FD D'!D19-('CN FD A'!D19*'CN FD S'!D20/'CN FD alpha'!D20)</f>
        <v>-6196.5275414339958</v>
      </c>
      <c r="E19" s="26">
        <f>'CN FD D'!E19-('CN FD A'!E19*'CN FD S'!E20/'CN FD alpha'!E20)</f>
        <v>-6193.7910260204599</v>
      </c>
      <c r="F19" s="26">
        <f>'CN FD D'!F19-('CN FD A'!F19*'CN FD S'!F20/'CN FD alpha'!F20)</f>
        <v>-6191.052868232221</v>
      </c>
      <c r="G19" s="26">
        <f>'CN FD D'!G19-('CN FD A'!G19*'CN FD S'!G20/'CN FD alpha'!G20)</f>
        <v>-6188.3130670778392</v>
      </c>
      <c r="H19" s="26">
        <f>'CN FD D'!H19-('CN FD A'!H19*'CN FD S'!H20/'CN FD alpha'!H20)</f>
        <v>-6185.5716215663106</v>
      </c>
      <c r="I19" s="26">
        <f>'CN FD D'!I19-('CN FD A'!I19*'CN FD S'!I20/'CN FD alpha'!I20)</f>
        <v>-6182.8285307069164</v>
      </c>
      <c r="J19" s="26">
        <f>'CN FD D'!J19-('CN FD A'!J19*'CN FD S'!J20/'CN FD alpha'!J20)</f>
        <v>-6180.083793509084</v>
      </c>
      <c r="K19" s="26">
        <f>'CN FD D'!K19-('CN FD A'!K19*'CN FD S'!K20/'CN FD alpha'!K20)</f>
        <v>-6177.337408982261</v>
      </c>
      <c r="L19" s="26">
        <f>'CN FD D'!L19-('CN FD A'!L19*'CN FD S'!L20/'CN FD alpha'!L20)</f>
        <v>-6174.5893761358138</v>
      </c>
      <c r="M19" s="26">
        <f>'CN FD D'!M19-('CN FD A'!M19*'CN FD S'!M20/'CN FD alpha'!M20)</f>
        <v>-6171.8396939789291</v>
      </c>
      <c r="N19" s="26">
        <f>'CN FD D'!N19-('CN FD A'!N19*'CN FD S'!N20/'CN FD alpha'!N20)</f>
        <v>-6169.0883615205385</v>
      </c>
      <c r="O19" s="26">
        <f>'CN FD D'!O19-('CN FD A'!O19*'CN FD S'!O20/'CN FD alpha'!O20)</f>
        <v>-6166.3353777692546</v>
      </c>
      <c r="P19" s="26">
        <f>'CN FD D'!P19-('CN FD A'!P19*'CN FD S'!P20/'CN FD alpha'!P20)</f>
        <v>-6163.5807417333081</v>
      </c>
      <c r="Q19" s="26">
        <f>'CN FD D'!Q19-('CN FD A'!Q19*'CN FD S'!Q20/'CN FD alpha'!Q20)</f>
        <v>-6160.8244524205047</v>
      </c>
      <c r="R19" s="26">
        <f>'CN FD D'!R19-('CN FD A'!R19*'CN FD S'!R20/'CN FD alpha'!R20)</f>
        <v>-6158.0665088381875</v>
      </c>
      <c r="S19" s="26">
        <f>'CN FD D'!S19-('CN FD A'!S19*'CN FD S'!S20/'CN FD alpha'!S20)</f>
        <v>-6155.3069099932027</v>
      </c>
      <c r="T19" s="26">
        <f>'CN FD D'!T19-('CN FD A'!T19*'CN FD S'!T20/'CN FD alpha'!T20)</f>
        <v>-6152.5456548918792</v>
      </c>
      <c r="U19" s="26">
        <f>'CN FD D'!U19-('CN FD A'!U19*'CN FD S'!U20/'CN FD alpha'!U20)</f>
        <v>-6149.7827425400028</v>
      </c>
      <c r="V19" s="26">
        <f>'CN FD D'!V19-('CN FD A'!V19*'CN FD S'!V20/'CN FD alpha'!V20)</f>
        <v>-6147.0181719428037</v>
      </c>
      <c r="W19" s="26">
        <f>'CN FD D'!W19-('CN FD A'!W19*'CN FD S'!W20/'CN FD alpha'!W20)</f>
        <v>-6144.2519421049446</v>
      </c>
      <c r="X19" s="26">
        <f>'CN FD D'!X19-('CN FD A'!X19*'CN FD S'!X20/'CN FD alpha'!X20)</f>
        <v>-6141.4840520305097</v>
      </c>
      <c r="Y19" s="26">
        <f>'CN FD D'!Y19-('CN FD A'!Y19*'CN FD S'!Y20/'CN FD alpha'!Y20)</f>
        <v>-6138.7145007229992</v>
      </c>
      <c r="Z19" s="26">
        <f>'CN FD D'!Z19-('CN FD A'!Z19*'CN FD S'!Z20/'CN FD alpha'!Z20)</f>
        <v>-6135.9432871853242</v>
      </c>
      <c r="AA19" s="26">
        <f>'CN FD D'!AA19-('CN FD A'!AA19*'CN FD S'!AA20/'CN FD alpha'!AA20)</f>
        <v>-6133.1704104198016</v>
      </c>
      <c r="AB19" s="26">
        <f>'CN FD D'!AB19-('CN FD A'!AB19*'CN FD S'!AB20/'CN FD alpha'!AB20)</f>
        <v>-6130.3958694281509</v>
      </c>
      <c r="AC19" s="26">
        <f>'CN FD D'!AC19-('CN FD A'!AC19*'CN FD S'!AC20/'CN FD alpha'!AC20)</f>
        <v>-6127.6196632114961</v>
      </c>
      <c r="AD19" s="26">
        <f>'CN FD D'!AD19-('CN FD A'!AD19*'CN FD S'!AD20/'CN FD alpha'!AD20)</f>
        <v>-6124.8417907703551</v>
      </c>
      <c r="AE19" s="26">
        <f>'CN FD D'!AE19-('CN FD A'!AE19*'CN FD S'!AE20/'CN FD alpha'!AE20)</f>
        <v>-6122.0622511046486</v>
      </c>
      <c r="AF19" s="26">
        <f>'CN FD D'!AF19-('CN FD A'!AF19*'CN FD S'!AF20/'CN FD alpha'!AF20)</f>
        <v>-6119.281043213693</v>
      </c>
      <c r="AG19" s="26">
        <f>'CN FD D'!AG19-('CN FD A'!AG19*'CN FD S'!AG20/'CN FD alpha'!AG20)</f>
        <v>-6116.4981660961985</v>
      </c>
      <c r="AH19" s="26">
        <f>'CN FD D'!AH19-('CN FD A'!AH19*'CN FD S'!AH20/'CN FD alpha'!AH20)</f>
        <v>-6113.7136187502738</v>
      </c>
      <c r="AI19" s="26">
        <f>'CN FD D'!AI19-('CN FD A'!AI19*'CN FD S'!AI20/'CN FD alpha'!AI20)</f>
        <v>-6110.9274001734193</v>
      </c>
      <c r="AJ19" s="26">
        <f>'CN FD D'!AJ19-('CN FD A'!AJ19*'CN FD S'!AJ20/'CN FD alpha'!AJ20)</f>
        <v>-6108.1395093625324</v>
      </c>
      <c r="AK19" s="26">
        <f>'CN FD D'!AK19-('CN FD A'!AK19*'CN FD S'!AK20/'CN FD alpha'!AK20)</f>
        <v>-6105.3499453138984</v>
      </c>
      <c r="AL19" s="26">
        <f>'CN FD D'!AL19-('CN FD A'!AL19*'CN FD S'!AL20/'CN FD alpha'!AL20)</f>
        <v>-6102.5587070231968</v>
      </c>
      <c r="AM19" s="26">
        <f>'CN FD D'!AM19-('CN FD A'!AM19*'CN FD S'!AM20/'CN FD alpha'!AM20)</f>
        <v>-6099.7657934855006</v>
      </c>
      <c r="AN19" s="26">
        <f>'CN FD D'!AN19-('CN FD A'!AN19*'CN FD S'!AN20/'CN FD alpha'!AN20)</f>
        <v>-6096.9712036952697</v>
      </c>
      <c r="AO19" s="26">
        <f>'CN FD D'!AO19-('CN FD A'!AO19*'CN FD S'!AO20/'CN FD alpha'!AO20)</f>
        <v>-6094.1749366463573</v>
      </c>
      <c r="AP19" s="26">
        <f>'CN FD D'!AP19-('CN FD A'!AP19*'CN FD S'!AP20/'CN FD alpha'!AP20)</f>
        <v>-6091.3769913320084</v>
      </c>
      <c r="AQ19" s="26">
        <f>'CN FD D'!AQ19-('CN FD A'!AQ19*'CN FD S'!AQ20/'CN FD alpha'!AQ20)</f>
        <v>-6088.5773667448575</v>
      </c>
      <c r="AR19" s="26">
        <f>'CN FD D'!AR19-('CN FD A'!AR19*'CN FD S'!AR20/'CN FD alpha'!AR20)</f>
        <v>-6085.7760618769344</v>
      </c>
      <c r="AS19" s="26">
        <f>'CN FD D'!AS19-('CN FD A'!AS19*'CN FD S'!AS20/'CN FD alpha'!AS20)</f>
        <v>-6082.9730757196712</v>
      </c>
      <c r="AT19" s="26">
        <f>'CN FD D'!AT19-('CN FD A'!AT19*'CN FD S'!AT20/'CN FD alpha'!AT20)</f>
        <v>-6080.1684072639091</v>
      </c>
      <c r="AU19" s="26">
        <f>'CN FD D'!AU19-('CN FD A'!AU19*'CN FD S'!AU20/'CN FD alpha'!AU20)</f>
        <v>-6077.3620554999188</v>
      </c>
      <c r="AV19" s="26">
        <f>'CN FD D'!AV19-('CN FD A'!AV19*'CN FD S'!AV20/'CN FD alpha'!AV20)</f>
        <v>-6074.5540194174291</v>
      </c>
      <c r="AW19" s="26">
        <f>'CN FD D'!AW19-('CN FD A'!AW19*'CN FD S'!AW20/'CN FD alpha'!AW20)</f>
        <v>-6071.7442980056776</v>
      </c>
      <c r="AX19" s="26">
        <f>'CN FD D'!AX19-('CN FD A'!AX19*'CN FD S'!AX20/'CN FD alpha'!AX20)</f>
        <v>-6068.9328902534744</v>
      </c>
      <c r="AY19" s="26">
        <f>'CN FD D'!AY19-('CN FD A'!AY19*'CN FD S'!AY20/'CN FD alpha'!AY20)</f>
        <v>-6066.1197951492632</v>
      </c>
      <c r="AZ19" s="26">
        <f>'CN FD D'!AZ19-('CN FD A'!AZ19*'CN FD S'!AZ20/'CN FD alpha'!AZ20)</f>
        <v>-6063.3050116809636</v>
      </c>
      <c r="BA19" s="6"/>
    </row>
    <row r="20" spans="1:53" x14ac:dyDescent="0.2">
      <c r="A20">
        <f t="shared" si="1"/>
        <v>45</v>
      </c>
      <c r="B20" s="3">
        <f t="shared" si="0"/>
        <v>90</v>
      </c>
      <c r="C20" s="26">
        <f>'CN FD D'!C20-('CN FD A'!C20*'CN FD S'!C21/'CN FD alpha'!C21)</f>
        <v>-5932.4085876767322</v>
      </c>
      <c r="D20" s="26">
        <f>'CN FD D'!D20-('CN FD A'!D20*'CN FD S'!D21/'CN FD alpha'!D21)</f>
        <v>-5929.6891568899628</v>
      </c>
      <c r="E20" s="26">
        <f>'CN FD D'!E20-('CN FD A'!E20*'CN FD S'!E21/'CN FD alpha'!E21)</f>
        <v>-5926.9680940266244</v>
      </c>
      <c r="F20" s="26">
        <f>'CN FD D'!F20-('CN FD A'!F20*'CN FD S'!F21/'CN FD alpha'!F21)</f>
        <v>-5924.2453980934242</v>
      </c>
      <c r="G20" s="26">
        <f>'CN FD D'!G20-('CN FD A'!G20*'CN FD S'!G21/'CN FD alpha'!G21)</f>
        <v>-5921.5210680987366</v>
      </c>
      <c r="H20" s="26">
        <f>'CN FD D'!H20-('CN FD A'!H20*'CN FD S'!H21/'CN FD alpha'!H21)</f>
        <v>-5918.7951030523027</v>
      </c>
      <c r="I20" s="26">
        <f>'CN FD D'!I20-('CN FD A'!I20*'CN FD S'!I21/'CN FD alpha'!I21)</f>
        <v>-5916.067501964958</v>
      </c>
      <c r="J20" s="26">
        <f>'CN FD D'!J20-('CN FD A'!J20*'CN FD S'!J21/'CN FD alpha'!J21)</f>
        <v>-5913.3382638483872</v>
      </c>
      <c r="K20" s="26">
        <f>'CN FD D'!K20-('CN FD A'!K20*'CN FD S'!K21/'CN FD alpha'!K21)</f>
        <v>-5910.6073877148983</v>
      </c>
      <c r="L20" s="26">
        <f>'CN FD D'!L20-('CN FD A'!L20*'CN FD S'!L21/'CN FD alpha'!L21)</f>
        <v>-5907.874872577233</v>
      </c>
      <c r="M20" s="26">
        <f>'CN FD D'!M20-('CN FD A'!M20*'CN FD S'!M21/'CN FD alpha'!M21)</f>
        <v>-5905.140717448392</v>
      </c>
      <c r="N20" s="26">
        <f>'CN FD D'!N20-('CN FD A'!N20*'CN FD S'!N21/'CN FD alpha'!N21)</f>
        <v>-5902.4049213414855</v>
      </c>
      <c r="O20" s="26">
        <f>'CN FD D'!O20-('CN FD A'!O20*'CN FD S'!O21/'CN FD alpha'!O21)</f>
        <v>-5899.6674832696062</v>
      </c>
      <c r="P20" s="26">
        <f>'CN FD D'!P20-('CN FD A'!P20*'CN FD S'!P21/'CN FD alpha'!P21)</f>
        <v>-5896.9284022457168</v>
      </c>
      <c r="Q20" s="26">
        <f>'CN FD D'!Q20-('CN FD A'!Q20*'CN FD S'!Q21/'CN FD alpha'!Q21)</f>
        <v>-5894.1876772825572</v>
      </c>
      <c r="R20" s="26">
        <f>'CN FD D'!R20-('CN FD A'!R20*'CN FD S'!R21/'CN FD alpha'!R21)</f>
        <v>-5891.445307392567</v>
      </c>
      <c r="S20" s="26">
        <f>'CN FD D'!S20-('CN FD A'!S20*'CN FD S'!S21/'CN FD alpha'!S21)</f>
        <v>-5888.7012915878213</v>
      </c>
      <c r="T20" s="26">
        <f>'CN FD D'!T20-('CN FD A'!T20*'CN FD S'!T21/'CN FD alpha'!T21)</f>
        <v>-5885.9556288799768</v>
      </c>
      <c r="U20" s="26">
        <f>'CN FD D'!U20-('CN FD A'!U20*'CN FD S'!U21/'CN FD alpha'!U21)</f>
        <v>-5883.2083182802298</v>
      </c>
      <c r="V20" s="26">
        <f>'CN FD D'!V20-('CN FD A'!V20*'CN FD S'!V21/'CN FD alpha'!V21)</f>
        <v>-5880.4593587992831</v>
      </c>
      <c r="W20" s="26">
        <f>'CN FD D'!W20-('CN FD A'!W20*'CN FD S'!W21/'CN FD alpha'!W21)</f>
        <v>-5877.7087494473144</v>
      </c>
      <c r="X20" s="26">
        <f>'CN FD D'!X20-('CN FD A'!X20*'CN FD S'!X21/'CN FD alpha'!X21)</f>
        <v>-5874.9564892339658</v>
      </c>
      <c r="Y20" s="26">
        <f>'CN FD D'!Y20-('CN FD A'!Y20*'CN FD S'!Y21/'CN FD alpha'!Y21)</f>
        <v>-5872.2025771683166</v>
      </c>
      <c r="Z20" s="26">
        <f>'CN FD D'!Z20-('CN FD A'!Z20*'CN FD S'!Z21/'CN FD alpha'!Z21)</f>
        <v>-5869.4470122588782</v>
      </c>
      <c r="AA20" s="26">
        <f>'CN FD D'!AA20-('CN FD A'!AA20*'CN FD S'!AA21/'CN FD alpha'!AA21)</f>
        <v>-5866.6897935135858</v>
      </c>
      <c r="AB20" s="26">
        <f>'CN FD D'!AB20-('CN FD A'!AB20*'CN FD S'!AB21/'CN FD alpha'!AB21)</f>
        <v>-5863.9309199397885</v>
      </c>
      <c r="AC20" s="26">
        <f>'CN FD D'!AC20-('CN FD A'!AC20*'CN FD S'!AC21/'CN FD alpha'!AC21)</f>
        <v>-5861.1703905442455</v>
      </c>
      <c r="AD20" s="26">
        <f>'CN FD D'!AD20-('CN FD A'!AD20*'CN FD S'!AD21/'CN FD alpha'!AD21)</f>
        <v>-5858.4082043331236</v>
      </c>
      <c r="AE20" s="26">
        <f>'CN FD D'!AE20-('CN FD A'!AE20*'CN FD S'!AE21/'CN FD alpha'!AE21)</f>
        <v>-5855.6443603119951</v>
      </c>
      <c r="AF20" s="26">
        <f>'CN FD D'!AF20-('CN FD A'!AF20*'CN FD S'!AF21/'CN FD alpha'!AF21)</f>
        <v>-5852.8788574858381</v>
      </c>
      <c r="AG20" s="26">
        <f>'CN FD D'!AG20-('CN FD A'!AG20*'CN FD S'!AG21/'CN FD alpha'!AG21)</f>
        <v>-5850.111694859027</v>
      </c>
      <c r="AH20" s="26">
        <f>'CN FD D'!AH20-('CN FD A'!AH20*'CN FD S'!AH21/'CN FD alpha'!AH21)</f>
        <v>-5847.3428714353431</v>
      </c>
      <c r="AI20" s="26">
        <f>'CN FD D'!AI20-('CN FD A'!AI20*'CN FD S'!AI21/'CN FD alpha'!AI21)</f>
        <v>-5844.5723862179684</v>
      </c>
      <c r="AJ20" s="26">
        <f>'CN FD D'!AJ20-('CN FD A'!AJ20*'CN FD S'!AJ21/'CN FD alpha'!AJ21)</f>
        <v>-5841.8002382094819</v>
      </c>
      <c r="AK20" s="26">
        <f>'CN FD D'!AK20-('CN FD A'!AK20*'CN FD S'!AK21/'CN FD alpha'!AK21)</f>
        <v>-5839.0264264118669</v>
      </c>
      <c r="AL20" s="26">
        <f>'CN FD D'!AL20-('CN FD A'!AL20*'CN FD S'!AL21/'CN FD alpha'!AL21)</f>
        <v>-5836.2509498265063</v>
      </c>
      <c r="AM20" s="26">
        <f>'CN FD D'!AM20-('CN FD A'!AM20*'CN FD S'!AM21/'CN FD alpha'!AM21)</f>
        <v>-5833.4738074541838</v>
      </c>
      <c r="AN20" s="26">
        <f>'CN FD D'!AN20-('CN FD A'!AN20*'CN FD S'!AN21/'CN FD alpha'!AN21)</f>
        <v>-5830.6949982950864</v>
      </c>
      <c r="AO20" s="26">
        <f>'CN FD D'!AO20-('CN FD A'!AO20*'CN FD S'!AO21/'CN FD alpha'!AO21)</f>
        <v>-5827.9145213488046</v>
      </c>
      <c r="AP20" s="26">
        <f>'CN FD D'!AP20-('CN FD A'!AP20*'CN FD S'!AP21/'CN FD alpha'!AP21)</f>
        <v>-5825.1323756143347</v>
      </c>
      <c r="AQ20" s="26">
        <f>'CN FD D'!AQ20-('CN FD A'!AQ20*'CN FD S'!AQ21/'CN FD alpha'!AQ21)</f>
        <v>-5822.348560090084</v>
      </c>
      <c r="AR20" s="26">
        <f>'CN FD D'!AR20-('CN FD A'!AR20*'CN FD S'!AR21/'CN FD alpha'!AR21)</f>
        <v>-5819.5630737738702</v>
      </c>
      <c r="AS20" s="26">
        <f>'CN FD D'!AS20-('CN FD A'!AS20*'CN FD S'!AS21/'CN FD alpha'!AS21)</f>
        <v>-5816.775915662939</v>
      </c>
      <c r="AT20" s="26">
        <f>'CN FD D'!AT20-('CN FD A'!AT20*'CN FD S'!AT21/'CN FD alpha'!AT21)</f>
        <v>-5813.9870847539614</v>
      </c>
      <c r="AU20" s="26">
        <f>'CN FD D'!AU20-('CN FD A'!AU20*'CN FD S'!AU21/'CN FD alpha'!AU21)</f>
        <v>-5811.1965800430562</v>
      </c>
      <c r="AV20" s="26">
        <f>'CN FD D'!AV20-('CN FD A'!AV20*'CN FD S'!AV21/'CN FD alpha'!AV21)</f>
        <v>-5808.4044005257965</v>
      </c>
      <c r="AW20" s="26">
        <f>'CN FD D'!AW20-('CN FD A'!AW20*'CN FD S'!AW21/'CN FD alpha'!AW21)</f>
        <v>-5805.610545197218</v>
      </c>
      <c r="AX20" s="26">
        <f>'CN FD D'!AX20-('CN FD A'!AX20*'CN FD S'!AX21/'CN FD alpha'!AX21)</f>
        <v>-5802.8150130518125</v>
      </c>
      <c r="AY20" s="26">
        <f>'CN FD D'!AY20-('CN FD A'!AY20*'CN FD S'!AY21/'CN FD alpha'!AY21)</f>
        <v>-5800.0178030834695</v>
      </c>
      <c r="AZ20" s="26">
        <f>'CN FD D'!AZ20-('CN FD A'!AZ20*'CN FD S'!AZ21/'CN FD alpha'!AZ21)</f>
        <v>-5797.2189142853949</v>
      </c>
      <c r="BA20" s="6"/>
    </row>
    <row r="21" spans="1:53" x14ac:dyDescent="0.2">
      <c r="A21">
        <f t="shared" si="1"/>
        <v>44</v>
      </c>
      <c r="B21" s="3">
        <f t="shared" si="0"/>
        <v>88</v>
      </c>
      <c r="C21" s="26">
        <f>'CN FD D'!C21-('CN FD A'!C21*'CN FD S'!C22/'CN FD alpha'!C22)</f>
        <v>-5668.5736246927572</v>
      </c>
      <c r="D21" s="26">
        <f>'CN FD D'!D21-('CN FD A'!D21*'CN FD S'!D22/'CN FD alpha'!D22)</f>
        <v>-5665.8694439692918</v>
      </c>
      <c r="E21" s="26">
        <f>'CN FD D'!E21-('CN FD A'!E21*'CN FD S'!E22/'CN FD alpha'!E22)</f>
        <v>-5663.163640399448</v>
      </c>
      <c r="F21" s="26">
        <f>'CN FD D'!F21-('CN FD A'!F21*'CN FD S'!F22/'CN FD alpha'!F22)</f>
        <v>-5660.4562129821134</v>
      </c>
      <c r="G21" s="26">
        <f>'CN FD D'!G21-('CN FD A'!G21*'CN FD S'!G22/'CN FD alpha'!G22)</f>
        <v>-5657.7471607197594</v>
      </c>
      <c r="H21" s="26">
        <f>'CN FD D'!H21-('CN FD A'!H21*'CN FD S'!H22/'CN FD alpha'!H22)</f>
        <v>-5655.0364826179348</v>
      </c>
      <c r="I21" s="26">
        <f>'CN FD D'!I21-('CN FD A'!I21*'CN FD S'!I22/'CN FD alpha'!I22)</f>
        <v>-5652.3241776847944</v>
      </c>
      <c r="J21" s="26">
        <f>'CN FD D'!J21-('CN FD A'!J21*'CN FD S'!J22/'CN FD alpha'!J22)</f>
        <v>-5649.6102449306754</v>
      </c>
      <c r="K21" s="26">
        <f>'CN FD D'!K21-('CN FD A'!K21*'CN FD S'!K22/'CN FD alpha'!K22)</f>
        <v>-5646.8946833677037</v>
      </c>
      <c r="L21" s="26">
        <f>'CN FD D'!L21-('CN FD A'!L21*'CN FD S'!L22/'CN FD alpha'!L22)</f>
        <v>-5644.1774920094467</v>
      </c>
      <c r="M21" s="26">
        <f>'CN FD D'!M21-('CN FD A'!M21*'CN FD S'!M22/'CN FD alpha'!M22)</f>
        <v>-5641.458669870598</v>
      </c>
      <c r="N21" s="26">
        <f>'CN FD D'!N21-('CN FD A'!N21*'CN FD S'!N22/'CN FD alpha'!N22)</f>
        <v>-5638.7382159666959</v>
      </c>
      <c r="O21" s="26">
        <f>'CN FD D'!O21-('CN FD A'!O21*'CN FD S'!O22/'CN FD alpha'!O22)</f>
        <v>-5636.0161293138826</v>
      </c>
      <c r="P21" s="26">
        <f>'CN FD D'!P21-('CN FD A'!P21*'CN FD S'!P22/'CN FD alpha'!P22)</f>
        <v>-5633.2924089286926</v>
      </c>
      <c r="Q21" s="26">
        <f>'CN FD D'!Q21-('CN FD A'!Q21*'CN FD S'!Q22/'CN FD alpha'!Q22)</f>
        <v>-5630.5670538278628</v>
      </c>
      <c r="R21" s="26">
        <f>'CN FD D'!R21-('CN FD A'!R21*'CN FD S'!R22/'CN FD alpha'!R22)</f>
        <v>-5627.8400630281867</v>
      </c>
      <c r="S21" s="26">
        <f>'CN FD D'!S21-('CN FD A'!S21*'CN FD S'!S22/'CN FD alpha'!S22)</f>
        <v>-5625.1114355463706</v>
      </c>
      <c r="T21" s="26">
        <f>'CN FD D'!T21-('CN FD A'!T21*'CN FD S'!T22/'CN FD alpha'!T22)</f>
        <v>-5622.381170398934</v>
      </c>
      <c r="U21" s="26">
        <f>'CN FD D'!U21-('CN FD A'!U21*'CN FD S'!U22/'CN FD alpha'!U22)</f>
        <v>-5619.6492666021113</v>
      </c>
      <c r="V21" s="26">
        <f>'CN FD D'!V21-('CN FD A'!V21*'CN FD S'!V22/'CN FD alpha'!V22)</f>
        <v>-5616.9157231717872</v>
      </c>
      <c r="W21" s="26">
        <f>'CN FD D'!W21-('CN FD A'!W21*'CN FD S'!W22/'CN FD alpha'!W22)</f>
        <v>-5614.1805391234284</v>
      </c>
      <c r="X21" s="26">
        <f>'CN FD D'!X21-('CN FD A'!X21*'CN FD S'!X22/'CN FD alpha'!X22)</f>
        <v>-5611.4437134720447</v>
      </c>
      <c r="Y21" s="26">
        <f>'CN FD D'!Y21-('CN FD A'!Y21*'CN FD S'!Y22/'CN FD alpha'!Y22)</f>
        <v>-5608.7052452321477</v>
      </c>
      <c r="Z21" s="26">
        <f>'CN FD D'!Z21-('CN FD A'!Z21*'CN FD S'!Z22/'CN FD alpha'!Z22)</f>
        <v>-5605.9651334177288</v>
      </c>
      <c r="AA21" s="26">
        <f>'CN FD D'!AA21-('CN FD A'!AA21*'CN FD S'!AA22/'CN FD alpha'!AA22)</f>
        <v>-5603.2233770422326</v>
      </c>
      <c r="AB21" s="26">
        <f>'CN FD D'!AB21-('CN FD A'!AB21*'CN FD S'!AB22/'CN FD alpha'!AB22)</f>
        <v>-5600.4799751185456</v>
      </c>
      <c r="AC21" s="26">
        <f>'CN FD D'!AC21-('CN FD A'!AC21*'CN FD S'!AC22/'CN FD alpha'!AC22)</f>
        <v>-5597.7349266589836</v>
      </c>
      <c r="AD21" s="26">
        <f>'CN FD D'!AD21-('CN FD A'!AD21*'CN FD S'!AD22/'CN FD alpha'!AD22)</f>
        <v>-5594.9882306752825</v>
      </c>
      <c r="AE21" s="26">
        <f>'CN FD D'!AE21-('CN FD A'!AE21*'CN FD S'!AE22/'CN FD alpha'!AE22)</f>
        <v>-5592.239886178596</v>
      </c>
      <c r="AF21" s="26">
        <f>'CN FD D'!AF21-('CN FD A'!AF21*'CN FD S'!AF22/'CN FD alpha'!AF22)</f>
        <v>-5589.4898921794902</v>
      </c>
      <c r="AG21" s="26">
        <f>'CN FD D'!AG21-('CN FD A'!AG21*'CN FD S'!AG22/'CN FD alpha'!AG22)</f>
        <v>-5586.738247687942</v>
      </c>
      <c r="AH21" s="26">
        <f>'CN FD D'!AH21-('CN FD A'!AH21*'CN FD S'!AH22/'CN FD alpha'!AH22)</f>
        <v>-5583.9849517133343</v>
      </c>
      <c r="AI21" s="26">
        <f>'CN FD D'!AI21-('CN FD A'!AI21*'CN FD S'!AI22/'CN FD alpha'!AI22)</f>
        <v>-5581.2300032644625</v>
      </c>
      <c r="AJ21" s="26">
        <f>'CN FD D'!AJ21-('CN FD A'!AJ21*'CN FD S'!AJ22/'CN FD alpha'!AJ22)</f>
        <v>-5578.4734013495263</v>
      </c>
      <c r="AK21" s="26">
        <f>'CN FD D'!AK21-('CN FD A'!AK21*'CN FD S'!AK22/'CN FD alpha'!AK22)</f>
        <v>-5575.7151449761323</v>
      </c>
      <c r="AL21" s="26">
        <f>'CN FD D'!AL21-('CN FD A'!AL21*'CN FD S'!AL22/'CN FD alpha'!AL22)</f>
        <v>-5572.9552331512978</v>
      </c>
      <c r="AM21" s="26">
        <f>'CN FD D'!AM21-('CN FD A'!AM21*'CN FD S'!AM22/'CN FD alpha'!AM22)</f>
        <v>-5570.1936648814481</v>
      </c>
      <c r="AN21" s="26">
        <f>'CN FD D'!AN21-('CN FD A'!AN21*'CN FD S'!AN22/'CN FD alpha'!AN22)</f>
        <v>-5567.4304391724199</v>
      </c>
      <c r="AO21" s="26">
        <f>'CN FD D'!AO21-('CN FD A'!AO21*'CN FD S'!AO22/'CN FD alpha'!AO22)</f>
        <v>-5564.6655550294627</v>
      </c>
      <c r="AP21" s="26">
        <f>'CN FD D'!AP21-('CN FD A'!AP21*'CN FD S'!AP22/'CN FD alpha'!AP22)</f>
        <v>-5561.8990114572362</v>
      </c>
      <c r="AQ21" s="26">
        <f>'CN FD D'!AQ21-('CN FD A'!AQ21*'CN FD S'!AQ22/'CN FD alpha'!AQ22)</f>
        <v>-5559.1308074598182</v>
      </c>
      <c r="AR21" s="26">
        <f>'CN FD D'!AR21-('CN FD A'!AR21*'CN FD S'!AR22/'CN FD alpha'!AR22)</f>
        <v>-5556.3609420407083</v>
      </c>
      <c r="AS21" s="26">
        <f>'CN FD D'!AS21-('CN FD A'!AS21*'CN FD S'!AS22/'CN FD alpha'!AS22)</f>
        <v>-5553.5894142028255</v>
      </c>
      <c r="AT21" s="26">
        <f>'CN FD D'!AT21-('CN FD A'!AT21*'CN FD S'!AT22/'CN FD alpha'!AT22)</f>
        <v>-5550.8162229485133</v>
      </c>
      <c r="AU21" s="26">
        <f>'CN FD D'!AU21-('CN FD A'!AU21*'CN FD S'!AU22/'CN FD alpha'!AU22)</f>
        <v>-5548.0413672795412</v>
      </c>
      <c r="AV21" s="26">
        <f>'CN FD D'!AV21-('CN FD A'!AV21*'CN FD S'!AV22/'CN FD alpha'!AV22)</f>
        <v>-5545.2648461970984</v>
      </c>
      <c r="AW21" s="26">
        <f>'CN FD D'!AW21-('CN FD A'!AW21*'CN FD S'!AW22/'CN FD alpha'!AW22)</f>
        <v>-5542.4866587017841</v>
      </c>
      <c r="AX21" s="26">
        <f>'CN FD D'!AX21-('CN FD A'!AX21*'CN FD S'!AX22/'CN FD alpha'!AX22)</f>
        <v>-5539.7068037935824</v>
      </c>
      <c r="AY21" s="26">
        <f>'CN FD D'!AY21-('CN FD A'!AY21*'CN FD S'!AY22/'CN FD alpha'!AY22)</f>
        <v>-5536.9252804718417</v>
      </c>
      <c r="AZ21" s="26">
        <f>'CN FD D'!AZ21-('CN FD A'!AZ21*'CN FD S'!AZ22/'CN FD alpha'!AZ22)</f>
        <v>-5534.1420877352657</v>
      </c>
      <c r="BA21" s="6"/>
    </row>
    <row r="22" spans="1:53" x14ac:dyDescent="0.2">
      <c r="A22">
        <f t="shared" si="1"/>
        <v>43</v>
      </c>
      <c r="B22" s="3">
        <f t="shared" si="0"/>
        <v>86</v>
      </c>
      <c r="C22" s="26">
        <f>'CN FD D'!C22-('CN FD A'!C22*'CN FD S'!C23/'CN FD alpha'!C23)</f>
        <v>-5407.7197268627069</v>
      </c>
      <c r="D22" s="26">
        <f>'CN FD D'!D22-('CN FD A'!D22*'CN FD S'!D23/'CN FD alpha'!D23)</f>
        <v>-5405.0305969019937</v>
      </c>
      <c r="E22" s="26">
        <f>'CN FD D'!E22-('CN FD A'!E22*'CN FD S'!E23/'CN FD alpha'!E23)</f>
        <v>-5402.33985328786</v>
      </c>
      <c r="F22" s="26">
        <f>'CN FD D'!F22-('CN FD A'!F22*'CN FD S'!F23/'CN FD alpha'!F23)</f>
        <v>-5399.6474949987569</v>
      </c>
      <c r="G22" s="26">
        <f>'CN FD D'!G22-('CN FD A'!G22*'CN FD S'!G23/'CN FD alpha'!G23)</f>
        <v>-5396.9535210201448</v>
      </c>
      <c r="H22" s="26">
        <f>'CN FD D'!H22-('CN FD A'!H22*'CN FD S'!H23/'CN FD alpha'!H23)</f>
        <v>-5394.2579303436632</v>
      </c>
      <c r="I22" s="26">
        <f>'CN FD D'!I22-('CN FD A'!I22*'CN FD S'!I23/'CN FD alpha'!I23)</f>
        <v>-5391.5607219663552</v>
      </c>
      <c r="J22" s="26">
        <f>'CN FD D'!J22-('CN FD A'!J22*'CN FD S'!J23/'CN FD alpha'!J23)</f>
        <v>-5388.8618948899402</v>
      </c>
      <c r="K22" s="26">
        <f>'CN FD D'!K22-('CN FD A'!K22*'CN FD S'!K23/'CN FD alpha'!K23)</f>
        <v>-5386.1614481201395</v>
      </c>
      <c r="L22" s="26">
        <f>'CN FD D'!L22-('CN FD A'!L22*'CN FD S'!L23/'CN FD alpha'!L23)</f>
        <v>-5383.4593806660641</v>
      </c>
      <c r="M22" s="26">
        <f>'CN FD D'!M22-('CN FD A'!M22*'CN FD S'!M23/'CN FD alpha'!M23)</f>
        <v>-5380.7556915396517</v>
      </c>
      <c r="N22" s="26">
        <f>'CN FD D'!N22-('CN FD A'!N22*'CN FD S'!N23/'CN FD alpha'!N23)</f>
        <v>-5378.0503797551582</v>
      </c>
      <c r="O22" s="26">
        <f>'CN FD D'!O22-('CN FD A'!O22*'CN FD S'!O23/'CN FD alpha'!O23)</f>
        <v>-5375.343444328706</v>
      </c>
      <c r="P22" s="26">
        <f>'CN FD D'!P22-('CN FD A'!P22*'CN FD S'!P23/'CN FD alpha'!P23)</f>
        <v>-5372.6348842778807</v>
      </c>
      <c r="Q22" s="26">
        <f>'CN FD D'!Q22-('CN FD A'!Q22*'CN FD S'!Q23/'CN FD alpha'!Q23)</f>
        <v>-5369.9246986213748</v>
      </c>
      <c r="R22" s="26">
        <f>'CN FD D'!R22-('CN FD A'!R22*'CN FD S'!R23/'CN FD alpha'!R23)</f>
        <v>-5367.2128863786802</v>
      </c>
      <c r="S22" s="26">
        <f>'CN FD D'!S22-('CN FD A'!S22*'CN FD S'!S23/'CN FD alpha'!S23)</f>
        <v>-5364.499446569831</v>
      </c>
      <c r="T22" s="26">
        <f>'CN FD D'!T22-('CN FD A'!T22*'CN FD S'!T23/'CN FD alpha'!T23)</f>
        <v>-5361.7843782151695</v>
      </c>
      <c r="U22" s="26">
        <f>'CN FD D'!U22-('CN FD A'!U22*'CN FD S'!U23/'CN FD alpha'!U23)</f>
        <v>-5359.0676803351598</v>
      </c>
      <c r="V22" s="26">
        <f>'CN FD D'!V22-('CN FD A'!V22*'CN FD S'!V23/'CN FD alpha'!V23)</f>
        <v>-5356.3493519502344</v>
      </c>
      <c r="W22" s="26">
        <f>'CN FD D'!W22-('CN FD A'!W22*'CN FD S'!W23/'CN FD alpha'!W23)</f>
        <v>-5353.629392080662</v>
      </c>
      <c r="X22" s="26">
        <f>'CN FD D'!X22-('CN FD A'!X22*'CN FD S'!X23/'CN FD alpha'!X23)</f>
        <v>-5350.9077997464437</v>
      </c>
      <c r="Y22" s="26">
        <f>'CN FD D'!Y22-('CN FD A'!Y22*'CN FD S'!Y23/'CN FD alpha'!Y23)</f>
        <v>-5348.1845739672353</v>
      </c>
      <c r="Z22" s="26">
        <f>'CN FD D'!Z22-('CN FD A'!Z22*'CN FD S'!Z23/'CN FD alpha'!Z23)</f>
        <v>-5345.4597137622786</v>
      </c>
      <c r="AA22" s="26">
        <f>'CN FD D'!AA22-('CN FD A'!AA22*'CN FD S'!AA23/'CN FD alpha'!AA23)</f>
        <v>-5342.7332181503507</v>
      </c>
      <c r="AB22" s="26">
        <f>'CN FD D'!AB22-('CN FD A'!AB22*'CN FD S'!AB23/'CN FD alpha'!AB23)</f>
        <v>-5340.0050861497302</v>
      </c>
      <c r="AC22" s="26">
        <f>'CN FD D'!AC22-('CN FD A'!AC22*'CN FD S'!AC23/'CN FD alpha'!AC23)</f>
        <v>-5337.2753167781693</v>
      </c>
      <c r="AD22" s="26">
        <f>'CN FD D'!AD22-('CN FD A'!AD22*'CN FD S'!AD23/'CN FD alpha'!AD23)</f>
        <v>-5334.5439090528716</v>
      </c>
      <c r="AE22" s="26">
        <f>'CN FD D'!AE22-('CN FD A'!AE22*'CN FD S'!AE23/'CN FD alpha'!AE23)</f>
        <v>-5331.8108619904806</v>
      </c>
      <c r="AF22" s="26">
        <f>'CN FD D'!AF22-('CN FD A'!AF22*'CN FD S'!AF23/'CN FD alpha'!AF23)</f>
        <v>-5329.0761746070675</v>
      </c>
      <c r="AG22" s="26">
        <f>'CN FD D'!AG22-('CN FD A'!AG22*'CN FD S'!AG23/'CN FD alpha'!AG23)</f>
        <v>-5326.3398459181262</v>
      </c>
      <c r="AH22" s="26">
        <f>'CN FD D'!AH22-('CN FD A'!AH22*'CN FD S'!AH23/'CN FD alpha'!AH23)</f>
        <v>-5323.6018749385667</v>
      </c>
      <c r="AI22" s="26">
        <f>'CN FD D'!AI22-('CN FD A'!AI22*'CN FD S'!AI23/'CN FD alpha'!AI23)</f>
        <v>-5320.8622606827166</v>
      </c>
      <c r="AJ22" s="26">
        <f>'CN FD D'!AJ22-('CN FD A'!AJ22*'CN FD S'!AJ23/'CN FD alpha'!AJ23)</f>
        <v>-5318.1210021643165</v>
      </c>
      <c r="AK22" s="26">
        <f>'CN FD D'!AK22-('CN FD A'!AK22*'CN FD S'!AK23/'CN FD alpha'!AK23)</f>
        <v>-5315.3780983965216</v>
      </c>
      <c r="AL22" s="26">
        <f>'CN FD D'!AL22-('CN FD A'!AL22*'CN FD S'!AL23/'CN FD alpha'!AL23)</f>
        <v>-5312.6335483918983</v>
      </c>
      <c r="AM22" s="26">
        <f>'CN FD D'!AM22-('CN FD A'!AM22*'CN FD S'!AM23/'CN FD alpha'!AM23)</f>
        <v>-5309.8873511624297</v>
      </c>
      <c r="AN22" s="26">
        <f>'CN FD D'!AN22-('CN FD A'!AN22*'CN FD S'!AN23/'CN FD alpha'!AN23)</f>
        <v>-5307.1395057195086</v>
      </c>
      <c r="AO22" s="26">
        <f>'CN FD D'!AO22-('CN FD A'!AO22*'CN FD S'!AO23/'CN FD alpha'!AO23)</f>
        <v>-5304.390011073946</v>
      </c>
      <c r="AP22" s="26">
        <f>'CN FD D'!AP22-('CN FD A'!AP22*'CN FD S'!AP23/'CN FD alpha'!AP23)</f>
        <v>-5301.6388662359641</v>
      </c>
      <c r="AQ22" s="26">
        <f>'CN FD D'!AQ22-('CN FD A'!AQ22*'CN FD S'!AQ23/'CN FD alpha'!AQ23)</f>
        <v>-5298.886070215206</v>
      </c>
      <c r="AR22" s="26">
        <f>'CN FD D'!AR22-('CN FD A'!AR22*'CN FD S'!AR23/'CN FD alpha'!AR23)</f>
        <v>-5296.1316220207236</v>
      </c>
      <c r="AS22" s="26">
        <f>'CN FD D'!AS22-('CN FD A'!AS22*'CN FD S'!AS23/'CN FD alpha'!AS23)</f>
        <v>-5293.3755206609885</v>
      </c>
      <c r="AT22" s="26">
        <f>'CN FD D'!AT22-('CN FD A'!AT22*'CN FD S'!AT23/'CN FD alpha'!AT23)</f>
        <v>-5290.6177651438811</v>
      </c>
      <c r="AU22" s="26">
        <f>'CN FD D'!AU22-('CN FD A'!AU22*'CN FD S'!AU23/'CN FD alpha'!AU23)</f>
        <v>-5287.8583544766898</v>
      </c>
      <c r="AV22" s="26">
        <f>'CN FD D'!AV22-('CN FD A'!AV22*'CN FD S'!AV23/'CN FD alpha'!AV23)</f>
        <v>-5285.0972876661017</v>
      </c>
      <c r="AW22" s="26">
        <f>'CN FD D'!AW22-('CN FD A'!AW22*'CN FD S'!AW23/'CN FD alpha'!AW23)</f>
        <v>-5282.3345637181974</v>
      </c>
      <c r="AX22" s="26">
        <f>'CN FD D'!AX22-('CN FD A'!AX22*'CN FD S'!AX23/'CN FD alpha'!AX23)</f>
        <v>-5279.5701816384453</v>
      </c>
      <c r="AY22" s="26">
        <f>'CN FD D'!AY22-('CN FD A'!AY22*'CN FD S'!AY23/'CN FD alpha'!AY23)</f>
        <v>-5276.8041404316928</v>
      </c>
      <c r="AZ22" s="26">
        <f>'CN FD D'!AZ22-('CN FD A'!AZ22*'CN FD S'!AZ23/'CN FD alpha'!AZ23)</f>
        <v>-5274.0364391021767</v>
      </c>
      <c r="BA22" s="6"/>
    </row>
    <row r="23" spans="1:53" x14ac:dyDescent="0.2">
      <c r="A23">
        <f t="shared" si="1"/>
        <v>42</v>
      </c>
      <c r="B23" s="3">
        <f t="shared" si="0"/>
        <v>84</v>
      </c>
      <c r="C23" s="26">
        <f>'CN FD D'!C23-('CN FD A'!C23*'CN FD S'!C24/'CN FD alpha'!C24)</f>
        <v>-5149.8073892390048</v>
      </c>
      <c r="D23" s="26">
        <f>'CN FD D'!D23-('CN FD A'!D23*'CN FD S'!D24/'CN FD alpha'!D24)</f>
        <v>-5147.1331041761869</v>
      </c>
      <c r="E23" s="26">
        <f>'CN FD D'!E23-('CN FD A'!E23*'CN FD S'!E24/'CN FD alpha'!E24)</f>
        <v>-5144.4572146978117</v>
      </c>
      <c r="F23" s="26">
        <f>'CN FD D'!F23-('CN FD A'!F23*'CN FD S'!F24/'CN FD alpha'!F24)</f>
        <v>-5141.779719737935</v>
      </c>
      <c r="G23" s="26">
        <f>'CN FD D'!G23-('CN FD A'!G23*'CN FD S'!G24/'CN FD alpha'!G24)</f>
        <v>-5139.1006182436367</v>
      </c>
      <c r="H23" s="26">
        <f>'CN FD D'!H23-('CN FD A'!H23*'CN FD S'!H24/'CN FD alpha'!H24)</f>
        <v>-5136.4199091737082</v>
      </c>
      <c r="I23" s="26">
        <f>'CN FD D'!I23-('CN FD A'!I23*'CN FD S'!I24/'CN FD alpha'!I24)</f>
        <v>-5133.7375914974018</v>
      </c>
      <c r="J23" s="26">
        <f>'CN FD D'!J23-('CN FD A'!J23*'CN FD S'!J24/'CN FD alpha'!J24)</f>
        <v>-5131.0536641932385</v>
      </c>
      <c r="K23" s="26">
        <f>'CN FD D'!K23-('CN FD A'!K23*'CN FD S'!K24/'CN FD alpha'!K24)</f>
        <v>-5128.368126247884</v>
      </c>
      <c r="L23" s="26">
        <f>'CN FD D'!L23-('CN FD A'!L23*'CN FD S'!L24/'CN FD alpha'!L24)</f>
        <v>-5125.6809766550959</v>
      </c>
      <c r="M23" s="26">
        <f>'CN FD D'!M23-('CN FD A'!M23*'CN FD S'!M24/'CN FD alpha'!M24)</f>
        <v>-5122.9922144147495</v>
      </c>
      <c r="N23" s="26">
        <f>'CN FD D'!N23-('CN FD A'!N23*'CN FD S'!N24/'CN FD alpha'!N24)</f>
        <v>-5120.3018385319319</v>
      </c>
      <c r="O23" s="26">
        <f>'CN FD D'!O23-('CN FD A'!O23*'CN FD S'!O24/'CN FD alpha'!O24)</f>
        <v>-5117.6098480161245</v>
      </c>
      <c r="P23" s="26">
        <f>'CN FD D'!P23-('CN FD A'!P23*'CN FD S'!P24/'CN FD alpha'!P24)</f>
        <v>-5114.9162418804599</v>
      </c>
      <c r="Q23" s="26">
        <f>'CN FD D'!Q23-('CN FD A'!Q23*'CN FD S'!Q24/'CN FD alpha'!Q24)</f>
        <v>-5112.2210191410468</v>
      </c>
      <c r="R23" s="26">
        <f>'CN FD D'!R23-('CN FD A'!R23*'CN FD S'!R24/'CN FD alpha'!R24)</f>
        <v>-5109.5241788163894</v>
      </c>
      <c r="S23" s="26">
        <f>'CN FD D'!S23-('CN FD A'!S23*'CN FD S'!S24/'CN FD alpha'!S24)</f>
        <v>-5106.8257199268573</v>
      </c>
      <c r="T23" s="26">
        <f>'CN FD D'!T23-('CN FD A'!T23*'CN FD S'!T24/'CN FD alpha'!T24)</f>
        <v>-5104.1256414942372</v>
      </c>
      <c r="U23" s="26">
        <f>'CN FD D'!U23-('CN FD A'!U23*'CN FD S'!U24/'CN FD alpha'!U24)</f>
        <v>-5101.4239425413416</v>
      </c>
      <c r="V23" s="26">
        <f>'CN FD D'!V23-('CN FD A'!V23*'CN FD S'!V24/'CN FD alpha'!V24)</f>
        <v>-5098.7206220916851</v>
      </c>
      <c r="W23" s="26">
        <f>'CN FD D'!W23-('CN FD A'!W23*'CN FD S'!W24/'CN FD alpha'!W24)</f>
        <v>-5096.0156791692007</v>
      </c>
      <c r="X23" s="26">
        <f>'CN FD D'!X23-('CN FD A'!X23*'CN FD S'!X24/'CN FD alpha'!X24)</f>
        <v>-5093.3091127980169</v>
      </c>
      <c r="Y23" s="26">
        <f>'CN FD D'!Y23-('CN FD A'!Y23*'CN FD S'!Y24/'CN FD alpha'!Y24)</f>
        <v>-5090.600922002267</v>
      </c>
      <c r="Z23" s="26">
        <f>'CN FD D'!Z23-('CN FD A'!Z23*'CN FD S'!Z24/'CN FD alpha'!Z24)</f>
        <v>-5087.8911058059493</v>
      </c>
      <c r="AA23" s="26">
        <f>'CN FD D'!AA23-('CN FD A'!AA23*'CN FD S'!AA24/'CN FD alpha'!AA24)</f>
        <v>-5085.1796632327996</v>
      </c>
      <c r="AB23" s="26">
        <f>'CN FD D'!AB23-('CN FD A'!AB23*'CN FD S'!AB24/'CN FD alpha'!AB24)</f>
        <v>-5082.4665933062051</v>
      </c>
      <c r="AC23" s="26">
        <f>'CN FD D'!AC23-('CN FD A'!AC23*'CN FD S'!AC24/'CN FD alpha'!AC24)</f>
        <v>-5079.7518950491349</v>
      </c>
      <c r="AD23" s="26">
        <f>'CN FD D'!AD23-('CN FD A'!AD23*'CN FD S'!AD24/'CN FD alpha'!AD24)</f>
        <v>-5077.0355674840921</v>
      </c>
      <c r="AE23" s="26">
        <f>'CN FD D'!AE23-('CN FD A'!AE23*'CN FD S'!AE24/'CN FD alpha'!AE24)</f>
        <v>-5074.3176096330671</v>
      </c>
      <c r="AF23" s="26">
        <f>'CN FD D'!AF23-('CN FD A'!AF23*'CN FD S'!AF24/'CN FD alpha'!AF24)</f>
        <v>-5071.598020517521</v>
      </c>
      <c r="AG23" s="26">
        <f>'CN FD D'!AG23-('CN FD A'!AG23*'CN FD S'!AG24/'CN FD alpha'!AG24)</f>
        <v>-5068.8767991583609</v>
      </c>
      <c r="AH23" s="26">
        <f>'CN FD D'!AH23-('CN FD A'!AH23*'CN FD S'!AH24/'CN FD alpha'!AH24)</f>
        <v>-5066.1539445759308</v>
      </c>
      <c r="AI23" s="26">
        <f>'CN FD D'!AI23-('CN FD A'!AI23*'CN FD S'!AI24/'CN FD alpha'!AI24)</f>
        <v>-5063.4294557900002</v>
      </c>
      <c r="AJ23" s="26">
        <f>'CN FD D'!AJ23-('CN FD A'!AJ23*'CN FD S'!AJ24/'CN FD alpha'!AJ24)</f>
        <v>-5060.7033318197628</v>
      </c>
      <c r="AK23" s="26">
        <f>'CN FD D'!AK23-('CN FD A'!AK23*'CN FD S'!AK24/'CN FD alpha'!AK24)</f>
        <v>-5057.9755716838299</v>
      </c>
      <c r="AL23" s="26">
        <f>'CN FD D'!AL23-('CN FD A'!AL23*'CN FD S'!AL24/'CN FD alpha'!AL24)</f>
        <v>-5055.2461744002303</v>
      </c>
      <c r="AM23" s="26">
        <f>'CN FD D'!AM23-('CN FD A'!AM23*'CN FD S'!AM24/'CN FD alpha'!AM24)</f>
        <v>-5052.5151389864068</v>
      </c>
      <c r="AN23" s="26">
        <f>'CN FD D'!AN23-('CN FD A'!AN23*'CN FD S'!AN24/'CN FD alpha'!AN24)</f>
        <v>-5049.7824644592229</v>
      </c>
      <c r="AO23" s="26">
        <f>'CN FD D'!AO23-('CN FD A'!AO23*'CN FD S'!AO24/'CN FD alpha'!AO24)</f>
        <v>-5047.0481498349509</v>
      </c>
      <c r="AP23" s="26">
        <f>'CN FD D'!AP23-('CN FD A'!AP23*'CN FD S'!AP24/'CN FD alpha'!AP24)</f>
        <v>-5044.3121941292784</v>
      </c>
      <c r="AQ23" s="26">
        <f>'CN FD D'!AQ23-('CN FD A'!AQ23*'CN FD S'!AQ24/'CN FD alpha'!AQ24)</f>
        <v>-5041.5745963573063</v>
      </c>
      <c r="AR23" s="26">
        <f>'CN FD D'!AR23-('CN FD A'!AR23*'CN FD S'!AR24/'CN FD alpha'!AR24)</f>
        <v>-5038.835355533547</v>
      </c>
      <c r="AS23" s="26">
        <f>'CN FD D'!AS23-('CN FD A'!AS23*'CN FD S'!AS24/'CN FD alpha'!AS24)</f>
        <v>-5036.0944706719192</v>
      </c>
      <c r="AT23" s="26">
        <f>'CN FD D'!AT23-('CN FD A'!AT23*'CN FD S'!AT24/'CN FD alpha'!AT24)</f>
        <v>-5033.3519407857502</v>
      </c>
      <c r="AU23" s="26">
        <f>'CN FD D'!AU23-('CN FD A'!AU23*'CN FD S'!AU24/'CN FD alpha'!AU24)</f>
        <v>-5030.6077648877672</v>
      </c>
      <c r="AV23" s="26">
        <f>'CN FD D'!AV23-('CN FD A'!AV23*'CN FD S'!AV24/'CN FD alpha'!AV24)</f>
        <v>-5027.8619419901015</v>
      </c>
      <c r="AW23" s="26">
        <f>'CN FD D'!AW23-('CN FD A'!AW23*'CN FD S'!AW24/'CN FD alpha'!AW24)</f>
        <v>-5025.1144711042771</v>
      </c>
      <c r="AX23" s="26">
        <f>'CN FD D'!AX23-('CN FD A'!AX23*'CN FD S'!AX24/'CN FD alpha'!AX24)</f>
        <v>-5022.3653512412193</v>
      </c>
      <c r="AY23" s="26">
        <f>'CN FD D'!AY23-('CN FD A'!AY23*'CN FD S'!AY24/'CN FD alpha'!AY24)</f>
        <v>-5019.6145814112524</v>
      </c>
      <c r="AZ23" s="26">
        <f>'CN FD D'!AZ23-('CN FD A'!AZ23*'CN FD S'!AZ24/'CN FD alpha'!AZ24)</f>
        <v>-5016.8621606240986</v>
      </c>
      <c r="BA23" s="6"/>
    </row>
    <row r="24" spans="1:53" x14ac:dyDescent="0.2">
      <c r="A24">
        <f t="shared" si="1"/>
        <v>41</v>
      </c>
      <c r="B24" s="3">
        <f t="shared" si="0"/>
        <v>82</v>
      </c>
      <c r="C24" s="26">
        <f>'CN FD D'!C24-('CN FD A'!C24*'CN FD S'!C25/'CN FD alpha'!C25)</f>
        <v>-4894.7953347827133</v>
      </c>
      <c r="D24" s="26">
        <f>'CN FD D'!D24-('CN FD A'!D24*'CN FD S'!D25/'CN FD alpha'!D25)</f>
        <v>-4892.1356814184273</v>
      </c>
      <c r="E24" s="26">
        <f>'CN FD D'!E24-('CN FD A'!E24*'CN FD S'!E25/'CN FD alpha'!E25)</f>
        <v>-4889.4744330905505</v>
      </c>
      <c r="F24" s="26">
        <f>'CN FD D'!F24-('CN FD A'!F24*'CN FD S'!F25/'CN FD alpha'!F25)</f>
        <v>-4886.8115886438682</v>
      </c>
      <c r="G24" s="26">
        <f>'CN FD D'!G24-('CN FD A'!G24*'CN FD S'!G25/'CN FD alpha'!G25)</f>
        <v>-4884.1471469464914</v>
      </c>
      <c r="H24" s="26">
        <f>'CN FD D'!H24-('CN FD A'!H24*'CN FD S'!H25/'CN FD alpha'!H25)</f>
        <v>-4881.4811068878807</v>
      </c>
      <c r="I24" s="26">
        <f>'CN FD D'!I24-('CN FD A'!I24*'CN FD S'!I25/'CN FD alpha'!I25)</f>
        <v>-4878.81346737691</v>
      </c>
      <c r="J24" s="26">
        <f>'CN FD D'!J24-('CN FD A'!J24*'CN FD S'!J25/'CN FD alpha'!J25)</f>
        <v>-4876.1442273399844</v>
      </c>
      <c r="K24" s="26">
        <f>'CN FD D'!K24-('CN FD A'!K24*'CN FD S'!K25/'CN FD alpha'!K25)</f>
        <v>-4873.4733857192386</v>
      </c>
      <c r="L24" s="26">
        <f>'CN FD D'!L24-('CN FD A'!L24*'CN FD S'!L25/'CN FD alpha'!L25)</f>
        <v>-4870.8009414707994</v>
      </c>
      <c r="M24" s="26">
        <f>'CN FD D'!M24-('CN FD A'!M24*'CN FD S'!M25/'CN FD alpha'!M25)</f>
        <v>-4868.1268935631451</v>
      </c>
      <c r="N24" s="26">
        <f>'CN FD D'!N24-('CN FD A'!N24*'CN FD S'!N25/'CN FD alpha'!N25)</f>
        <v>-4865.4512409755635</v>
      </c>
      <c r="O24" s="26">
        <f>'CN FD D'!O24-('CN FD A'!O24*'CN FD S'!O25/'CN FD alpha'!O25)</f>
        <v>-4862.7739826967008</v>
      </c>
      <c r="P24" s="26">
        <f>'CN FD D'!P24-('CN FD A'!P24*'CN FD S'!P25/'CN FD alpha'!P25)</f>
        <v>-4860.0951177232364</v>
      </c>
      <c r="Q24" s="26">
        <f>'CN FD D'!Q24-('CN FD A'!Q24*'CN FD S'!Q25/'CN FD alpha'!Q25)</f>
        <v>-4857.414645058655</v>
      </c>
      <c r="R24" s="26">
        <f>'CN FD D'!R24-('CN FD A'!R24*'CN FD S'!R25/'CN FD alpha'!R25)</f>
        <v>-4854.7325637121357</v>
      </c>
      <c r="S24" s="26">
        <f>'CN FD D'!S24-('CN FD A'!S24*'CN FD S'!S25/'CN FD alpha'!S25)</f>
        <v>-4852.04887269756</v>
      </c>
      <c r="T24" s="26">
        <f>'CN FD D'!T24-('CN FD A'!T24*'CN FD S'!T25/'CN FD alpha'!T25)</f>
        <v>-4849.3635710326189</v>
      </c>
      <c r="U24" s="26">
        <f>'CN FD D'!U24-('CN FD A'!U24*'CN FD S'!U25/'CN FD alpha'!U25)</f>
        <v>-4846.676657738034</v>
      </c>
      <c r="V24" s="26">
        <f>'CN FD D'!V24-('CN FD A'!V24*'CN FD S'!V25/'CN FD alpha'!V25)</f>
        <v>-4843.9881318368834</v>
      </c>
      <c r="W24" s="26">
        <f>'CN FD D'!W24-('CN FD A'!W24*'CN FD S'!W25/'CN FD alpha'!W25)</f>
        <v>-4841.2979923540142</v>
      </c>
      <c r="X24" s="26">
        <f>'CN FD D'!X24-('CN FD A'!X24*'CN FD S'!X25/'CN FD alpha'!X25)</f>
        <v>-4838.6062383155577</v>
      </c>
      <c r="Y24" s="26">
        <f>'CN FD D'!Y24-('CN FD A'!Y24*'CN FD S'!Y25/'CN FD alpha'!Y25)</f>
        <v>-4835.9128687485118</v>
      </c>
      <c r="Z24" s="26">
        <f>'CN FD D'!Z24-('CN FD A'!Z24*'CN FD S'!Z25/'CN FD alpha'!Z25)</f>
        <v>-4833.2178826804029</v>
      </c>
      <c r="AA24" s="26">
        <f>'CN FD D'!AA24-('CN FD A'!AA24*'CN FD S'!AA25/'CN FD alpha'!AA25)</f>
        <v>-4830.5212791390222</v>
      </c>
      <c r="AB24" s="26">
        <f>'CN FD D'!AB24-('CN FD A'!AB24*'CN FD S'!AB25/'CN FD alpha'!AB25)</f>
        <v>-4827.8230571521926</v>
      </c>
      <c r="AC24" s="26">
        <f>'CN FD D'!AC24-('CN FD A'!AC24*'CN FD S'!AC25/'CN FD alpha'!AC25)</f>
        <v>-4825.1232157476124</v>
      </c>
      <c r="AD24" s="26">
        <f>'CN FD D'!AD24-('CN FD A'!AD24*'CN FD S'!AD25/'CN FD alpha'!AD25)</f>
        <v>-4822.4217539527135</v>
      </c>
      <c r="AE24" s="26">
        <f>'CN FD D'!AE24-('CN FD A'!AE24*'CN FD S'!AE25/'CN FD alpha'!AE25)</f>
        <v>-4819.7186707945712</v>
      </c>
      <c r="AF24" s="26">
        <f>'CN FD D'!AF24-('CN FD A'!AF24*'CN FD S'!AF25/'CN FD alpha'!AF25)</f>
        <v>-4817.0139652998305</v>
      </c>
      <c r="AG24" s="26">
        <f>'CN FD D'!AG24-('CN FD A'!AG24*'CN FD S'!AG25/'CN FD alpha'!AG25)</f>
        <v>-4814.3076364946537</v>
      </c>
      <c r="AH24" s="26">
        <f>'CN FD D'!AH24-('CN FD A'!AH24*'CN FD S'!AH25/'CN FD alpha'!AH25)</f>
        <v>-4811.5996834046828</v>
      </c>
      <c r="AI24" s="26">
        <f>'CN FD D'!AI24-('CN FD A'!AI24*'CN FD S'!AI25/'CN FD alpha'!AI25)</f>
        <v>-4808.8901050550212</v>
      </c>
      <c r="AJ24" s="26">
        <f>'CN FD D'!AJ24-('CN FD A'!AJ24*'CN FD S'!AJ25/'CN FD alpha'!AJ25)</f>
        <v>-4806.1789004702123</v>
      </c>
      <c r="AK24" s="26">
        <f>'CN FD D'!AK24-('CN FD A'!AK24*'CN FD S'!AK25/'CN FD alpha'!AK25)</f>
        <v>-4803.4660686742254</v>
      </c>
      <c r="AL24" s="26">
        <f>'CN FD D'!AL24-('CN FD A'!AL24*'CN FD S'!AL25/'CN FD alpha'!AL25)</f>
        <v>-4800.7516086904579</v>
      </c>
      <c r="AM24" s="26">
        <f>'CN FD D'!AM24-('CN FD A'!AM24*'CN FD S'!AM25/'CN FD alpha'!AM25)</f>
        <v>-4798.0355195417296</v>
      </c>
      <c r="AN24" s="26">
        <f>'CN FD D'!AN24-('CN FD A'!AN24*'CN FD S'!AN25/'CN FD alpha'!AN25)</f>
        <v>-4795.3178002502736</v>
      </c>
      <c r="AO24" s="26">
        <f>'CN FD D'!AO24-('CN FD A'!AO24*'CN FD S'!AO25/'CN FD alpha'!AO25)</f>
        <v>-4792.5984498377384</v>
      </c>
      <c r="AP24" s="26">
        <f>'CN FD D'!AP24-('CN FD A'!AP24*'CN FD S'!AP25/'CN FD alpha'!AP25)</f>
        <v>-4789.8774673251846</v>
      </c>
      <c r="AQ24" s="26">
        <f>'CN FD D'!AQ24-('CN FD A'!AQ24*'CN FD S'!AQ25/'CN FD alpha'!AQ25)</f>
        <v>-4787.1548517330893</v>
      </c>
      <c r="AR24" s="26">
        <f>'CN FD D'!AR24-('CN FD A'!AR24*'CN FD S'!AR25/'CN FD alpha'!AR25)</f>
        <v>-4784.4306020813374</v>
      </c>
      <c r="AS24" s="26">
        <f>'CN FD D'!AS24-('CN FD A'!AS24*'CN FD S'!AS25/'CN FD alpha'!AS25)</f>
        <v>-4781.7047173892233</v>
      </c>
      <c r="AT24" s="26">
        <f>'CN FD D'!AT24-('CN FD A'!AT24*'CN FD S'!AT25/'CN FD alpha'!AT25)</f>
        <v>-4778.9771966754479</v>
      </c>
      <c r="AU24" s="26">
        <f>'CN FD D'!AU24-('CN FD A'!AU24*'CN FD S'!AU25/'CN FD alpha'!AU25)</f>
        <v>-4776.2480389581215</v>
      </c>
      <c r="AV24" s="26">
        <f>'CN FD D'!AV24-('CN FD A'!AV24*'CN FD S'!AV25/'CN FD alpha'!AV25)</f>
        <v>-4773.5172432547561</v>
      </c>
      <c r="AW24" s="26">
        <f>'CN FD D'!AW24-('CN FD A'!AW24*'CN FD S'!AW25/'CN FD alpha'!AW25)</f>
        <v>-4770.7848085822725</v>
      </c>
      <c r="AX24" s="26">
        <f>'CN FD D'!AX24-('CN FD A'!AX24*'CN FD S'!AX25/'CN FD alpha'!AX25)</f>
        <v>-4768.0507339569976</v>
      </c>
      <c r="AY24" s="26">
        <f>'CN FD D'!AY24-('CN FD A'!AY24*'CN FD S'!AY25/'CN FD alpha'!AY25)</f>
        <v>-4765.3150183946673</v>
      </c>
      <c r="AZ24" s="26">
        <f>'CN FD D'!AZ24-('CN FD A'!AZ24*'CN FD S'!AZ25/'CN FD alpha'!AZ25)</f>
        <v>-4762.5776609104223</v>
      </c>
      <c r="BA24" s="6"/>
    </row>
    <row r="25" spans="1:53" x14ac:dyDescent="0.2">
      <c r="A25">
        <f t="shared" si="1"/>
        <v>40</v>
      </c>
      <c r="B25" s="3">
        <f t="shared" si="0"/>
        <v>80</v>
      </c>
      <c r="C25" s="26">
        <f>'CN FD D'!C25-('CN FD A'!C25*'CN FD S'!C26/'CN FD alpha'!C26)</f>
        <v>-4642.6404490809318</v>
      </c>
      <c r="D25" s="26">
        <f>'CN FD D'!D25-('CN FD A'!D25*'CN FD S'!D26/'CN FD alpha'!D26)</f>
        <v>-4639.9952054204014</v>
      </c>
      <c r="E25" s="26">
        <f>'CN FD D'!E25-('CN FD A'!E25*'CN FD S'!E26/'CN FD alpha'!E26)</f>
        <v>-4637.3483768035985</v>
      </c>
      <c r="F25" s="26">
        <f>'CN FD D'!F25-('CN FD A'!F25*'CN FD S'!F26/'CN FD alpha'!F26)</f>
        <v>-4634.6999619034295</v>
      </c>
      <c r="G25" s="26">
        <f>'CN FD D'!G25-('CN FD A'!G25*'CN FD S'!G26/'CN FD alpha'!G26)</f>
        <v>-4632.0499594332341</v>
      </c>
      <c r="H25" s="26">
        <f>'CN FD D'!H25-('CN FD A'!H25*'CN FD S'!H26/'CN FD alpha'!H26)</f>
        <v>-4629.3983681439822</v>
      </c>
      <c r="I25" s="26">
        <f>'CN FD D'!I25-('CN FD A'!I25*'CN FD S'!I26/'CN FD alpha'!I26)</f>
        <v>-4626.7451868214566</v>
      </c>
      <c r="J25" s="26">
        <f>'CN FD D'!J25-('CN FD A'!J25*'CN FD S'!J26/'CN FD alpha'!J26)</f>
        <v>-4624.0904142834515</v>
      </c>
      <c r="K25" s="26">
        <f>'CN FD D'!K25-('CN FD A'!K25*'CN FD S'!K26/'CN FD alpha'!K26)</f>
        <v>-4621.4340493770032</v>
      </c>
      <c r="L25" s="26">
        <f>'CN FD D'!L25-('CN FD A'!L25*'CN FD S'!L26/'CN FD alpha'!L26)</f>
        <v>-4618.7760909756744</v>
      </c>
      <c r="M25" s="26">
        <f>'CN FD D'!M25-('CN FD A'!M25*'CN FD S'!M26/'CN FD alpha'!M26)</f>
        <v>-4616.1165379769172</v>
      </c>
      <c r="N25" s="26">
        <f>'CN FD D'!N25-('CN FD A'!N25*'CN FD S'!N26/'CN FD alpha'!N26)</f>
        <v>-4613.4553892995336</v>
      </c>
      <c r="O25" s="26">
        <f>'CN FD D'!O25-('CN FD A'!O25*'CN FD S'!O26/'CN FD alpha'!O26)</f>
        <v>-4610.7926438812383</v>
      </c>
      <c r="P25" s="26">
        <f>'CN FD D'!P25-('CN FD A'!P25*'CN FD S'!P26/'CN FD alpha'!P26)</f>
        <v>-4608.1283006763642</v>
      </c>
      <c r="Q25" s="26">
        <f>'CN FD D'!Q25-('CN FD A'!Q25*'CN FD S'!Q26/'CN FD alpha'!Q26)</f>
        <v>-4605.4623586536973</v>
      </c>
      <c r="R25" s="26">
        <f>'CN FD D'!R25-('CN FD A'!R25*'CN FD S'!R26/'CN FD alpha'!R26)</f>
        <v>-4602.7948167944696</v>
      </c>
      <c r="S25" s="26">
        <f>'CN FD D'!S25-('CN FD A'!S25*'CN FD S'!S26/'CN FD alpha'!S26)</f>
        <v>-4600.1256740905083</v>
      </c>
      <c r="T25" s="26">
        <f>'CN FD D'!T25-('CN FD A'!T25*'CN FD S'!T26/'CN FD alpha'!T26)</f>
        <v>-4597.4549295425522</v>
      </c>
      <c r="U25" s="26">
        <f>'CN FD D'!U25-('CN FD A'!U25*'CN FD S'!U26/'CN FD alpha'!U26)</f>
        <v>-4594.7825821587321</v>
      </c>
      <c r="V25" s="26">
        <f>'CN FD D'!V25-('CN FD A'!V25*'CN FD S'!V26/'CN FD alpha'!V26)</f>
        <v>-4592.1086309532166</v>
      </c>
      <c r="W25" s="26">
        <f>'CN FD D'!W25-('CN FD A'!W25*'CN FD S'!W26/'CN FD alpha'!W26)</f>
        <v>-4589.4330749450219</v>
      </c>
      <c r="X25" s="26">
        <f>'CN FD D'!X25-('CN FD A'!X25*'CN FD S'!X26/'CN FD alpha'!X26)</f>
        <v>-4586.7559131569778</v>
      </c>
      <c r="Y25" s="26">
        <f>'CN FD D'!Y25-('CN FD A'!Y25*'CN FD S'!Y26/'CN FD alpha'!Y26)</f>
        <v>-4584.0771446148392</v>
      </c>
      <c r="Z25" s="26">
        <f>'CN FD D'!Z25-('CN FD A'!Z25*'CN FD S'!Z26/'CN FD alpha'!Z26)</f>
        <v>-4581.3967683465326</v>
      </c>
      <c r="AA25" s="26">
        <f>'CN FD D'!AA25-('CN FD A'!AA25*'CN FD S'!AA26/'CN FD alpha'!AA26)</f>
        <v>-4578.7147833815379</v>
      </c>
      <c r="AB25" s="26">
        <f>'CN FD D'!AB25-('CN FD A'!AB25*'CN FD S'!AB26/'CN FD alpha'!AB26)</f>
        <v>-4576.0311887503722</v>
      </c>
      <c r="AC25" s="26">
        <f>'CN FD D'!AC25-('CN FD A'!AC25*'CN FD S'!AC26/'CN FD alpha'!AC26)</f>
        <v>-4573.3459834841842</v>
      </c>
      <c r="AD25" s="26">
        <f>'CN FD D'!AD25-('CN FD A'!AD25*'CN FD S'!AD26/'CN FD alpha'!AD26)</f>
        <v>-4570.6591666144204</v>
      </c>
      <c r="AE25" s="26">
        <f>'CN FD D'!AE25-('CN FD A'!AE25*'CN FD S'!AE26/'CN FD alpha'!AE26)</f>
        <v>-4567.9707371725817</v>
      </c>
      <c r="AF25" s="26">
        <f>'CN FD D'!AF25-('CN FD A'!AF25*'CN FD S'!AF26/'CN FD alpha'!AF26)</f>
        <v>-4565.2806941900326</v>
      </c>
      <c r="AG25" s="26">
        <f>'CN FD D'!AG25-('CN FD A'!AG25*'CN FD S'!AG26/'CN FD alpha'!AG26)</f>
        <v>-4562.5890366978547</v>
      </c>
      <c r="AH25" s="26">
        <f>'CN FD D'!AH25-('CN FD A'!AH25*'CN FD S'!AH26/'CN FD alpha'!AH26)</f>
        <v>-4559.8957637267531</v>
      </c>
      <c r="AI25" s="26">
        <f>'CN FD D'!AI25-('CN FD A'!AI25*'CN FD S'!AI26/'CN FD alpha'!AI26)</f>
        <v>-4557.2008743069764</v>
      </c>
      <c r="AJ25" s="26">
        <f>'CN FD D'!AJ25-('CN FD A'!AJ25*'CN FD S'!AJ26/'CN FD alpha'!AJ26)</f>
        <v>-4554.5043674682765</v>
      </c>
      <c r="AK25" s="26">
        <f>'CN FD D'!AK25-('CN FD A'!AK25*'CN FD S'!AK26/'CN FD alpha'!AK26)</f>
        <v>-4551.8062422398689</v>
      </c>
      <c r="AL25" s="26">
        <f>'CN FD D'!AL25-('CN FD A'!AL25*'CN FD S'!AL26/'CN FD alpha'!AL26)</f>
        <v>-4549.1064976504167</v>
      </c>
      <c r="AM25" s="26">
        <f>'CN FD D'!AM25-('CN FD A'!AM25*'CN FD S'!AM26/'CN FD alpha'!AM26)</f>
        <v>-4546.405132728014</v>
      </c>
      <c r="AN25" s="26">
        <f>'CN FD D'!AN25-('CN FD A'!AN25*'CN FD S'!AN26/'CN FD alpha'!AN26)</f>
        <v>-4543.7021465001808</v>
      </c>
      <c r="AO25" s="26">
        <f>'CN FD D'!AO25-('CN FD A'!AO25*'CN FD S'!AO26/'CN FD alpha'!AO26)</f>
        <v>-4540.9975379938551</v>
      </c>
      <c r="AP25" s="26">
        <f>'CN FD D'!AP25-('CN FD A'!AP25*'CN FD S'!AP26/'CN FD alpha'!AP26)</f>
        <v>-4538.2913062353937</v>
      </c>
      <c r="AQ25" s="26">
        <f>'CN FD D'!AQ25-('CN FD A'!AQ25*'CN FD S'!AQ26/'CN FD alpha'!AQ26)</f>
        <v>-4535.5834502505668</v>
      </c>
      <c r="AR25" s="26">
        <f>'CN FD D'!AR25-('CN FD A'!AR25*'CN FD S'!AR26/'CN FD alpha'!AR26)</f>
        <v>-4532.8739690645589</v>
      </c>
      <c r="AS25" s="26">
        <f>'CN FD D'!AS25-('CN FD A'!AS25*'CN FD S'!AS26/'CN FD alpha'!AS26)</f>
        <v>-4530.1628617019687</v>
      </c>
      <c r="AT25" s="26">
        <f>'CN FD D'!AT25-('CN FD A'!AT25*'CN FD S'!AT26/'CN FD alpha'!AT26)</f>
        <v>-4527.450127186803</v>
      </c>
      <c r="AU25" s="26">
        <f>'CN FD D'!AU25-('CN FD A'!AU25*'CN FD S'!AU26/'CN FD alpha'!AU26)</f>
        <v>-4524.7357645424836</v>
      </c>
      <c r="AV25" s="26">
        <f>'CN FD D'!AV25-('CN FD A'!AV25*'CN FD S'!AV26/'CN FD alpha'!AV26)</f>
        <v>-4522.019772791843</v>
      </c>
      <c r="AW25" s="26">
        <f>'CN FD D'!AW25-('CN FD A'!AW25*'CN FD S'!AW26/'CN FD alpha'!AW26)</f>
        <v>-4519.3021509571263</v>
      </c>
      <c r="AX25" s="26">
        <f>'CN FD D'!AX25-('CN FD A'!AX25*'CN FD S'!AX26/'CN FD alpha'!AX26)</f>
        <v>-4516.5828980599899</v>
      </c>
      <c r="AY25" s="26">
        <f>'CN FD D'!AY25-('CN FD A'!AY25*'CN FD S'!AY26/'CN FD alpha'!AY26)</f>
        <v>-4513.8620131215021</v>
      </c>
      <c r="AZ25" s="26">
        <f>'CN FD D'!AZ25-('CN FD A'!AZ25*'CN FD S'!AZ26/'CN FD alpha'!AZ26)</f>
        <v>-4511.1394951621451</v>
      </c>
      <c r="BA25" s="6"/>
    </row>
    <row r="26" spans="1:53" x14ac:dyDescent="0.2">
      <c r="A26">
        <f t="shared" si="1"/>
        <v>39</v>
      </c>
      <c r="B26" s="3">
        <f t="shared" si="0"/>
        <v>78</v>
      </c>
      <c r="C26" s="26">
        <f>'CN FD D'!C26-('CN FD A'!C26*'CN FD S'!C27/'CN FD alpha'!C27)</f>
        <v>-4393.2977199812349</v>
      </c>
      <c r="D26" s="26">
        <f>'CN FD D'!D26-('CN FD A'!D26*'CN FD S'!D27/'CN FD alpha'!D27)</f>
        <v>-4390.666652318765</v>
      </c>
      <c r="E26" s="26">
        <f>'CN FD D'!E26-('CN FD A'!E26*'CN FD S'!E27/'CN FD alpha'!E27)</f>
        <v>-4388.0340109388144</v>
      </c>
      <c r="F26" s="26">
        <f>'CN FD D'!F26-('CN FD A'!F26*'CN FD S'!F27/'CN FD alpha'!F27)</f>
        <v>-4385.3997941935486</v>
      </c>
      <c r="G26" s="26">
        <f>'CN FD D'!G26-('CN FD A'!G26*'CN FD S'!G27/'CN FD alpha'!G27)</f>
        <v>-4382.7640005028725</v>
      </c>
      <c r="H26" s="26">
        <f>'CN FD D'!H26-('CN FD A'!H26*'CN FD S'!H27/'CN FD alpha'!H27)</f>
        <v>-4380.1266283508094</v>
      </c>
      <c r="I26" s="26">
        <f>'CN FD D'!I26-('CN FD A'!I26*'CN FD S'!I27/'CN FD alpha'!I27)</f>
        <v>-4377.4876762817366</v>
      </c>
      <c r="J26" s="26">
        <f>'CN FD D'!J26-('CN FD A'!J26*'CN FD S'!J27/'CN FD alpha'!J27)</f>
        <v>-4374.8471428965204</v>
      </c>
      <c r="K26" s="26">
        <f>'CN FD D'!K26-('CN FD A'!K26*'CN FD S'!K27/'CN FD alpha'!K27)</f>
        <v>-4372.2050268485718</v>
      </c>
      <c r="L26" s="26">
        <f>'CN FD D'!L26-('CN FD A'!L26*'CN FD S'!L27/'CN FD alpha'!L27)</f>
        <v>-4369.5613268398629</v>
      </c>
      <c r="M26" s="26">
        <f>'CN FD D'!M26-('CN FD A'!M26*'CN FD S'!M27/'CN FD alpha'!M27)</f>
        <v>-4366.916041616947</v>
      </c>
      <c r="N26" s="26">
        <f>'CN FD D'!N26-('CN FD A'!N26*'CN FD S'!N27/'CN FD alpha'!N27)</f>
        <v>-4364.269169967014</v>
      </c>
      <c r="O26" s="26">
        <f>'CN FD D'!O26-('CN FD A'!O26*'CN FD S'!O27/'CN FD alpha'!O27)</f>
        <v>-4361.620710714009</v>
      </c>
      <c r="P26" s="26">
        <f>'CN FD D'!P26-('CN FD A'!P26*'CN FD S'!P27/'CN FD alpha'!P27)</f>
        <v>-4358.9706627148607</v>
      </c>
      <c r="Q26" s="26">
        <f>'CN FD D'!Q26-('CN FD A'!Q26*'CN FD S'!Q27/'CN FD alpha'!Q27)</f>
        <v>-4356.3190248558467</v>
      </c>
      <c r="R26" s="26">
        <f>'CN FD D'!R26-('CN FD A'!R26*'CN FD S'!R27/'CN FD alpha'!R27)</f>
        <v>-4353.6657960491139</v>
      </c>
      <c r="S26" s="26">
        <f>'CN FD D'!S26-('CN FD A'!S26*'CN FD S'!S27/'CN FD alpha'!S27)</f>
        <v>-4351.0109752293965</v>
      </c>
      <c r="T26" s="26">
        <f>'CN FD D'!T26-('CN FD A'!T26*'CN FD S'!T27/'CN FD alpha'!T27)</f>
        <v>-4348.3545613509441</v>
      </c>
      <c r="U26" s="26">
        <f>'CN FD D'!U26-('CN FD A'!U26*'CN FD S'!U27/'CN FD alpha'!U27)</f>
        <v>-4345.6965533846742</v>
      </c>
      <c r="V26" s="26">
        <f>'CN FD D'!V26-('CN FD A'!V26*'CN FD S'!V27/'CN FD alpha'!V27)</f>
        <v>-4343.0369503155671</v>
      </c>
      <c r="W26" s="26">
        <f>'CN FD D'!W26-('CN FD A'!W26*'CN FD S'!W27/'CN FD alpha'!W27)</f>
        <v>-4340.3757511403091</v>
      </c>
      <c r="X26" s="26">
        <f>'CN FD D'!X26-('CN FD A'!X26*'CN FD S'!X27/'CN FD alpha'!X27)</f>
        <v>-4337.7129548651901</v>
      </c>
      <c r="Y26" s="26">
        <f>'CN FD D'!Y26-('CN FD A'!Y26*'CN FD S'!Y27/'CN FD alpha'!Y27)</f>
        <v>-4335.0485605042441</v>
      </c>
      <c r="Z26" s="26">
        <f>'CN FD D'!Z26-('CN FD A'!Z26*'CN FD S'!Z27/'CN FD alpha'!Z27)</f>
        <v>-4332.3825670776332</v>
      </c>
      <c r="AA26" s="26">
        <f>'CN FD D'!AA26-('CN FD A'!AA26*'CN FD S'!AA27/'CN FD alpha'!AA27)</f>
        <v>-4329.7149736102656</v>
      </c>
      <c r="AB26" s="26">
        <f>'CN FD D'!AB26-('CN FD A'!AB26*'CN FD S'!AB27/'CN FD alpha'!AB27)</f>
        <v>-4327.0457791306271</v>
      </c>
      <c r="AC26" s="26">
        <f>'CN FD D'!AC26-('CN FD A'!AC26*'CN FD S'!AC27/'CN FD alpha'!AC27)</f>
        <v>-4324.374982669814</v>
      </c>
      <c r="AD26" s="26">
        <f>'CN FD D'!AD26-('CN FD A'!AD26*'CN FD S'!AD27/'CN FD alpha'!AD27)</f>
        <v>-4321.7025832607405</v>
      </c>
      <c r="AE26" s="26">
        <f>'CN FD D'!AE26-('CN FD A'!AE26*'CN FD S'!AE27/'CN FD alpha'!AE27)</f>
        <v>-4319.0285799375124</v>
      </c>
      <c r="AF26" s="26">
        <f>'CN FD D'!AF26-('CN FD A'!AF26*'CN FD S'!AF27/'CN FD alpha'!AF27)</f>
        <v>-4316.3529717349302</v>
      </c>
      <c r="AG26" s="26">
        <f>'CN FD D'!AG26-('CN FD A'!AG26*'CN FD S'!AG27/'CN FD alpha'!AG27)</f>
        <v>-4313.6757576881137</v>
      </c>
      <c r="AH26" s="26">
        <f>'CN FD D'!AH26-('CN FD A'!AH26*'CN FD S'!AH27/'CN FD alpha'!AH27)</f>
        <v>-4310.9969368322181</v>
      </c>
      <c r="AI26" s="26">
        <f>'CN FD D'!AI26-('CN FD A'!AI26*'CN FD S'!AI27/'CN FD alpha'!AI27)</f>
        <v>-4308.3165082022315</v>
      </c>
      <c r="AJ26" s="26">
        <f>'CN FD D'!AJ26-('CN FD A'!AJ26*'CN FD S'!AJ27/'CN FD alpha'!AJ27)</f>
        <v>-4305.6344708328252</v>
      </c>
      <c r="AK26" s="26">
        <f>'CN FD D'!AK26-('CN FD A'!AK26*'CN FD S'!AK27/'CN FD alpha'!AK27)</f>
        <v>-4302.9508237582586</v>
      </c>
      <c r="AL26" s="26">
        <f>'CN FD D'!AL26-('CN FD A'!AL26*'CN FD S'!AL27/'CN FD alpha'!AL27)</f>
        <v>-4300.2655660123073</v>
      </c>
      <c r="AM26" s="26">
        <f>'CN FD D'!AM26-('CN FD A'!AM26*'CN FD S'!AM27/'CN FD alpha'!AM27)</f>
        <v>-4297.5786966282276</v>
      </c>
      <c r="AN26" s="26">
        <f>'CN FD D'!AN26-('CN FD A'!AN26*'CN FD S'!AN27/'CN FD alpha'!AN27)</f>
        <v>-4294.8902146387245</v>
      </c>
      <c r="AO26" s="26">
        <f>'CN FD D'!AO26-('CN FD A'!AO26*'CN FD S'!AO27/'CN FD alpha'!AO27)</f>
        <v>-4292.2001190759374</v>
      </c>
      <c r="AP26" s="26">
        <f>'CN FD D'!AP26-('CN FD A'!AP26*'CN FD S'!AP27/'CN FD alpha'!AP27)</f>
        <v>-4289.5084089714337</v>
      </c>
      <c r="AQ26" s="26">
        <f>'CN FD D'!AQ26-('CN FD A'!AQ26*'CN FD S'!AQ27/'CN FD alpha'!AQ27)</f>
        <v>-4286.8150833562013</v>
      </c>
      <c r="AR26" s="26">
        <f>'CN FD D'!AR26-('CN FD A'!AR26*'CN FD S'!AR27/'CN FD alpha'!AR27)</f>
        <v>-4284.120141260647</v>
      </c>
      <c r="AS26" s="26">
        <f>'CN FD D'!AS26-('CN FD A'!AS26*'CN FD S'!AS27/'CN FD alpha'!AS27)</f>
        <v>-4281.4235817145945</v>
      </c>
      <c r="AT26" s="26">
        <f>'CN FD D'!AT26-('CN FD A'!AT26*'CN FD S'!AT27/'CN FD alpha'!AT27)</f>
        <v>-4278.7254037472867</v>
      </c>
      <c r="AU26" s="26">
        <f>'CN FD D'!AU26-('CN FD A'!AU26*'CN FD S'!AU27/'CN FD alpha'!AU27)</f>
        <v>-4276.0256063873785</v>
      </c>
      <c r="AV26" s="26">
        <f>'CN FD D'!AV26-('CN FD A'!AV26*'CN FD S'!AV27/'CN FD alpha'!AV27)</f>
        <v>-4273.3241886629439</v>
      </c>
      <c r="AW26" s="26">
        <f>'CN FD D'!AW26-('CN FD A'!AW26*'CN FD S'!AW27/'CN FD alpha'!AW27)</f>
        <v>-4270.6211496014739</v>
      </c>
      <c r="AX26" s="26">
        <f>'CN FD D'!AX26-('CN FD A'!AX26*'CN FD S'!AX27/'CN FD alpha'!AX27)</f>
        <v>-4267.9164882298746</v>
      </c>
      <c r="AY26" s="26">
        <f>'CN FD D'!AY26-('CN FD A'!AY26*'CN FD S'!AY27/'CN FD alpha'!AY27)</f>
        <v>-4265.2102035744665</v>
      </c>
      <c r="AZ26" s="26">
        <f>'CN FD D'!AZ26-('CN FD A'!AZ26*'CN FD S'!AZ27/'CN FD alpha'!AZ27)</f>
        <v>-4262.5022946609879</v>
      </c>
      <c r="BA26" s="6"/>
    </row>
    <row r="27" spans="1:53" x14ac:dyDescent="0.2">
      <c r="A27">
        <f t="shared" si="1"/>
        <v>38</v>
      </c>
      <c r="B27" s="3">
        <f t="shared" si="0"/>
        <v>76</v>
      </c>
      <c r="C27" s="26">
        <f>'CN FD D'!C27-('CN FD A'!C27*'CN FD S'!C28/'CN FD alpha'!C28)</f>
        <v>-4146.720189471519</v>
      </c>
      <c r="D27" s="26">
        <f>'CN FD D'!D27-('CN FD A'!D27*'CN FD S'!D28/'CN FD alpha'!D28)</f>
        <v>-4144.103046441649</v>
      </c>
      <c r="E27" s="26">
        <f>'CN FD D'!E27-('CN FD A'!E27*'CN FD S'!E28/'CN FD alpha'!E28)</f>
        <v>-4141.4843434802842</v>
      </c>
      <c r="F27" s="26">
        <f>'CN FD D'!F27-('CN FD A'!F27*'CN FD S'!F28/'CN FD alpha'!F28)</f>
        <v>-4138.8640783577348</v>
      </c>
      <c r="G27" s="26">
        <f>'CN FD D'!G27-('CN FD A'!G27*'CN FD S'!G28/'CN FD alpha'!G28)</f>
        <v>-4136.2422489533674</v>
      </c>
      <c r="H27" s="26">
        <f>'CN FD D'!H27-('CN FD A'!H27*'CN FD S'!H28/'CN FD alpha'!H28)</f>
        <v>-4133.6188532516408</v>
      </c>
      <c r="I27" s="26">
        <f>'CN FD D'!I27-('CN FD A'!I27*'CN FD S'!I28/'CN FD alpha'!I28)</f>
        <v>-4130.9938893377421</v>
      </c>
      <c r="J27" s="26">
        <f>'CN FD D'!J27-('CN FD A'!J27*'CN FD S'!J28/'CN FD alpha'!J28)</f>
        <v>-4128.3673553928757</v>
      </c>
      <c r="K27" s="26">
        <f>'CN FD D'!K27-('CN FD A'!K27*'CN FD S'!K28/'CN FD alpha'!K28)</f>
        <v>-4125.7392496892462</v>
      </c>
      <c r="L27" s="26">
        <f>'CN FD D'!L27-('CN FD A'!L27*'CN FD S'!L28/'CN FD alpha'!L28)</f>
        <v>-4123.109570584782</v>
      </c>
      <c r="M27" s="26">
        <f>'CN FD D'!M27-('CN FD A'!M27*'CN FD S'!M28/'CN FD alpha'!M28)</f>
        <v>-4120.4783165176459</v>
      </c>
      <c r="N27" s="26">
        <f>'CN FD D'!N27-('CN FD A'!N27*'CN FD S'!N28/'CN FD alpha'!N28)</f>
        <v>-4117.8454860006022</v>
      </c>
      <c r="O27" s="26">
        <f>'CN FD D'!O27-('CN FD A'!O27*'CN FD S'!O28/'CN FD alpha'!O28)</f>
        <v>-4115.2110776152904</v>
      </c>
      <c r="P27" s="26">
        <f>'CN FD D'!P27-('CN FD A'!P27*'CN FD S'!P28/'CN FD alpha'!P28)</f>
        <v>-4112.5750900064613</v>
      </c>
      <c r="Q27" s="26">
        <f>'CN FD D'!Q27-('CN FD A'!Q27*'CN FD S'!Q28/'CN FD alpha'!Q28)</f>
        <v>-4109.9375218762452</v>
      </c>
      <c r="R27" s="26">
        <f>'CN FD D'!R27-('CN FD A'!R27*'CN FD S'!R28/'CN FD alpha'!R28)</f>
        <v>-4107.2983719785034</v>
      </c>
      <c r="S27" s="26">
        <f>'CN FD D'!S27-('CN FD A'!S27*'CN FD S'!S28/'CN FD alpha'!S28)</f>
        <v>-4104.6576391133176</v>
      </c>
      <c r="T27" s="26">
        <f>'CN FD D'!T27-('CN FD A'!T27*'CN FD S'!T28/'CN FD alpha'!T28)</f>
        <v>-4102.0153221216824</v>
      </c>
      <c r="U27" s="26">
        <f>'CN FD D'!U27-('CN FD A'!U27*'CN FD S'!U28/'CN FD alpha'!U28)</f>
        <v>-4099.3714198804382</v>
      </c>
      <c r="V27" s="26">
        <f>'CN FD D'!V27-('CN FD A'!V27*'CN FD S'!V28/'CN FD alpha'!V28)</f>
        <v>-4096.725931297492</v>
      </c>
      <c r="W27" s="26">
        <f>'CN FD D'!W27-('CN FD A'!W27*'CN FD S'!W28/'CN FD alpha'!W28)</f>
        <v>-4094.0788553073594</v>
      </c>
      <c r="X27" s="26">
        <f>'CN FD D'!X27-('CN FD A'!X27*'CN FD S'!X28/'CN FD alpha'!X28)</f>
        <v>-4091.430190867065</v>
      </c>
      <c r="Y27" s="26">
        <f>'CN FD D'!Y27-('CN FD A'!Y27*'CN FD S'!Y28/'CN FD alpha'!Y28)</f>
        <v>-4088.7799369524082</v>
      </c>
      <c r="Z27" s="26">
        <f>'CN FD D'!Z27-('CN FD A'!Z27*'CN FD S'!Z28/'CN FD alpha'!Z28)</f>
        <v>-4086.1280925546216</v>
      </c>
      <c r="AA27" s="26">
        <f>'CN FD D'!AA27-('CN FD A'!AA27*'CN FD S'!AA28/'CN FD alpha'!AA28)</f>
        <v>-4083.474656677407</v>
      </c>
      <c r="AB27" s="26">
        <f>'CN FD D'!AB27-('CN FD A'!AB27*'CN FD S'!AB28/'CN FD alpha'!AB28)</f>
        <v>-4080.8196283343632</v>
      </c>
      <c r="AC27" s="26">
        <f>'CN FD D'!AC27-('CN FD A'!AC27*'CN FD S'!AC28/'CN FD alpha'!AC28)</f>
        <v>-4078.1630065467734</v>
      </c>
      <c r="AD27" s="26">
        <f>'CN FD D'!AD27-('CN FD A'!AD27*'CN FD S'!AD28/'CN FD alpha'!AD28)</f>
        <v>-4075.5047903417531</v>
      </c>
      <c r="AE27" s="26">
        <f>'CN FD D'!AE27-('CN FD A'!AE27*'CN FD S'!AE28/'CN FD alpha'!AE28)</f>
        <v>-4072.8449787507052</v>
      </c>
      <c r="AF27" s="26">
        <f>'CN FD D'!AF27-('CN FD A'!AF27*'CN FD S'!AF28/'CN FD alpha'!AF28)</f>
        <v>-4070.1835708080785</v>
      </c>
      <c r="AG27" s="26">
        <f>'CN FD D'!AG27-('CN FD A'!AG27*'CN FD S'!AG28/'CN FD alpha'!AG28)</f>
        <v>-4067.5205655503773</v>
      </c>
      <c r="AH27" s="26">
        <f>'CN FD D'!AH27-('CN FD A'!AH27*'CN FD S'!AH28/'CN FD alpha'!AH28)</f>
        <v>-4064.8559620154001</v>
      </c>
      <c r="AI27" s="26">
        <f>'CN FD D'!AI27-('CN FD A'!AI27*'CN FD S'!AI28/'CN FD alpha'!AI28)</f>
        <v>-4062.1897592416562</v>
      </c>
      <c r="AJ27" s="26">
        <f>'CN FD D'!AJ27-('CN FD A'!AJ27*'CN FD S'!AJ28/'CN FD alpha'!AJ28)</f>
        <v>-4059.5219562679422</v>
      </c>
      <c r="AK27" s="26">
        <f>'CN FD D'!AK27-('CN FD A'!AK27*'CN FD S'!AK28/'CN FD alpha'!AK28)</f>
        <v>-4056.8525521330394</v>
      </c>
      <c r="AL27" s="26">
        <f>'CN FD D'!AL27-('CN FD A'!AL27*'CN FD S'!AL28/'CN FD alpha'!AL28)</f>
        <v>-4054.1815458755004</v>
      </c>
      <c r="AM27" s="26">
        <f>'CN FD D'!AM27-('CN FD A'!AM27*'CN FD S'!AM28/'CN FD alpha'!AM28)</f>
        <v>-4051.5089365335161</v>
      </c>
      <c r="AN27" s="26">
        <f>'CN FD D'!AN27-('CN FD A'!AN27*'CN FD S'!AN28/'CN FD alpha'!AN28)</f>
        <v>-4048.8347231448165</v>
      </c>
      <c r="AO27" s="26">
        <f>'CN FD D'!AO27-('CN FD A'!AO27*'CN FD S'!AO28/'CN FD alpha'!AO28)</f>
        <v>-4046.1589047466236</v>
      </c>
      <c r="AP27" s="26">
        <f>'CN FD D'!AP27-('CN FD A'!AP27*'CN FD S'!AP28/'CN FD alpha'!AP28)</f>
        <v>-4043.4814803756158</v>
      </c>
      <c r="AQ27" s="26">
        <f>'CN FD D'!AQ27-('CN FD A'!AQ27*'CN FD S'!AQ28/'CN FD alpha'!AQ28)</f>
        <v>-4040.8024490679086</v>
      </c>
      <c r="AR27" s="26">
        <f>'CN FD D'!AR27-('CN FD A'!AR27*'CN FD S'!AR28/'CN FD alpha'!AR28)</f>
        <v>-4038.1218098590471</v>
      </c>
      <c r="AS27" s="26">
        <f>'CN FD D'!AS27-('CN FD A'!AS27*'CN FD S'!AS28/'CN FD alpha'!AS28)</f>
        <v>-4035.4395617839996</v>
      </c>
      <c r="AT27" s="26">
        <f>'CN FD D'!AT27-('CN FD A'!AT27*'CN FD S'!AT28/'CN FD alpha'!AT28)</f>
        <v>-4032.755703877157</v>
      </c>
      <c r="AU27" s="26">
        <f>'CN FD D'!AU27-('CN FD A'!AU27*'CN FD S'!AU28/'CN FD alpha'!AU28)</f>
        <v>-4030.0702351723307</v>
      </c>
      <c r="AV27" s="26">
        <f>'CN FD D'!AV27-('CN FD A'!AV27*'CN FD S'!AV28/'CN FD alpha'!AV28)</f>
        <v>-4027.383154702753</v>
      </c>
      <c r="AW27" s="26">
        <f>'CN FD D'!AW27-('CN FD A'!AW27*'CN FD S'!AW28/'CN FD alpha'!AW28)</f>
        <v>-4024.694461501073</v>
      </c>
      <c r="AX27" s="26">
        <f>'CN FD D'!AX27-('CN FD A'!AX27*'CN FD S'!AX28/'CN FD alpha'!AX28)</f>
        <v>-4022.0041545993622</v>
      </c>
      <c r="AY27" s="26">
        <f>'CN FD D'!AY27-('CN FD A'!AY27*'CN FD S'!AY28/'CN FD alpha'!AY28)</f>
        <v>-4019.3122330291098</v>
      </c>
      <c r="AZ27" s="26">
        <f>'CN FD D'!AZ27-('CN FD A'!AZ27*'CN FD S'!AZ28/'CN FD alpha'!AZ28)</f>
        <v>-4016.6186958212243</v>
      </c>
      <c r="BA27" s="6"/>
    </row>
    <row r="28" spans="1:53" x14ac:dyDescent="0.2">
      <c r="A28">
        <f t="shared" si="1"/>
        <v>37</v>
      </c>
      <c r="B28" s="3">
        <f t="shared" si="0"/>
        <v>74</v>
      </c>
      <c r="C28" s="26">
        <f>'CN FD D'!C28-('CN FD A'!C28*'CN FD S'!C29/'CN FD alpha'!C29)</f>
        <v>-3902.8589337279345</v>
      </c>
      <c r="D28" s="26">
        <f>'CN FD D'!D28-('CN FD A'!D28*'CN FD S'!D29/'CN FD alpha'!D29)</f>
        <v>-3900.2554341084719</v>
      </c>
      <c r="E28" s="26">
        <f>'CN FD D'!E28-('CN FD A'!E28*'CN FD S'!E29/'CN FD alpha'!E29)</f>
        <v>-3897.650393400133</v>
      </c>
      <c r="F28" s="26">
        <f>'CN FD D'!F28-('CN FD A'!F28*'CN FD S'!F29/'CN FD alpha'!F29)</f>
        <v>-3895.0438083487497</v>
      </c>
      <c r="G28" s="26">
        <f>'CN FD D'!G28-('CN FD A'!G28*'CN FD S'!G29/'CN FD alpha'!G29)</f>
        <v>-3892.4356758671647</v>
      </c>
      <c r="H28" s="26">
        <f>'CN FD D'!H28-('CN FD A'!H28*'CN FD S'!H29/'CN FD alpha'!H29)</f>
        <v>-3889.8259930323375</v>
      </c>
      <c r="I28" s="26">
        <f>'CN FD D'!I28-('CN FD A'!I28*'CN FD S'!I29/'CN FD alpha'!I29)</f>
        <v>-3887.2147570816587</v>
      </c>
      <c r="J28" s="26">
        <f>'CN FD D'!J28-('CN FD A'!J28*'CN FD S'!J29/'CN FD alpha'!J29)</f>
        <v>-3884.6019654085094</v>
      </c>
      <c r="K28" s="26">
        <f>'CN FD D'!K28-('CN FD A'!K28*'CN FD S'!K29/'CN FD alpha'!K29)</f>
        <v>-3881.9876155570869</v>
      </c>
      <c r="L28" s="26">
        <f>'CN FD D'!L28-('CN FD A'!L28*'CN FD S'!L29/'CN FD alpha'!L29)</f>
        <v>-3879.3717052165603</v>
      </c>
      <c r="M28" s="26">
        <f>'CN FD D'!M28-('CN FD A'!M28*'CN FD S'!M29/'CN FD alpha'!M29)</f>
        <v>-3876.754232214601</v>
      </c>
      <c r="N28" s="26">
        <f>'CN FD D'!N28-('CN FD A'!N28*'CN FD S'!N29/'CN FD alpha'!N29)</f>
        <v>-3874.1351945103597</v>
      </c>
      <c r="O28" s="26">
        <f>'CN FD D'!O28-('CN FD A'!O28*'CN FD S'!O29/'CN FD alpha'!O29)</f>
        <v>-3871.5145901869714</v>
      </c>
      <c r="P28" s="26">
        <f>'CN FD D'!P28-('CN FD A'!P28*'CN FD S'!P29/'CN FD alpha'!P29)</f>
        <v>-3868.8924174436561</v>
      </c>
      <c r="Q28" s="26">
        <f>'CN FD D'!Q28-('CN FD A'!Q28*'CN FD S'!Q29/'CN FD alpha'!Q29)</f>
        <v>-3866.2686745875326</v>
      </c>
      <c r="R28" s="26">
        <f>'CN FD D'!R28-('CN FD A'!R28*'CN FD S'!R29/'CN FD alpha'!R29)</f>
        <v>-3863.6433600252058</v>
      </c>
      <c r="S28" s="26">
        <f>'CN FD D'!S28-('CN FD A'!S28*'CN FD S'!S29/'CN FD alpha'!S29)</f>
        <v>-3861.0164722542722</v>
      </c>
      <c r="T28" s="26">
        <f>'CN FD D'!T28-('CN FD A'!T28*'CN FD S'!T29/'CN FD alpha'!T29)</f>
        <v>-3858.3880098548034</v>
      </c>
      <c r="U28" s="26">
        <f>'CN FD D'!U28-('CN FD A'!U28*'CN FD S'!U29/'CN FD alpha'!U29)</f>
        <v>-3855.7579714809353</v>
      </c>
      <c r="V28" s="26">
        <f>'CN FD D'!V28-('CN FD A'!V28*'CN FD S'!V29/'CN FD alpha'!V29)</f>
        <v>-3853.1263558526539</v>
      </c>
      <c r="W28" s="26">
        <f>'CN FD D'!W28-('CN FD A'!W28*'CN FD S'!W29/'CN FD alpha'!W29)</f>
        <v>-3850.4931617478655</v>
      </c>
      <c r="X28" s="26">
        <f>'CN FD D'!X28-('CN FD A'!X28*'CN FD S'!X29/'CN FD alpha'!X29)</f>
        <v>-3847.858387994846</v>
      </c>
      <c r="Y28" s="26">
        <f>'CN FD D'!Y28-('CN FD A'!Y28*'CN FD S'!Y29/'CN FD alpha'!Y29)</f>
        <v>-3845.2220334651342</v>
      </c>
      <c r="Z28" s="26">
        <f>'CN FD D'!Z28-('CN FD A'!Z28*'CN FD S'!Z29/'CN FD alpha'!Z29)</f>
        <v>-3842.584097066941</v>
      </c>
      <c r="AA28" s="26">
        <f>'CN FD D'!AA28-('CN FD A'!AA28*'CN FD S'!AA29/'CN FD alpha'!AA29)</f>
        <v>-3839.944577739117</v>
      </c>
      <c r="AB28" s="26">
        <f>'CN FD D'!AB28-('CN FD A'!AB28*'CN FD S'!AB29/'CN FD alpha'!AB29)</f>
        <v>-3837.303474445715</v>
      </c>
      <c r="AC28" s="26">
        <f>'CN FD D'!AC28-('CN FD A'!AC28*'CN FD S'!AC29/'CN FD alpha'!AC29)</f>
        <v>-3834.6607861711632</v>
      </c>
      <c r="AD28" s="26">
        <f>'CN FD D'!AD28-('CN FD A'!AD28*'CN FD S'!AD29/'CN FD alpha'!AD29)</f>
        <v>-3832.0165119160542</v>
      </c>
      <c r="AE28" s="26">
        <f>'CN FD D'!AE28-('CN FD A'!AE28*'CN FD S'!AE29/'CN FD alpha'!AE29)</f>
        <v>-3829.3706506935396</v>
      </c>
      <c r="AF28" s="26">
        <f>'CN FD D'!AF28-('CN FD A'!AF28*'CN FD S'!AF29/'CN FD alpha'!AF29)</f>
        <v>-3826.7232015262875</v>
      </c>
      <c r="AG28" s="26">
        <f>'CN FD D'!AG28-('CN FD A'!AG28*'CN FD S'!AG29/'CN FD alpha'!AG29)</f>
        <v>-3824.0741634439855</v>
      </c>
      <c r="AH28" s="26">
        <f>'CN FD D'!AH28-('CN FD A'!AH28*'CN FD S'!AH29/'CN FD alpha'!AH29)</f>
        <v>-3821.4235354813277</v>
      </c>
      <c r="AI28" s="26">
        <f>'CN FD D'!AI28-('CN FD A'!AI28*'CN FD S'!AI29/'CN FD alpha'!AI29)</f>
        <v>-3818.7713166764256</v>
      </c>
      <c r="AJ28" s="26">
        <f>'CN FD D'!AJ28-('CN FD A'!AJ28*'CN FD S'!AJ29/'CN FD alpha'!AJ29)</f>
        <v>-3816.1175060695987</v>
      </c>
      <c r="AK28" s="26">
        <f>'CN FD D'!AK28-('CN FD A'!AK28*'CN FD S'!AK29/'CN FD alpha'!AK29)</f>
        <v>-3813.4621027024677</v>
      </c>
      <c r="AL28" s="26">
        <f>'CN FD D'!AL28-('CN FD A'!AL28*'CN FD S'!AL29/'CN FD alpha'!AL29)</f>
        <v>-3810.8051056173031</v>
      </c>
      <c r="AM28" s="26">
        <f>'CN FD D'!AM28-('CN FD A'!AM28*'CN FD S'!AM29/'CN FD alpha'!AM29)</f>
        <v>-3808.1465138565704</v>
      </c>
      <c r="AN28" s="26">
        <f>'CN FD D'!AN28-('CN FD A'!AN28*'CN FD S'!AN29/'CN FD alpha'!AN29)</f>
        <v>-3805.4863264626242</v>
      </c>
      <c r="AO28" s="26">
        <f>'CN FD D'!AO28-('CN FD A'!AO28*'CN FD S'!AO29/'CN FD alpha'!AO29)</f>
        <v>-3802.82454247751</v>
      </c>
      <c r="AP28" s="26">
        <f>'CN FD D'!AP28-('CN FD A'!AP28*'CN FD S'!AP29/'CN FD alpha'!AP29)</f>
        <v>-3800.1611609428473</v>
      </c>
      <c r="AQ28" s="26">
        <f>'CN FD D'!AQ28-('CN FD A'!AQ28*'CN FD S'!AQ29/'CN FD alpha'!AQ29)</f>
        <v>-3797.496180899755</v>
      </c>
      <c r="AR28" s="26">
        <f>'CN FD D'!AR28-('CN FD A'!AR28*'CN FD S'!AR29/'CN FD alpha'!AR29)</f>
        <v>-3794.829601388813</v>
      </c>
      <c r="AS28" s="26">
        <f>'CN FD D'!AS28-('CN FD A'!AS28*'CN FD S'!AS29/'CN FD alpha'!AS29)</f>
        <v>-3792.1614214500414</v>
      </c>
      <c r="AT28" s="26">
        <f>'CN FD D'!AT28-('CN FD A'!AT28*'CN FD S'!AT29/'CN FD alpha'!AT29)</f>
        <v>-3789.4916401228916</v>
      </c>
      <c r="AU28" s="26">
        <f>'CN FD D'!AU28-('CN FD A'!AU28*'CN FD S'!AU29/'CN FD alpha'!AU29)</f>
        <v>-3786.8202564462413</v>
      </c>
      <c r="AV28" s="26">
        <f>'CN FD D'!AV28-('CN FD A'!AV28*'CN FD S'!AV29/'CN FD alpha'!AV29)</f>
        <v>-3784.1472694583908</v>
      </c>
      <c r="AW28" s="26">
        <f>'CN FD D'!AW28-('CN FD A'!AW28*'CN FD S'!AW29/'CN FD alpha'!AW29)</f>
        <v>-3781.4726781970667</v>
      </c>
      <c r="AX28" s="26">
        <f>'CN FD D'!AX28-('CN FD A'!AX28*'CN FD S'!AX29/'CN FD alpha'!AX29)</f>
        <v>-3778.7964816994145</v>
      </c>
      <c r="AY28" s="26">
        <f>'CN FD D'!AY28-('CN FD A'!AY28*'CN FD S'!AY29/'CN FD alpha'!AY29)</f>
        <v>-3776.1186790020042</v>
      </c>
      <c r="AZ28" s="26">
        <f>'CN FD D'!AZ28-('CN FD A'!AZ28*'CN FD S'!AZ29/'CN FD alpha'!AZ29)</f>
        <v>-3773.4392691408257</v>
      </c>
      <c r="BA28" s="6"/>
    </row>
    <row r="29" spans="1:53" x14ac:dyDescent="0.2">
      <c r="A29">
        <f t="shared" si="1"/>
        <v>36</v>
      </c>
      <c r="B29" s="3">
        <f t="shared" si="0"/>
        <v>72</v>
      </c>
      <c r="C29" s="26">
        <f>'CN FD D'!C29-('CN FD A'!C29*'CN FD S'!C30/'CN FD alpha'!C30)</f>
        <v>-3661.6631059348911</v>
      </c>
      <c r="D29" s="26">
        <f>'CN FD D'!D29-('CN FD A'!D29*'CN FD S'!D30/'CN FD alpha'!D30)</f>
        <v>-3659.0729137745002</v>
      </c>
      <c r="E29" s="26">
        <f>'CN FD D'!E29-('CN FD A'!E29*'CN FD S'!E30/'CN FD alpha'!E30)</f>
        <v>-3656.4812090980413</v>
      </c>
      <c r="F29" s="26">
        <f>'CN FD D'!F29-('CN FD A'!F29*'CN FD S'!F30/'CN FD alpha'!F30)</f>
        <v>-3653.8879869092875</v>
      </c>
      <c r="G29" s="26">
        <f>'CN FD D'!G29-('CN FD A'!G29*'CN FD S'!G30/'CN FD alpha'!G30)</f>
        <v>-3651.2932424510632</v>
      </c>
      <c r="H29" s="26">
        <f>'CN FD D'!H29-('CN FD A'!H29*'CN FD S'!H30/'CN FD alpha'!H30)</f>
        <v>-3648.6969712065129</v>
      </c>
      <c r="I29" s="26">
        <f>'CN FD D'!I29-('CN FD A'!I29*'CN FD S'!I30/'CN FD alpha'!I30)</f>
        <v>-3646.0991688990575</v>
      </c>
      <c r="J29" s="26">
        <f>'CN FD D'!J29-('CN FD A'!J29*'CN FD S'!J30/'CN FD alpha'!J30)</f>
        <v>-3643.4998314910358</v>
      </c>
      <c r="K29" s="26">
        <f>'CN FD D'!K29-('CN FD A'!K29*'CN FD S'!K30/'CN FD alpha'!K30)</f>
        <v>-3640.8989551810078</v>
      </c>
      <c r="L29" s="26">
        <f>'CN FD D'!L29-('CN FD A'!L29*'CN FD S'!L30/'CN FD alpha'!L30)</f>
        <v>-3638.2965363997346</v>
      </c>
      <c r="M29" s="26">
        <f>'CN FD D'!M29-('CN FD A'!M29*'CN FD S'!M30/'CN FD alpha'!M30)</f>
        <v>-3635.6925718048592</v>
      </c>
      <c r="N29" s="26">
        <f>'CN FD D'!N29-('CN FD A'!N29*'CN FD S'!N30/'CN FD alpha'!N30)</f>
        <v>-3633.0870582743264</v>
      </c>
      <c r="O29" s="26">
        <f>'CN FD D'!O29-('CN FD A'!O29*'CN FD S'!O30/'CN FD alpha'!O30)</f>
        <v>-3630.479992898609</v>
      </c>
      <c r="P29" s="26">
        <f>'CN FD D'!P29-('CN FD A'!P29*'CN FD S'!P30/'CN FD alpha'!P30)</f>
        <v>-3627.8713729718243</v>
      </c>
      <c r="Q29" s="26">
        <f>'CN FD D'!Q29-('CN FD A'!Q29*'CN FD S'!Q30/'CN FD alpha'!Q30)</f>
        <v>-3625.2611959818337</v>
      </c>
      <c r="R29" s="26">
        <f>'CN FD D'!R29-('CN FD A'!R29*'CN FD S'!R30/'CN FD alpha'!R30)</f>
        <v>-3622.6494595994559</v>
      </c>
      <c r="S29" s="26">
        <f>'CN FD D'!S29-('CN FD A'!S29*'CN FD S'!S30/'CN FD alpha'!S30)</f>
        <v>-3620.0361616669256</v>
      </c>
      <c r="T29" s="26">
        <f>'CN FD D'!T29-('CN FD A'!T29*'CN FD S'!T30/'CN FD alpha'!T30)</f>
        <v>-3617.421300185747</v>
      </c>
      <c r="U29" s="26">
        <f>'CN FD D'!U29-('CN FD A'!U29*'CN FD S'!U30/'CN FD alpha'!U30)</f>
        <v>-3614.8048733041132</v>
      </c>
      <c r="V29" s="26">
        <f>'CN FD D'!V29-('CN FD A'!V29*'CN FD S'!V30/'CN FD alpha'!V30)</f>
        <v>-3612.1868793040571</v>
      </c>
      <c r="W29" s="26">
        <f>'CN FD D'!W29-('CN FD A'!W29*'CN FD S'!W30/'CN FD alpha'!W30)</f>
        <v>-3609.5673165885237</v>
      </c>
      <c r="X29" s="26">
        <f>'CN FD D'!X29-('CN FD A'!X29*'CN FD S'!X30/'CN FD alpha'!X30)</f>
        <v>-3606.9461836685327</v>
      </c>
      <c r="Y29" s="26">
        <f>'CN FD D'!Y29-('CN FD A'!Y29*'CN FD S'!Y30/'CN FD alpha'!Y30)</f>
        <v>-3604.3234791506129</v>
      </c>
      <c r="Z29" s="26">
        <f>'CN FD D'!Z29-('CN FD A'!Z29*'CN FD S'!Z30/'CN FD alpha'!Z30)</f>
        <v>-3601.6992017246739</v>
      </c>
      <c r="AA29" s="26">
        <f>'CN FD D'!AA29-('CN FD A'!AA29*'CN FD S'!AA30/'CN FD alpha'!AA30)</f>
        <v>-3599.0733501524705</v>
      </c>
      <c r="AB29" s="26">
        <f>'CN FD D'!AB29-('CN FD A'!AB29*'CN FD S'!AB30/'CN FD alpha'!AB30)</f>
        <v>-3596.4459232567942</v>
      </c>
      <c r="AC29" s="26">
        <f>'CN FD D'!AC29-('CN FD A'!AC29*'CN FD S'!AC30/'CN FD alpha'!AC30)</f>
        <v>-3593.8169199114936</v>
      </c>
      <c r="AD29" s="26">
        <f>'CN FD D'!AD29-('CN FD A'!AD29*'CN FD S'!AD30/'CN FD alpha'!AD30)</f>
        <v>-3591.1863390324338</v>
      </c>
      <c r="AE29" s="26">
        <f>'CN FD D'!AE29-('CN FD A'!AE29*'CN FD S'!AE30/'CN FD alpha'!AE30)</f>
        <v>-3588.554179569423</v>
      </c>
      <c r="AF29" s="26">
        <f>'CN FD D'!AF29-('CN FD A'!AF29*'CN FD S'!AF30/'CN FD alpha'!AF30)</f>
        <v>-3585.9204404991451</v>
      </c>
      <c r="AG29" s="26">
        <f>'CN FD D'!AG29-('CN FD A'!AG29*'CN FD S'!AG30/'CN FD alpha'!AG30)</f>
        <v>-3583.2851208191037</v>
      </c>
      <c r="AH29" s="26">
        <f>'CN FD D'!AH29-('CN FD A'!AH29*'CN FD S'!AH30/'CN FD alpha'!AH30)</f>
        <v>-3580.6482195425292</v>
      </c>
      <c r="AI29" s="26">
        <f>'CN FD D'!AI29-('CN FD A'!AI29*'CN FD S'!AI30/'CN FD alpha'!AI30)</f>
        <v>-3578.0097356941969</v>
      </c>
      <c r="AJ29" s="26">
        <f>'CN FD D'!AJ29-('CN FD A'!AJ29*'CN FD S'!AJ30/'CN FD alpha'!AJ30)</f>
        <v>-3575.3696683070884</v>
      </c>
      <c r="AK29" s="26">
        <f>'CN FD D'!AK29-('CN FD A'!AK29*'CN FD S'!AK30/'CN FD alpha'!AK30)</f>
        <v>-3572.7280164197796</v>
      </c>
      <c r="AL29" s="26">
        <f>'CN FD D'!AL29-('CN FD A'!AL29*'CN FD S'!AL30/'CN FD alpha'!AL30)</f>
        <v>-3570.0847790744779</v>
      </c>
      <c r="AM29" s="26">
        <f>'CN FD D'!AM29-('CN FD A'!AM29*'CN FD S'!AM30/'CN FD alpha'!AM30)</f>
        <v>-3567.4399553155754</v>
      </c>
      <c r="AN29" s="26">
        <f>'CN FD D'!AN29-('CN FD A'!AN29*'CN FD S'!AN30/'CN FD alpha'!AN30)</f>
        <v>-3564.7935441886361</v>
      </c>
      <c r="AO29" s="26">
        <f>'CN FD D'!AO29-('CN FD A'!AO29*'CN FD S'!AO30/'CN FD alpha'!AO30)</f>
        <v>-3562.1455447397066</v>
      </c>
      <c r="AP29" s="26">
        <f>'CN FD D'!AP29-('CN FD A'!AP29*'CN FD S'!AP30/'CN FD alpha'!AP30)</f>
        <v>-3559.4959560148654</v>
      </c>
      <c r="AQ29" s="26">
        <f>'CN FD D'!AQ29-('CN FD A'!AQ29*'CN FD S'!AQ30/'CN FD alpha'!AQ30)</f>
        <v>-3556.8447770599532</v>
      </c>
      <c r="AR29" s="26">
        <f>'CN FD D'!AR29-('CN FD A'!AR29*'CN FD S'!AR30/'CN FD alpha'!AR30)</f>
        <v>-3554.1920069204048</v>
      </c>
      <c r="AS29" s="26">
        <f>'CN FD D'!AS29-('CN FD A'!AS29*'CN FD S'!AS30/'CN FD alpha'!AS30)</f>
        <v>-3551.5376446411638</v>
      </c>
      <c r="AT29" s="26">
        <f>'CN FD D'!AT29-('CN FD A'!AT29*'CN FD S'!AT30/'CN FD alpha'!AT30)</f>
        <v>-3548.8816892666377</v>
      </c>
      <c r="AU29" s="26">
        <f>'CN FD D'!AU29-('CN FD A'!AU29*'CN FD S'!AU30/'CN FD alpha'!AU30)</f>
        <v>-3546.2241398406741</v>
      </c>
      <c r="AV29" s="26">
        <f>'CN FD D'!AV29-('CN FD A'!AV29*'CN FD S'!AV30/'CN FD alpha'!AV30)</f>
        <v>-3543.5649954065539</v>
      </c>
      <c r="AW29" s="26">
        <f>'CN FD D'!AW29-('CN FD A'!AW29*'CN FD S'!AW30/'CN FD alpha'!AW30)</f>
        <v>-3540.9042550069835</v>
      </c>
      <c r="AX29" s="26">
        <f>'CN FD D'!AX29-('CN FD A'!AX29*'CN FD S'!AX30/'CN FD alpha'!AX30)</f>
        <v>-3538.2419176840958</v>
      </c>
      <c r="AY29" s="26">
        <f>'CN FD D'!AY29-('CN FD A'!AY29*'CN FD S'!AY30/'CN FD alpha'!AY30)</f>
        <v>-3535.5779824794513</v>
      </c>
      <c r="AZ29" s="26">
        <f>'CN FD D'!AZ29-('CN FD A'!AZ29*'CN FD S'!AZ30/'CN FD alpha'!AZ30)</f>
        <v>-3532.9124484340314</v>
      </c>
      <c r="BA29" s="6"/>
    </row>
    <row r="30" spans="1:53" x14ac:dyDescent="0.2">
      <c r="A30">
        <f t="shared" si="1"/>
        <v>35</v>
      </c>
      <c r="B30" s="3">
        <f t="shared" si="0"/>
        <v>70</v>
      </c>
      <c r="C30" s="26">
        <f>'CN FD D'!C30-('CN FD A'!C30*'CN FD S'!C31/'CN FD alpha'!C31)</f>
        <v>-3423.0801166091796</v>
      </c>
      <c r="D30" s="26">
        <f>'CN FD D'!D30-('CN FD A'!D30*'CN FD S'!D31/'CN FD alpha'!D31)</f>
        <v>-3420.5027911191592</v>
      </c>
      <c r="E30" s="26">
        <f>'CN FD D'!E30-('CN FD A'!E30*'CN FD S'!E31/'CN FD alpha'!E31)</f>
        <v>-3417.9239998694102</v>
      </c>
      <c r="F30" s="26">
        <f>'CN FD D'!F30-('CN FD A'!F30*'CN FD S'!F31/'CN FD alpha'!F31)</f>
        <v>-3415.3437350267905</v>
      </c>
      <c r="G30" s="26">
        <f>'CN FD D'!G30-('CN FD A'!G30*'CN FD S'!G31/'CN FD alpha'!G31)</f>
        <v>-3412.761989067817</v>
      </c>
      <c r="H30" s="26">
        <f>'CN FD D'!H30-('CN FD A'!H30*'CN FD S'!H31/'CN FD alpha'!H31)</f>
        <v>-3410.1787547895192</v>
      </c>
      <c r="I30" s="26">
        <f>'CN FD D'!I30-('CN FD A'!I30*'CN FD S'!I31/'CN FD alpha'!I31)</f>
        <v>-3407.5940253185572</v>
      </c>
      <c r="J30" s="26">
        <f>'CN FD D'!J30-('CN FD A'!J30*'CN FD S'!J31/'CN FD alpha'!J31)</f>
        <v>-3405.0077941184791</v>
      </c>
      <c r="K30" s="26">
        <f>'CN FD D'!K30-('CN FD A'!K30*'CN FD S'!K31/'CN FD alpha'!K31)</f>
        <v>-3402.4200549949937</v>
      </c>
      <c r="L30" s="26">
        <f>'CN FD D'!L30-('CN FD A'!L30*'CN FD S'!L31/'CN FD alpha'!L31)</f>
        <v>-3399.8308020991567</v>
      </c>
      <c r="M30" s="26">
        <f>'CN FD D'!M30-('CN FD A'!M30*'CN FD S'!M31/'CN FD alpha'!M31)</f>
        <v>-3397.2400299283804</v>
      </c>
      <c r="N30" s="26">
        <f>'CN FD D'!N30-('CN FD A'!N30*'CN FD S'!N31/'CN FD alpha'!N31)</f>
        <v>-3394.647733325221</v>
      </c>
      <c r="O30" s="26">
        <f>'CN FD D'!O30-('CN FD A'!O30*'CN FD S'!O31/'CN FD alpha'!O31)</f>
        <v>-3392.0539074739013</v>
      </c>
      <c r="P30" s="26">
        <f>'CN FD D'!P30-('CN FD A'!P30*'CN FD S'!P31/'CN FD alpha'!P31)</f>
        <v>-3389.4585478945787</v>
      </c>
      <c r="Q30" s="26">
        <f>'CN FD D'!Q30-('CN FD A'!Q30*'CN FD S'!Q31/'CN FD alpha'!Q31)</f>
        <v>-3386.8616504354013</v>
      </c>
      <c r="R30" s="26">
        <f>'CN FD D'!R30-('CN FD A'!R30*'CN FD S'!R31/'CN FD alpha'!R31)</f>
        <v>-3384.2632112624106</v>
      </c>
      <c r="S30" s="26">
        <f>'CN FD D'!S30-('CN FD A'!S30*'CN FD S'!S31/'CN FD alpha'!S31)</f>
        <v>-3381.6632268474132</v>
      </c>
      <c r="T30" s="26">
        <f>'CN FD D'!T30-('CN FD A'!T30*'CN FD S'!T31/'CN FD alpha'!T31)</f>
        <v>-3379.0616939539782</v>
      </c>
      <c r="U30" s="26">
        <f>'CN FD D'!U30-('CN FD A'!U30*'CN FD S'!U31/'CN FD alpha'!U31)</f>
        <v>-3376.4586096217336</v>
      </c>
      <c r="V30" s="26">
        <f>'CN FD D'!V30-('CN FD A'!V30*'CN FD S'!V31/'CN FD alpha'!V31)</f>
        <v>-3373.8539711492026</v>
      </c>
      <c r="W30" s="26">
        <f>'CN FD D'!W30-('CN FD A'!W30*'CN FD S'!W31/'CN FD alpha'!W31)</f>
        <v>-3371.2477760754309</v>
      </c>
      <c r="X30" s="26">
        <f>'CN FD D'!X30-('CN FD A'!X30*'CN FD S'!X31/'CN FD alpha'!X31)</f>
        <v>-3368.6400221606964</v>
      </c>
      <c r="Y30" s="26">
        <f>'CN FD D'!Y30-('CN FD A'!Y30*'CN FD S'!Y31/'CN FD alpha'!Y31)</f>
        <v>-3366.0307073666099</v>
      </c>
      <c r="Z30" s="26">
        <f>'CN FD D'!Z30-('CN FD A'!Z30*'CN FD S'!Z31/'CN FD alpha'!Z31)</f>
        <v>-3363.4198298359329</v>
      </c>
      <c r="AA30" s="26">
        <f>'CN FD D'!AA30-('CN FD A'!AA30*'CN FD S'!AA31/'CN FD alpha'!AA31)</f>
        <v>-3360.8073878724417</v>
      </c>
      <c r="AB30" s="26">
        <f>'CN FD D'!AB30-('CN FD A'!AB30*'CN FD S'!AB31/'CN FD alpha'!AB31)</f>
        <v>-3358.1933799211647</v>
      </c>
      <c r="AC30" s="26">
        <f>'CN FD D'!AC30-('CN FD A'!AC30*'CN FD S'!AC31/'CN FD alpha'!AC31)</f>
        <v>-3355.5778045493139</v>
      </c>
      <c r="AD30" s="26">
        <f>'CN FD D'!AD30-('CN FD A'!AD30*'CN FD S'!AD31/'CN FD alpha'!AD31)</f>
        <v>-3352.9606604281807</v>
      </c>
      <c r="AE30" s="26">
        <f>'CN FD D'!AE30-('CN FD A'!AE30*'CN FD S'!AE31/'CN FD alpha'!AE31)</f>
        <v>-3350.3419463162591</v>
      </c>
      <c r="AF30" s="26">
        <f>'CN FD D'!AF30-('CN FD A'!AF30*'CN FD S'!AF31/'CN FD alpha'!AF31)</f>
        <v>-3347.7216610438009</v>
      </c>
      <c r="AG30" s="26">
        <f>'CN FD D'!AG30-('CN FD A'!AG30*'CN FD S'!AG31/'CN FD alpha'!AG31)</f>
        <v>-3345.0998034989457</v>
      </c>
      <c r="AH30" s="26">
        <f>'CN FD D'!AH30-('CN FD A'!AH30*'CN FD S'!AH31/'CN FD alpha'!AH31)</f>
        <v>-3342.476372615537</v>
      </c>
      <c r="AI30" s="26">
        <f>'CN FD D'!AI30-('CN FD A'!AI30*'CN FD S'!AI31/'CN FD alpha'!AI31)</f>
        <v>-3339.8513673626408</v>
      </c>
      <c r="AJ30" s="26">
        <f>'CN FD D'!AJ30-('CN FD A'!AJ30*'CN FD S'!AJ31/'CN FD alpha'!AJ31)</f>
        <v>-3337.224786735751</v>
      </c>
      <c r="AK30" s="26">
        <f>'CN FD D'!AK30-('CN FD A'!AK30*'CN FD S'!AK31/'CN FD alpha'!AK31)</f>
        <v>-3334.5966297496043</v>
      </c>
      <c r="AL30" s="26">
        <f>'CN FD D'!AL30-('CN FD A'!AL30*'CN FD S'!AL31/'CN FD alpha'!AL31)</f>
        <v>-3331.9668954324652</v>
      </c>
      <c r="AM30" s="26">
        <f>'CN FD D'!AM30-('CN FD A'!AM30*'CN FD S'!AM31/'CN FD alpha'!AM31)</f>
        <v>-3329.3355828217291</v>
      </c>
      <c r="AN30" s="26">
        <f>'CN FD D'!AN30-('CN FD A'!AN30*'CN FD S'!AN31/'CN FD alpha'!AN31)</f>
        <v>-3326.7026909606502</v>
      </c>
      <c r="AO30" s="26">
        <f>'CN FD D'!AO30-('CN FD A'!AO30*'CN FD S'!AO31/'CN FD alpha'!AO31)</f>
        <v>-3324.0682188960018</v>
      </c>
      <c r="AP30" s="26">
        <f>'CN FD D'!AP30-('CN FD A'!AP30*'CN FD S'!AP31/'CN FD alpha'!AP31)</f>
        <v>-3321.432165676465</v>
      </c>
      <c r="AQ30" s="26">
        <f>'CN FD D'!AQ30-('CN FD A'!AQ30*'CN FD S'!AQ31/'CN FD alpha'!AQ31)</f>
        <v>-3318.7945303515799</v>
      </c>
      <c r="AR30" s="26">
        <f>'CN FD D'!AR30-('CN FD A'!AR30*'CN FD S'!AR31/'CN FD alpha'!AR31)</f>
        <v>-3316.1553119710911</v>
      </c>
      <c r="AS30" s="26">
        <f>'CN FD D'!AS30-('CN FD A'!AS30*'CN FD S'!AS31/'CN FD alpha'!AS31)</f>
        <v>-3313.5145095845678</v>
      </c>
      <c r="AT30" s="26">
        <f>'CN FD D'!AT30-('CN FD A'!AT30*'CN FD S'!AT31/'CN FD alpha'!AT31)</f>
        <v>-3310.8721222411941</v>
      </c>
      <c r="AU30" s="26">
        <f>'CN FD D'!AU30-('CN FD A'!AU30*'CN FD S'!AU31/'CN FD alpha'!AU31)</f>
        <v>-3308.2281489896627</v>
      </c>
      <c r="AV30" s="26">
        <f>'CN FD D'!AV30-('CN FD A'!AV30*'CN FD S'!AV31/'CN FD alpha'!AV31)</f>
        <v>-3305.5825888781283</v>
      </c>
      <c r="AW30" s="26">
        <f>'CN FD D'!AW30-('CN FD A'!AW30*'CN FD S'!AW31/'CN FD alpha'!AW31)</f>
        <v>-3302.9354409541843</v>
      </c>
      <c r="AX30" s="26">
        <f>'CN FD D'!AX30-('CN FD A'!AX30*'CN FD S'!AX31/'CN FD alpha'!AX31)</f>
        <v>-3300.2867042648568</v>
      </c>
      <c r="AY30" s="26">
        <f>'CN FD D'!AY30-('CN FD A'!AY30*'CN FD S'!AY31/'CN FD alpha'!AY31)</f>
        <v>-3297.636377856601</v>
      </c>
      <c r="AZ30" s="26">
        <f>'CN FD D'!AZ30-('CN FD A'!AZ30*'CN FD S'!AZ31/'CN FD alpha'!AZ31)</f>
        <v>-3294.984460775298</v>
      </c>
      <c r="BA30" s="6"/>
    </row>
    <row r="31" spans="1:53" x14ac:dyDescent="0.2">
      <c r="A31">
        <f t="shared" si="1"/>
        <v>34</v>
      </c>
      <c r="B31" s="3">
        <f t="shared" si="0"/>
        <v>68</v>
      </c>
      <c r="C31" s="26">
        <f>'CN FD D'!C31-('CN FD A'!C31*'CN FD S'!C32/'CN FD alpha'!C32)</f>
        <v>-3187.0561110026915</v>
      </c>
      <c r="D31" s="26">
        <f>'CN FD D'!D31-('CN FD A'!D31*'CN FD S'!D32/'CN FD alpha'!D32)</f>
        <v>-3184.4910073640244</v>
      </c>
      <c r="E31" s="26">
        <f>'CN FD D'!E31-('CN FD A'!E31*'CN FD S'!E32/'CN FD alpha'!E32)</f>
        <v>-3181.9245176419145</v>
      </c>
      <c r="F31" s="26">
        <f>'CN FD D'!F31-('CN FD A'!F31*'CN FD S'!F32/'CN FD alpha'!F32)</f>
        <v>-3179.3566296377089</v>
      </c>
      <c r="G31" s="26">
        <f>'CN FD D'!G31-('CN FD A'!G31*'CN FD S'!G32/'CN FD alpha'!G32)</f>
        <v>-3176.7873314902217</v>
      </c>
      <c r="H31" s="26">
        <f>'CN FD D'!H31-('CN FD A'!H31*'CN FD S'!H32/'CN FD alpha'!H32)</f>
        <v>-3174.2166117039396</v>
      </c>
      <c r="I31" s="26">
        <f>'CN FD D'!I31-('CN FD A'!I31*'CN FD S'!I32/'CN FD alpha'!I32)</f>
        <v>-3171.6444591756376</v>
      </c>
      <c r="J31" s="26">
        <f>'CN FD D'!J31-('CN FD A'!J31*'CN FD S'!J32/'CN FD alpha'!J32)</f>
        <v>-3169.070863219094</v>
      </c>
      <c r="K31" s="26">
        <f>'CN FD D'!K31-('CN FD A'!K31*'CN FD S'!K32/'CN FD alpha'!K32)</f>
        <v>-3166.4958135875813</v>
      </c>
      <c r="L31" s="26">
        <f>'CN FD D'!L31-('CN FD A'!L31*'CN FD S'!L32/'CN FD alpha'!L32)</f>
        <v>-3163.919300493852</v>
      </c>
      <c r="M31" s="26">
        <f>'CN FD D'!M31-('CN FD A'!M31*'CN FD S'!M32/'CN FD alpha'!M32)</f>
        <v>-3161.3413146272951</v>
      </c>
      <c r="N31" s="26">
        <f>'CN FD D'!N31-('CN FD A'!N31*'CN FD S'!N32/'CN FD alpha'!N32)</f>
        <v>-3158.7618471680044</v>
      </c>
      <c r="O31" s="26">
        <f>'CN FD D'!O31-('CN FD A'!O31*'CN FD S'!O32/'CN FD alpha'!O32)</f>
        <v>-3156.1808897974875</v>
      </c>
      <c r="P31" s="26">
        <f>'CN FD D'!P31-('CN FD A'!P31*'CN FD S'!P32/'CN FD alpha'!P32)</f>
        <v>-3153.5984347058029</v>
      </c>
      <c r="Q31" s="26">
        <f>'CN FD D'!Q31-('CN FD A'!Q31*'CN FD S'!Q32/'CN FD alpha'!Q32)</f>
        <v>-3151.0144745949356</v>
      </c>
      <c r="R31" s="26">
        <f>'CN FD D'!R31-('CN FD A'!R31*'CN FD S'!R32/'CN FD alpha'!R32)</f>
        <v>-3148.4290026782778</v>
      </c>
      <c r="S31" s="26">
        <f>'CN FD D'!S31-('CN FD A'!S31*'CN FD S'!S32/'CN FD alpha'!S32)</f>
        <v>-3145.8420126761403</v>
      </c>
      <c r="T31" s="26">
        <f>'CN FD D'!T31-('CN FD A'!T31*'CN FD S'!T32/'CN FD alpha'!T32)</f>
        <v>-3143.2534988072675</v>
      </c>
      <c r="U31" s="26">
        <f>'CN FD D'!U31-('CN FD A'!U31*'CN FD S'!U32/'CN FD alpha'!U32)</f>
        <v>-3140.6634557764351</v>
      </c>
      <c r="V31" s="26">
        <f>'CN FD D'!V31-('CN FD A'!V31*'CN FD S'!V32/'CN FD alpha'!V32)</f>
        <v>-3138.071878758245</v>
      </c>
      <c r="W31" s="26">
        <f>'CN FD D'!W31-('CN FD A'!W31*'CN FD S'!W32/'CN FD alpha'!W32)</f>
        <v>-3135.4787633773435</v>
      </c>
      <c r="X31" s="26">
        <f>'CN FD D'!X31-('CN FD A'!X31*'CN FD S'!X32/'CN FD alpha'!X32)</f>
        <v>-3132.8841056853553</v>
      </c>
      <c r="Y31" s="26">
        <f>'CN FD D'!Y31-('CN FD A'!Y31*'CN FD S'!Y32/'CN FD alpha'!Y32)</f>
        <v>-3130.2879021349054</v>
      </c>
      <c r="Z31" s="26">
        <f>'CN FD D'!Z31-('CN FD A'!Z31*'CN FD S'!Z32/'CN FD alpha'!Z32)</f>
        <v>-3127.6901495511893</v>
      </c>
      <c r="AA31" s="26">
        <f>'CN FD D'!AA31-('CN FD A'!AA31*'CN FD S'!AA32/'CN FD alpha'!AA32)</f>
        <v>-3125.0908451016053</v>
      </c>
      <c r="AB31" s="26">
        <f>'CN FD D'!AB31-('CN FD A'!AB31*'CN FD S'!AB32/'CN FD alpha'!AB32)</f>
        <v>-3122.4899862640159</v>
      </c>
      <c r="AC31" s="26">
        <f>'CN FD D'!AC31-('CN FD A'!AC31*'CN FD S'!AC32/'CN FD alpha'!AC32)</f>
        <v>-3119.887570794273</v>
      </c>
      <c r="AD31" s="26">
        <f>'CN FD D'!AD31-('CN FD A'!AD31*'CN FD S'!AD32/'CN FD alpha'!AD32)</f>
        <v>-3117.2835966936141</v>
      </c>
      <c r="AE31" s="26">
        <f>'CN FD D'!AE31-('CN FD A'!AE31*'CN FD S'!AE32/'CN FD alpha'!AE32)</f>
        <v>-3114.6780621765911</v>
      </c>
      <c r="AF31" s="26">
        <f>'CN FD D'!AF31-('CN FD A'!AF31*'CN FD S'!AF32/'CN FD alpha'!AF32)</f>
        <v>-3112.0709656401173</v>
      </c>
      <c r="AG31" s="26">
        <f>'CN FD D'!AG31-('CN FD A'!AG31*'CN FD S'!AG32/'CN FD alpha'!AG32)</f>
        <v>-3109.4623056342034</v>
      </c>
      <c r="AH31" s="26">
        <f>'CN FD D'!AH31-('CN FD A'!AH31*'CN FD S'!AH32/'CN FD alpha'!AH32)</f>
        <v>-3106.8520808348694</v>
      </c>
      <c r="AI31" s="26">
        <f>'CN FD D'!AI31-('CN FD A'!AI31*'CN FD S'!AI32/'CN FD alpha'!AI32)</f>
        <v>-3104.2402900196093</v>
      </c>
      <c r="AJ31" s="26">
        <f>'CN FD D'!AJ31-('CN FD A'!AJ31*'CN FD S'!AJ32/'CN FD alpha'!AJ32)</f>
        <v>-3101.6269320457009</v>
      </c>
      <c r="AK31" s="26">
        <f>'CN FD D'!AK31-('CN FD A'!AK31*'CN FD S'!AK32/'CN FD alpha'!AK32)</f>
        <v>-3099.0120058315038</v>
      </c>
      <c r="AL31" s="26">
        <f>'CN FD D'!AL31-('CN FD A'!AL31*'CN FD S'!AL32/'CN FD alpha'!AL32)</f>
        <v>-3096.3955103407693</v>
      </c>
      <c r="AM31" s="26">
        <f>'CN FD D'!AM31-('CN FD A'!AM31*'CN FD S'!AM32/'CN FD alpha'!AM32)</f>
        <v>-3093.7774445698738</v>
      </c>
      <c r="AN31" s="26">
        <f>'CN FD D'!AN31-('CN FD A'!AN31*'CN FD S'!AN32/'CN FD alpha'!AN32)</f>
        <v>-3091.1578075377661</v>
      </c>
      <c r="AO31" s="26">
        <f>'CN FD D'!AO31-('CN FD A'!AO31*'CN FD S'!AO32/'CN FD alpha'!AO32)</f>
        <v>-3088.5365982783301</v>
      </c>
      <c r="AP31" s="26">
        <f>'CN FD D'!AP31-('CN FD A'!AP31*'CN FD S'!AP32/'CN FD alpha'!AP32)</f>
        <v>-3085.9138158348214</v>
      </c>
      <c r="AQ31" s="26">
        <f>'CN FD D'!AQ31-('CN FD A'!AQ31*'CN FD S'!AQ32/'CN FD alpha'!AQ32)</f>
        <v>-3083.2894592559869</v>
      </c>
      <c r="AR31" s="26">
        <f>'CN FD D'!AR31-('CN FD A'!AR31*'CN FD S'!AR32/'CN FD alpha'!AR32)</f>
        <v>-3080.6635275935014</v>
      </c>
      <c r="AS31" s="26">
        <f>'CN FD D'!AS31-('CN FD A'!AS31*'CN FD S'!AS32/'CN FD alpha'!AS32)</f>
        <v>-3078.0360199003576</v>
      </c>
      <c r="AT31" s="26">
        <f>'CN FD D'!AT31-('CN FD A'!AT31*'CN FD S'!AT32/'CN FD alpha'!AT32)</f>
        <v>-3075.4069352299307</v>
      </c>
      <c r="AU31" s="26">
        <f>'CN FD D'!AU31-('CN FD A'!AU31*'CN FD S'!AU32/'CN FD alpha'!AU32)</f>
        <v>-3072.7762726354654</v>
      </c>
      <c r="AV31" s="26">
        <f>'CN FD D'!AV31-('CN FD A'!AV31*'CN FD S'!AV32/'CN FD alpha'!AV32)</f>
        <v>-3070.1440311698238</v>
      </c>
      <c r="AW31" s="26">
        <f>'CN FD D'!AW31-('CN FD A'!AW31*'CN FD S'!AW32/'CN FD alpha'!AW32)</f>
        <v>-3067.5102098853677</v>
      </c>
      <c r="AX31" s="26">
        <f>'CN FD D'!AX31-('CN FD A'!AX31*'CN FD S'!AX32/'CN FD alpha'!AX32)</f>
        <v>-3064.8748078339131</v>
      </c>
      <c r="AY31" s="26">
        <f>'CN FD D'!AY31-('CN FD A'!AY31*'CN FD S'!AY32/'CN FD alpha'!AY32)</f>
        <v>-3062.2378240667135</v>
      </c>
      <c r="AZ31" s="26">
        <f>'CN FD D'!AZ31-('CN FD A'!AZ31*'CN FD S'!AZ32/'CN FD alpha'!AZ32)</f>
        <v>-3059.5992576344534</v>
      </c>
      <c r="BA31" s="6"/>
    </row>
    <row r="32" spans="1:53" x14ac:dyDescent="0.2">
      <c r="A32">
        <f t="shared" si="1"/>
        <v>33</v>
      </c>
      <c r="B32" s="3">
        <f t="shared" si="0"/>
        <v>66</v>
      </c>
      <c r="C32" s="26">
        <f>'CN FD D'!C32-('CN FD A'!C32*'CN FD S'!C33/'CN FD alpha'!C33)</f>
        <v>-2953.5370789317885</v>
      </c>
      <c r="D32" s="26">
        <f>'CN FD D'!D32-('CN FD A'!D32*'CN FD S'!D33/'CN FD alpha'!D33)</f>
        <v>-2950.9831563845469</v>
      </c>
      <c r="E32" s="26">
        <f>'CN FD D'!E32-('CN FD A'!E32*'CN FD S'!E33/'CN FD alpha'!E33)</f>
        <v>-2948.4279848334509</v>
      </c>
      <c r="F32" s="26">
        <f>'CN FD D'!F32-('CN FD A'!F32*'CN FD S'!F33/'CN FD alpha'!F33)</f>
        <v>-2945.8715458735237</v>
      </c>
      <c r="G32" s="26">
        <f>'CN FD D'!G32-('CN FD A'!G32*'CN FD S'!G33/'CN FD alpha'!G33)</f>
        <v>-2943.3138213388243</v>
      </c>
      <c r="H32" s="26">
        <f>'CN FD D'!H32-('CN FD A'!H32*'CN FD S'!H33/'CN FD alpha'!H33)</f>
        <v>-2940.7547933559626</v>
      </c>
      <c r="I32" s="26">
        <f>'CN FD D'!I32-('CN FD A'!I32*'CN FD S'!I33/'CN FD alpha'!I33)</f>
        <v>-2938.1944443975462</v>
      </c>
      <c r="J32" s="26">
        <f>'CN FD D'!J32-('CN FD A'!J32*'CN FD S'!J33/'CN FD alpha'!J33)</f>
        <v>-2935.6327573350636</v>
      </c>
      <c r="K32" s="26">
        <f>'CN FD D'!K32-('CN FD A'!K32*'CN FD S'!K33/'CN FD alpha'!K33)</f>
        <v>-2933.0697154906857</v>
      </c>
      <c r="L32" s="26">
        <f>'CN FD D'!L32-('CN FD A'!L32*'CN FD S'!L33/'CN FD alpha'!L33)</f>
        <v>-2930.5053026874393</v>
      </c>
      <c r="M32" s="26">
        <f>'CN FD D'!M32-('CN FD A'!M32*'CN FD S'!M33/'CN FD alpha'!M33)</f>
        <v>-2927.9395032971502</v>
      </c>
      <c r="N32" s="26">
        <f>'CN FD D'!N32-('CN FD A'!N32*'CN FD S'!N33/'CN FD alpha'!N33)</f>
        <v>-2925.3723022855506</v>
      </c>
      <c r="O32" s="26">
        <f>'CN FD D'!O32-('CN FD A'!O32*'CN FD S'!O33/'CN FD alpha'!O33)</f>
        <v>-2922.8036852539285</v>
      </c>
      <c r="P32" s="26">
        <f>'CN FD D'!P32-('CN FD A'!P32*'CN FD S'!P33/'CN FD alpha'!P33)</f>
        <v>-2920.2336384766731</v>
      </c>
      <c r="Q32" s="26">
        <f>'CN FD D'!Q32-('CN FD A'!Q32*'CN FD S'!Q33/'CN FD alpha'!Q33)</f>
        <v>-2917.6621489341173</v>
      </c>
      <c r="R32" s="26">
        <f>'CN FD D'!R32-('CN FD A'!R32*'CN FD S'!R33/'CN FD alpha'!R33)</f>
        <v>-2915.0892043400536</v>
      </c>
      <c r="S32" s="26">
        <f>'CN FD D'!S32-('CN FD A'!S32*'CN FD S'!S33/'CN FD alpha'!S33)</f>
        <v>-2912.5147931633878</v>
      </c>
      <c r="T32" s="26">
        <f>'CN FD D'!T32-('CN FD A'!T32*'CN FD S'!T33/'CN FD alpha'!T33)</f>
        <v>-2909.9389046434253</v>
      </c>
      <c r="U32" s="26">
        <f>'CN FD D'!U32-('CN FD A'!U32*'CN FD S'!U33/'CN FD alpha'!U33)</f>
        <v>-2907.3615287983662</v>
      </c>
      <c r="V32" s="26">
        <f>'CN FD D'!V32-('CN FD A'!V32*'CN FD S'!V33/'CN FD alpha'!V33)</f>
        <v>-2904.7826564267043</v>
      </c>
      <c r="W32" s="26">
        <f>'CN FD D'!W32-('CN FD A'!W32*'CN FD S'!W33/'CN FD alpha'!W33)</f>
        <v>-2902.2022791013223</v>
      </c>
      <c r="X32" s="26">
        <f>'CN FD D'!X32-('CN FD A'!X32*'CN FD S'!X33/'CN FD alpha'!X33)</f>
        <v>-2899.6203891562227</v>
      </c>
      <c r="Y32" s="26">
        <f>'CN FD D'!Y32-('CN FD A'!Y32*'CN FD S'!Y33/'CN FD alpha'!Y33)</f>
        <v>-2897.0369796659943</v>
      </c>
      <c r="Z32" s="26">
        <f>'CN FD D'!Z32-('CN FD A'!Z32*'CN FD S'!Z33/'CN FD alpha'!Z33)</f>
        <v>-2894.4520444182845</v>
      </c>
      <c r="AA32" s="26">
        <f>'CN FD D'!AA32-('CN FD A'!AA32*'CN FD S'!AA33/'CN FD alpha'!AA33)</f>
        <v>-2891.8655778797083</v>
      </c>
      <c r="AB32" s="26">
        <f>'CN FD D'!AB32-('CN FD A'!AB32*'CN FD S'!AB33/'CN FD alpha'!AB33)</f>
        <v>-2889.2775751558393</v>
      </c>
      <c r="AC32" s="26">
        <f>'CN FD D'!AC32-('CN FD A'!AC32*'CN FD S'!AC33/'CN FD alpha'!AC33)</f>
        <v>-2886.6880319460693</v>
      </c>
      <c r="AD32" s="26">
        <f>'CN FD D'!AD32-('CN FD A'!AD32*'CN FD S'!AD33/'CN FD alpha'!AD33)</f>
        <v>-2884.0969444943125</v>
      </c>
      <c r="AE32" s="26">
        <f>'CN FD D'!AE32-('CN FD A'!AE32*'CN FD S'!AE33/'CN FD alpha'!AE33)</f>
        <v>-2881.5043095366573</v>
      </c>
      <c r="AF32" s="26">
        <f>'CN FD D'!AF32-('CN FD A'!AF32*'CN FD S'!AF33/'CN FD alpha'!AF33)</f>
        <v>-2878.9101242471843</v>
      </c>
      <c r="AG32" s="26">
        <f>'CN FD D'!AG32-('CN FD A'!AG32*'CN FD S'!AG33/'CN FD alpha'!AG33)</f>
        <v>-2876.3143861832218</v>
      </c>
      <c r="AH32" s="26">
        <f>'CN FD D'!AH32-('CN FD A'!AH32*'CN FD S'!AH33/'CN FD alpha'!AH33)</f>
        <v>-2873.7170932313379</v>
      </c>
      <c r="AI32" s="26">
        <f>'CN FD D'!AI32-('CN FD A'!AI32*'CN FD S'!AI33/'CN FD alpha'!AI33)</f>
        <v>-2871.1182435553064</v>
      </c>
      <c r="AJ32" s="26">
        <f>'CN FD D'!AJ32-('CN FD A'!AJ32*'CN FD S'!AJ33/'CN FD alpha'!AJ33)</f>
        <v>-2868.5178355472085</v>
      </c>
      <c r="AK32" s="26">
        <f>'CN FD D'!AK32-('CN FD A'!AK32*'CN FD S'!AK33/'CN FD alpha'!AK33)</f>
        <v>-2865.9158677826149</v>
      </c>
      <c r="AL32" s="26">
        <f>'CN FD D'!AL32-('CN FD A'!AL32*'CN FD S'!AL33/'CN FD alpha'!AL33)</f>
        <v>-2863.3123389806487</v>
      </c>
      <c r="AM32" s="26">
        <f>'CN FD D'!AM32-('CN FD A'!AM32*'CN FD S'!AM33/'CN FD alpha'!AM33)</f>
        <v>-2860.7072479693948</v>
      </c>
      <c r="AN32" s="26">
        <f>'CN FD D'!AN32-('CN FD A'!AN32*'CN FD S'!AN33/'CN FD alpha'!AN33)</f>
        <v>-2858.1005936568968</v>
      </c>
      <c r="AO32" s="26">
        <f>'CN FD D'!AO32-('CN FD A'!AO32*'CN FD S'!AO33/'CN FD alpha'!AO33)</f>
        <v>-2855.4923750076773</v>
      </c>
      <c r="AP32" s="26">
        <f>'CN FD D'!AP32-('CN FD A'!AP32*'CN FD S'!AP33/'CN FD alpha'!AP33)</f>
        <v>-2852.8825910244445</v>
      </c>
      <c r="AQ32" s="26">
        <f>'CN FD D'!AQ32-('CN FD A'!AQ32*'CN FD S'!AQ33/'CN FD alpha'!AQ33)</f>
        <v>-2850.2712407344516</v>
      </c>
      <c r="AR32" s="26">
        <f>'CN FD D'!AR32-('CN FD A'!AR32*'CN FD S'!AR33/'CN FD alpha'!AR33)</f>
        <v>-2847.6583231798063</v>
      </c>
      <c r="AS32" s="26">
        <f>'CN FD D'!AS32-('CN FD A'!AS32*'CN FD S'!AS33/'CN FD alpha'!AS33)</f>
        <v>-2845.0438374109549</v>
      </c>
      <c r="AT32" s="26">
        <f>'CN FD D'!AT32-('CN FD A'!AT32*'CN FD S'!AT33/'CN FD alpha'!AT33)</f>
        <v>-2842.4277824825754</v>
      </c>
      <c r="AU32" s="26">
        <f>'CN FD D'!AU32-('CN FD A'!AU32*'CN FD S'!AU33/'CN FD alpha'!AU33)</f>
        <v>-2839.8101574511593</v>
      </c>
      <c r="AV32" s="26">
        <f>'CN FD D'!AV32-('CN FD A'!AV32*'CN FD S'!AV33/'CN FD alpha'!AV33)</f>
        <v>-2837.1909613737089</v>
      </c>
      <c r="AW32" s="26">
        <f>'CN FD D'!AW32-('CN FD A'!AW32*'CN FD S'!AW33/'CN FD alpha'!AW33)</f>
        <v>-2834.570193307095</v>
      </c>
      <c r="AX32" s="26">
        <f>'CN FD D'!AX32-('CN FD A'!AX32*'CN FD S'!AX33/'CN FD alpha'!AX33)</f>
        <v>-2831.9478523077801</v>
      </c>
      <c r="AY32" s="26">
        <f>'CN FD D'!AY32-('CN FD A'!AY32*'CN FD S'!AY33/'CN FD alpha'!AY33)</f>
        <v>-2829.323937431705</v>
      </c>
      <c r="AZ32" s="26">
        <f>'CN FD D'!AZ32-('CN FD A'!AZ32*'CN FD S'!AZ33/'CN FD alpha'!AZ33)</f>
        <v>-2826.698447734258</v>
      </c>
      <c r="BA32" s="6"/>
    </row>
    <row r="33" spans="1:53" x14ac:dyDescent="0.2">
      <c r="A33">
        <f t="shared" si="1"/>
        <v>32</v>
      </c>
      <c r="B33" s="3">
        <f t="shared" si="0"/>
        <v>64</v>
      </c>
      <c r="C33" s="26">
        <f>'CN FD D'!C33-('CN FD A'!C33*'CN FD S'!C34/'CN FD alpha'!C34)</f>
        <v>-2722.471287238378</v>
      </c>
      <c r="D33" s="26">
        <f>'CN FD D'!D33-('CN FD A'!D33*'CN FD S'!D34/'CN FD alpha'!D34)</f>
        <v>-2719.926748468286</v>
      </c>
      <c r="E33" s="26">
        <f>'CN FD D'!E33-('CN FD A'!E33*'CN FD S'!E34/'CN FD alpha'!E34)</f>
        <v>-2717.3811932683889</v>
      </c>
      <c r="F33" s="26">
        <f>'CN FD D'!F33-('CN FD A'!F33*'CN FD S'!F34/'CN FD alpha'!F34)</f>
        <v>-2714.834595430325</v>
      </c>
      <c r="G33" s="26">
        <f>'CN FD D'!G33-('CN FD A'!G33*'CN FD S'!G34/'CN FD alpha'!G34)</f>
        <v>-2712.2869286243117</v>
      </c>
      <c r="H33" s="26">
        <f>'CN FD D'!H33-('CN FD A'!H33*'CN FD S'!H34/'CN FD alpha'!H34)</f>
        <v>-2709.7381664795771</v>
      </c>
      <c r="I33" s="26">
        <f>'CN FD D'!I33-('CN FD A'!I33*'CN FD S'!I34/'CN FD alpha'!I34)</f>
        <v>-2707.1882826685433</v>
      </c>
      <c r="J33" s="26">
        <f>'CN FD D'!J33-('CN FD A'!J33*'CN FD S'!J34/'CN FD alpha'!J34)</f>
        <v>-2704.6372509942917</v>
      </c>
      <c r="K33" s="26">
        <f>'CN FD D'!K33-('CN FD A'!K33*'CN FD S'!K34/'CN FD alpha'!K34)</f>
        <v>-2702.0850454807469</v>
      </c>
      <c r="L33" s="26">
        <f>'CN FD D'!L33-('CN FD A'!L33*'CN FD S'!L34/'CN FD alpha'!L34)</f>
        <v>-2699.5316404649061</v>
      </c>
      <c r="M33" s="26">
        <f>'CN FD D'!M33-('CN FD A'!M33*'CN FD S'!M34/'CN FD alpha'!M34)</f>
        <v>-2696.9770106903597</v>
      </c>
      <c r="N33" s="26">
        <f>'CN FD D'!N33-('CN FD A'!N33*'CN FD S'!N34/'CN FD alpha'!N34)</f>
        <v>-2694.4211314012005</v>
      </c>
      <c r="O33" s="26">
        <f>'CN FD D'!O33-('CN FD A'!O33*'CN FD S'!O34/'CN FD alpha'!O34)</f>
        <v>-2691.86397843535</v>
      </c>
      <c r="P33" s="26">
        <f>'CN FD D'!P33-('CN FD A'!P33*'CN FD S'!P34/'CN FD alpha'!P34)</f>
        <v>-2689.3055283162203</v>
      </c>
      <c r="Q33" s="26">
        <f>'CN FD D'!Q33-('CN FD A'!Q33*'CN FD S'!Q34/'CN FD alpha'!Q34)</f>
        <v>-2686.7457583415257</v>
      </c>
      <c r="R33" s="26">
        <f>'CN FD D'!R33-('CN FD A'!R33*'CN FD S'!R34/'CN FD alpha'!R34)</f>
        <v>-2684.1846466679926</v>
      </c>
      <c r="S33" s="26">
        <f>'CN FD D'!S33-('CN FD A'!S33*'CN FD S'!S34/'CN FD alpha'!S34)</f>
        <v>-2681.6221723906565</v>
      </c>
      <c r="T33" s="26">
        <f>'CN FD D'!T33-('CN FD A'!T33*'CN FD S'!T34/'CN FD alpha'!T34)</f>
        <v>-2679.0583156153893</v>
      </c>
      <c r="U33" s="26">
        <f>'CN FD D'!U33-('CN FD A'!U33*'CN FD S'!U34/'CN FD alpha'!U34)</f>
        <v>-2676.4930575233006</v>
      </c>
      <c r="V33" s="26">
        <f>'CN FD D'!V33-('CN FD A'!V33*'CN FD S'!V34/'CN FD alpha'!V34)</f>
        <v>-2673.9263804256743</v>
      </c>
      <c r="W33" s="26">
        <f>'CN FD D'!W33-('CN FD A'!W33*'CN FD S'!W34/'CN FD alpha'!W34)</f>
        <v>-2671.3582678081862</v>
      </c>
      <c r="X33" s="26">
        <f>'CN FD D'!X33-('CN FD A'!X33*'CN FD S'!X34/'CN FD alpha'!X34)</f>
        <v>-2668.7887043632381</v>
      </c>
      <c r="Y33" s="26">
        <f>'CN FD D'!Y33-('CN FD A'!Y33*'CN FD S'!Y34/'CN FD alpha'!Y34)</f>
        <v>-2666.2176760094389</v>
      </c>
      <c r="Z33" s="26">
        <f>'CN FD D'!Z33-('CN FD A'!Z33*'CN FD S'!Z34/'CN FD alpha'!Z34)</f>
        <v>-2663.6451698974365</v>
      </c>
      <c r="AA33" s="26">
        <f>'CN FD D'!AA33-('CN FD A'!AA33*'CN FD S'!AA34/'CN FD alpha'!AA34)</f>
        <v>-2661.0711744016326</v>
      </c>
      <c r="AB33" s="26">
        <f>'CN FD D'!AB33-('CN FD A'!AB33*'CN FD S'!AB34/'CN FD alpha'!AB34)</f>
        <v>-2658.4956790975707</v>
      </c>
      <c r="AC33" s="26">
        <f>'CN FD D'!AC33-('CN FD A'!AC33*'CN FD S'!AC34/'CN FD alpha'!AC34)</f>
        <v>-2655.9186747252129</v>
      </c>
      <c r="AD33" s="26">
        <f>'CN FD D'!AD33-('CN FD A'!AD33*'CN FD S'!AD34/'CN FD alpha'!AD34)</f>
        <v>-2653.3401531386808</v>
      </c>
      <c r="AE33" s="26">
        <f>'CN FD D'!AE33-('CN FD A'!AE33*'CN FD S'!AE34/'CN FD alpha'!AE34)</f>
        <v>-2650.7601072434973</v>
      </c>
      <c r="AF33" s="26">
        <f>'CN FD D'!AF33-('CN FD A'!AF33*'CN FD S'!AF34/'CN FD alpha'!AF34)</f>
        <v>-2648.1785309227744</v>
      </c>
      <c r="AG33" s="26">
        <f>'CN FD D'!AG33-('CN FD A'!AG33*'CN FD S'!AG34/'CN FD alpha'!AG34)</f>
        <v>-2645.595418954224</v>
      </c>
      <c r="AH33" s="26">
        <f>'CN FD D'!AH33-('CN FD A'!AH33*'CN FD S'!AH34/'CN FD alpha'!AH34)</f>
        <v>-2643.0107669202257</v>
      </c>
      <c r="AI33" s="26">
        <f>'CN FD D'!AI33-('CN FD A'!AI33*'CN FD S'!AI34/'CN FD alpha'!AI34)</f>
        <v>-2640.4245711134931</v>
      </c>
      <c r="AJ33" s="26">
        <f>'CN FD D'!AJ33-('CN FD A'!AJ33*'CN FD S'!AJ34/'CN FD alpha'!AJ34)</f>
        <v>-2637.8368284410626</v>
      </c>
      <c r="AK33" s="26">
        <f>'CN FD D'!AK33-('CN FD A'!AK33*'CN FD S'!AK34/'CN FD alpha'!AK34)</f>
        <v>-2635.2475363294047</v>
      </c>
      <c r="AL33" s="26">
        <f>'CN FD D'!AL33-('CN FD A'!AL33*'CN FD S'!AL34/'CN FD alpha'!AL34)</f>
        <v>-2632.656692633368</v>
      </c>
      <c r="AM33" s="26">
        <f>'CN FD D'!AM33-('CN FD A'!AM33*'CN FD S'!AM34/'CN FD alpha'!AM34)</f>
        <v>-2630.0642955514118</v>
      </c>
      <c r="AN33" s="26">
        <f>'CN FD D'!AN33-('CN FD A'!AN33*'CN FD S'!AN34/'CN FD alpha'!AN34)</f>
        <v>-2627.4703435491942</v>
      </c>
      <c r="AO33" s="26">
        <f>'CN FD D'!AO33-('CN FD A'!AO33*'CN FD S'!AO34/'CN FD alpha'!AO34)</f>
        <v>-2624.8748352930243</v>
      </c>
      <c r="AP33" s="26">
        <f>'CN FD D'!AP33-('CN FD A'!AP33*'CN FD S'!AP34/'CN FD alpha'!AP34)</f>
        <v>-2622.2777695940486</v>
      </c>
      <c r="AQ33" s="26">
        <f>'CN FD D'!AQ33-('CN FD A'!AQ33*'CN FD S'!AQ34/'CN FD alpha'!AQ34)</f>
        <v>-2619.6791453633591</v>
      </c>
      <c r="AR33" s="26">
        <f>'CN FD D'!AR33-('CN FD A'!AR33*'CN FD S'!AR34/'CN FD alpha'!AR34)</f>
        <v>-2617.0789615775275</v>
      </c>
      <c r="AS33" s="26">
        <f>'CN FD D'!AS33-('CN FD A'!AS33*'CN FD S'!AS34/'CN FD alpha'!AS34)</f>
        <v>-2614.4772172535077</v>
      </c>
      <c r="AT33" s="26">
        <f>'CN FD D'!AT33-('CN FD A'!AT33*'CN FD S'!AT34/'CN FD alpha'!AT34)</f>
        <v>-2611.8739114314258</v>
      </c>
      <c r="AU33" s="26">
        <f>'CN FD D'!AU33-('CN FD A'!AU33*'CN FD S'!AU34/'CN FD alpha'!AU34)</f>
        <v>-2609.2690431635751</v>
      </c>
      <c r="AV33" s="26">
        <f>'CN FD D'!AV33-('CN FD A'!AV33*'CN FD S'!AV34/'CN FD alpha'!AV34)</f>
        <v>-2606.6626115079202</v>
      </c>
      <c r="AW33" s="26">
        <f>'CN FD D'!AW33-('CN FD A'!AW33*'CN FD S'!AW34/'CN FD alpha'!AW34)</f>
        <v>-2604.0546155246052</v>
      </c>
      <c r="AX33" s="26">
        <f>'CN FD D'!AX33-('CN FD A'!AX33*'CN FD S'!AX34/'CN FD alpha'!AX34)</f>
        <v>-2601.4450542742734</v>
      </c>
      <c r="AY33" s="26">
        <f>'CN FD D'!AY33-('CN FD A'!AY33*'CN FD S'!AY34/'CN FD alpha'!AY34)</f>
        <v>-2598.8339268173586</v>
      </c>
      <c r="AZ33" s="26">
        <f>'CN FD D'!AZ33-('CN FD A'!AZ33*'CN FD S'!AZ34/'CN FD alpha'!AZ34)</f>
        <v>-2596.2212322138298</v>
      </c>
      <c r="BA33" s="6"/>
    </row>
    <row r="34" spans="1:53" x14ac:dyDescent="0.2">
      <c r="A34">
        <f t="shared" si="1"/>
        <v>31</v>
      </c>
      <c r="B34" s="3">
        <f t="shared" si="0"/>
        <v>62</v>
      </c>
      <c r="C34" s="26">
        <f>'CN FD D'!C34-('CN FD A'!C34*'CN FD S'!C35/'CN FD alpha'!C35)</f>
        <v>-2493.8144180617687</v>
      </c>
      <c r="D34" s="26">
        <f>'CN FD D'!D34-('CN FD A'!D34*'CN FD S'!D35/'CN FD alpha'!D35)</f>
        <v>-2491.2760563724842</v>
      </c>
      <c r="E34" s="26">
        <f>'CN FD D'!E34-('CN FD A'!E34*'CN FD S'!E35/'CN FD alpha'!E35)</f>
        <v>-2488.7370601188868</v>
      </c>
      <c r="F34" s="26">
        <f>'CN FD D'!F34-('CN FD A'!F34*'CN FD S'!F35/'CN FD alpha'!F35)</f>
        <v>-2486.1973953262805</v>
      </c>
      <c r="G34" s="26">
        <f>'CN FD D'!G34-('CN FD A'!G34*'CN FD S'!G35/'CN FD alpha'!G35)</f>
        <v>-2483.6570271080523</v>
      </c>
      <c r="H34" s="26">
        <f>'CN FD D'!H34-('CN FD A'!H34*'CN FD S'!H35/'CN FD alpha'!H35)</f>
        <v>-2481.1159197555917</v>
      </c>
      <c r="I34" s="26">
        <f>'CN FD D'!I34-('CN FD A'!I34*'CN FD S'!I35/'CN FD alpha'!I35)</f>
        <v>-2478.5740368382608</v>
      </c>
      <c r="J34" s="26">
        <f>'CN FD D'!J34-('CN FD A'!J34*'CN FD S'!J35/'CN FD alpha'!J35)</f>
        <v>-2476.0313413134322</v>
      </c>
      <c r="K34" s="26">
        <f>'CN FD D'!K34-('CN FD A'!K34*'CN FD S'!K35/'CN FD alpha'!K35)</f>
        <v>-2473.4877956465075</v>
      </c>
      <c r="L34" s="26">
        <f>'CN FD D'!L34-('CN FD A'!L34*'CN FD S'!L35/'CN FD alpha'!L35)</f>
        <v>-2470.94336194065</v>
      </c>
      <c r="M34" s="26">
        <f>'CN FD D'!M34-('CN FD A'!M34*'CN FD S'!M35/'CN FD alpha'!M35)</f>
        <v>-2468.3980020758027</v>
      </c>
      <c r="N34" s="26">
        <f>'CN FD D'!N34-('CN FD A'!N34*'CN FD S'!N35/'CN FD alpha'!N35)</f>
        <v>-2465.8516778563594</v>
      </c>
      <c r="O34" s="26">
        <f>'CN FD D'!O34-('CN FD A'!O34*'CN FD S'!O35/'CN FD alpha'!O35)</f>
        <v>-2463.3043511666378</v>
      </c>
      <c r="P34" s="26">
        <f>'CN FD D'!P34-('CN FD A'!P34*'CN FD S'!P35/'CN FD alpha'!P35)</f>
        <v>-2460.7559841330572</v>
      </c>
      <c r="Q34" s="26">
        <f>'CN FD D'!Q34-('CN FD A'!Q34*'CN FD S'!Q35/'CN FD alpha'!Q35)</f>
        <v>-2458.2065392916884</v>
      </c>
      <c r="R34" s="26">
        <f>'CN FD D'!R34-('CN FD A'!R34*'CN FD S'!R35/'CN FD alpha'!R35)</f>
        <v>-2455.6559797595455</v>
      </c>
      <c r="S34" s="26">
        <f>'CN FD D'!S34-('CN FD A'!S34*'CN FD S'!S35/'CN FD alpha'!S35)</f>
        <v>-2453.104269407735</v>
      </c>
      <c r="T34" s="26">
        <f>'CN FD D'!T34-('CN FD A'!T34*'CN FD S'!T35/'CN FD alpha'!T35)</f>
        <v>-2450.5513730343</v>
      </c>
      <c r="U34" s="26">
        <f>'CN FD D'!U34-('CN FD A'!U34*'CN FD S'!U35/'CN FD alpha'!U35)</f>
        <v>-2447.9972565343214</v>
      </c>
      <c r="V34" s="26">
        <f>'CN FD D'!V34-('CN FD A'!V34*'CN FD S'!V35/'CN FD alpha'!V35)</f>
        <v>-2445.4418870646064</v>
      </c>
      <c r="W34" s="26">
        <f>'CN FD D'!W34-('CN FD A'!W34*'CN FD S'!W35/'CN FD alpha'!W35)</f>
        <v>-2442.8852332000793</v>
      </c>
      <c r="X34" s="26">
        <f>'CN FD D'!X34-('CN FD A'!X34*'CN FD S'!X35/'CN FD alpha'!X35)</f>
        <v>-2440.3272650788308</v>
      </c>
      <c r="Y34" s="26">
        <f>'CN FD D'!Y34-('CN FD A'!Y34*'CN FD S'!Y35/'CN FD alpha'!Y35)</f>
        <v>-2437.767954532696</v>
      </c>
      <c r="Z34" s="26">
        <f>'CN FD D'!Z34-('CN FD A'!Z34*'CN FD S'!Z35/'CN FD alpha'!Z35)</f>
        <v>-2435.2072752002236</v>
      </c>
      <c r="AA34" s="26">
        <f>'CN FD D'!AA34-('CN FD A'!AA34*'CN FD S'!AA35/'CN FD alpha'!AA35)</f>
        <v>-2432.6452026190009</v>
      </c>
      <c r="AB34" s="26">
        <f>'CN FD D'!AB34-('CN FD A'!AB34*'CN FD S'!AB35/'CN FD alpha'!AB35)</f>
        <v>-2430.081714294518</v>
      </c>
      <c r="AC34" s="26">
        <f>'CN FD D'!AC34-('CN FD A'!AC34*'CN FD S'!AC35/'CN FD alpha'!AC35)</f>
        <v>-2427.5167897431238</v>
      </c>
      <c r="AD34" s="26">
        <f>'CN FD D'!AD34-('CN FD A'!AD34*'CN FD S'!AD35/'CN FD alpha'!AD35)</f>
        <v>-2424.9504105071301</v>
      </c>
      <c r="AE34" s="26">
        <f>'CN FD D'!AE34-('CN FD A'!AE34*'CN FD S'!AE35/'CN FD alpha'!AE35)</f>
        <v>-2422.3825601407934</v>
      </c>
      <c r="AF34" s="26">
        <f>'CN FD D'!AF34-('CN FD A'!AF34*'CN FD S'!AF35/'CN FD alpha'!AF35)</f>
        <v>-2419.8132241667122</v>
      </c>
      <c r="AG34" s="26">
        <f>'CN FD D'!AG34-('CN FD A'!AG34*'CN FD S'!AG35/'CN FD alpha'!AG35)</f>
        <v>-2417.2423900031395</v>
      </c>
      <c r="AH34" s="26">
        <f>'CN FD D'!AH34-('CN FD A'!AH34*'CN FD S'!AH35/'CN FD alpha'!AH35)</f>
        <v>-2414.6700468637523</v>
      </c>
      <c r="AI34" s="26">
        <f>'CN FD D'!AI34-('CN FD A'!AI34*'CN FD S'!AI35/'CN FD alpha'!AI35)</f>
        <v>-2412.0961856325539</v>
      </c>
      <c r="AJ34" s="26">
        <f>'CN FD D'!AJ34-('CN FD A'!AJ34*'CN FD S'!AJ35/'CN FD alpha'!AJ35)</f>
        <v>-2409.5207987176877</v>
      </c>
      <c r="AK34" s="26">
        <f>'CN FD D'!AK34-('CN FD A'!AK34*'CN FD S'!AK35/'CN FD alpha'!AK35)</f>
        <v>-2406.9438798889664</v>
      </c>
      <c r="AL34" s="26">
        <f>'CN FD D'!AL34-('CN FD A'!AL34*'CN FD S'!AL35/'CN FD alpha'!AL35)</f>
        <v>-2404.3654241048025</v>
      </c>
      <c r="AM34" s="26">
        <f>'CN FD D'!AM34-('CN FD A'!AM34*'CN FD S'!AM35/'CN FD alpha'!AM35)</f>
        <v>-2401.7854273348048</v>
      </c>
      <c r="AN34" s="26">
        <f>'CN FD D'!AN34-('CN FD A'!AN34*'CN FD S'!AN35/'CN FD alpha'!AN35)</f>
        <v>-2399.2038863845473</v>
      </c>
      <c r="AO34" s="26">
        <f>'CN FD D'!AO34-('CN FD A'!AO34*'CN FD S'!AO35/'CN FD alpha'!AO35)</f>
        <v>-2396.6207987288194</v>
      </c>
      <c r="AP34" s="26">
        <f>'CN FD D'!AP34-('CN FD A'!AP34*'CN FD S'!AP35/'CN FD alpha'!AP35)</f>
        <v>-2394.0361623589974</v>
      </c>
      <c r="AQ34" s="26">
        <f>'CN FD D'!AQ34-('CN FD A'!AQ34*'CN FD S'!AQ35/'CN FD alpha'!AQ35)</f>
        <v>-2391.4499756490445</v>
      </c>
      <c r="AR34" s="26">
        <f>'CN FD D'!AR34-('CN FD A'!AR34*'CN FD S'!AR35/'CN FD alpha'!AR35)</f>
        <v>-2388.8622372431137</v>
      </c>
      <c r="AS34" s="26">
        <f>'CN FD D'!AS34-('CN FD A'!AS34*'CN FD S'!AS35/'CN FD alpha'!AS35)</f>
        <v>-2386.272945965964</v>
      </c>
      <c r="AT34" s="26">
        <f>'CN FD D'!AT34-('CN FD A'!AT34*'CN FD S'!AT35/'CN FD alpha'!AT35)</f>
        <v>-2383.6821007555723</v>
      </c>
      <c r="AU34" s="26">
        <f>'CN FD D'!AU34-('CN FD A'!AU34*'CN FD S'!AU35/'CN FD alpha'!AU35)</f>
        <v>-2381.089700615707</v>
      </c>
      <c r="AV34" s="26">
        <f>'CN FD D'!AV34-('CN FD A'!AV34*'CN FD S'!AV35/'CN FD alpha'!AV35)</f>
        <v>-2378.4957445850341</v>
      </c>
      <c r="AW34" s="26">
        <f>'CN FD D'!AW34-('CN FD A'!AW34*'CN FD S'!AW35/'CN FD alpha'!AW35)</f>
        <v>-2375.9002317187415</v>
      </c>
      <c r="AX34" s="26">
        <f>'CN FD D'!AX34-('CN FD A'!AX34*'CN FD S'!AX35/'CN FD alpha'!AX35)</f>
        <v>-2373.3031610787293</v>
      </c>
      <c r="AY34" s="26">
        <f>'CN FD D'!AY34-('CN FD A'!AY34*'CN FD S'!AY35/'CN FD alpha'!AY35)</f>
        <v>-2370.7045317290017</v>
      </c>
      <c r="AZ34" s="26">
        <f>'CN FD D'!AZ34-('CN FD A'!AZ34*'CN FD S'!AZ35/'CN FD alpha'!AZ35)</f>
        <v>-2368.1043427338154</v>
      </c>
      <c r="BA34" s="6"/>
    </row>
    <row r="35" spans="1:53" x14ac:dyDescent="0.2">
      <c r="A35">
        <f t="shared" si="1"/>
        <v>30</v>
      </c>
      <c r="B35" s="3">
        <f t="shared" si="0"/>
        <v>60</v>
      </c>
      <c r="C35" s="26">
        <f>'CN FD D'!C35-('CN FD A'!C35*'CN FD S'!C36/'CN FD alpha'!C36)</f>
        <v>-2267.5400916861745</v>
      </c>
      <c r="D35" s="26">
        <f>'CN FD D'!D35-('CN FD A'!D35*'CN FD S'!D36/'CN FD alpha'!D36)</f>
        <v>-2265.0021651600382</v>
      </c>
      <c r="E35" s="26">
        <f>'CN FD D'!E35-('CN FD A'!E35*'CN FD S'!E36/'CN FD alpha'!E36)</f>
        <v>-2262.4641997243134</v>
      </c>
      <c r="F35" s="26">
        <f>'CN FD D'!F35-('CN FD A'!F35*'CN FD S'!F36/'CN FD alpha'!F36)</f>
        <v>-2259.926157968986</v>
      </c>
      <c r="G35" s="26">
        <f>'CN FD D'!G35-('CN FD A'!G35*'CN FD S'!G36/'CN FD alpha'!G36)</f>
        <v>-2257.3880002462365</v>
      </c>
      <c r="H35" s="26">
        <f>'CN FD D'!H35-('CN FD A'!H35*'CN FD S'!H36/'CN FD alpha'!H36)</f>
        <v>-2254.8496847169176</v>
      </c>
      <c r="I35" s="26">
        <f>'CN FD D'!I35-('CN FD A'!I35*'CN FD S'!I36/'CN FD alpha'!I36)</f>
        <v>-2252.3111674134816</v>
      </c>
      <c r="J35" s="26">
        <f>'CN FD D'!J35-('CN FD A'!J35*'CN FD S'!J36/'CN FD alpha'!J36)</f>
        <v>-2249.7724023205901</v>
      </c>
      <c r="K35" s="26">
        <f>'CN FD D'!K35-('CN FD A'!K35*'CN FD S'!K36/'CN FD alpha'!K36)</f>
        <v>-2247.2333414745985</v>
      </c>
      <c r="L35" s="26">
        <f>'CN FD D'!L35-('CN FD A'!L35*'CN FD S'!L36/'CN FD alpha'!L36)</f>
        <v>-2244.6939350829985</v>
      </c>
      <c r="M35" s="26">
        <f>'CN FD D'!M35-('CN FD A'!M35*'CN FD S'!M36/'CN FD alpha'!M36)</f>
        <v>-2242.1541316647645</v>
      </c>
      <c r="N35" s="26">
        <f>'CN FD D'!N35-('CN FD A'!N35*'CN FD S'!N36/'CN FD alpha'!N36)</f>
        <v>-2239.6138782123876</v>
      </c>
      <c r="O35" s="26">
        <f>'CN FD D'!O35-('CN FD A'!O35*'CN FD S'!O36/'CN FD alpha'!O36)</f>
        <v>-2237.073120376117</v>
      </c>
      <c r="P35" s="26">
        <f>'CN FD D'!P35-('CN FD A'!P35*'CN FD S'!P36/'CN FD alpha'!P36)</f>
        <v>-2234.5318026706636</v>
      </c>
      <c r="Q35" s="26">
        <f>'CN FD D'!Q35-('CN FD A'!Q35*'CN FD S'!Q36/'CN FD alpha'!Q36)</f>
        <v>-2231.9898687042532</v>
      </c>
      <c r="R35" s="26">
        <f>'CN FD D'!R35-('CN FD A'!R35*'CN FD S'!R36/'CN FD alpha'!R36)</f>
        <v>-2229.44726142949</v>
      </c>
      <c r="S35" s="26">
        <f>'CN FD D'!S35-('CN FD A'!S35*'CN FD S'!S36/'CN FD alpha'!S36)</f>
        <v>-2226.9039234150141</v>
      </c>
      <c r="T35" s="26">
        <f>'CN FD D'!T35-('CN FD A'!T35*'CN FD S'!T36/'CN FD alpha'!T36)</f>
        <v>-2224.3597971363652</v>
      </c>
      <c r="U35" s="26">
        <f>'CN FD D'!U35-('CN FD A'!U35*'CN FD S'!U36/'CN FD alpha'!U36)</f>
        <v>-2221.8148252838332</v>
      </c>
      <c r="V35" s="26">
        <f>'CN FD D'!V35-('CN FD A'!V35*'CN FD S'!V36/'CN FD alpha'!V36)</f>
        <v>-2219.2689510843998</v>
      </c>
      <c r="W35" s="26">
        <f>'CN FD D'!W35-('CN FD A'!W35*'CN FD S'!W36/'CN FD alpha'!W36)</f>
        <v>-2216.7221186341199</v>
      </c>
      <c r="X35" s="26">
        <f>'CN FD D'!X35-('CN FD A'!X35*'CN FD S'!X36/'CN FD alpha'!X36)</f>
        <v>-2214.174273236526</v>
      </c>
      <c r="Y35" s="26">
        <f>'CN FD D'!Y35-('CN FD A'!Y35*'CN FD S'!Y36/'CN FD alpha'!Y36)</f>
        <v>-2211.625361741857</v>
      </c>
      <c r="Z35" s="26">
        <f>'CN FD D'!Z35-('CN FD A'!Z35*'CN FD S'!Z36/'CN FD alpha'!Z36)</f>
        <v>-2209.0753328811334</v>
      </c>
      <c r="AA35" s="26">
        <f>'CN FD D'!AA35-('CN FD A'!AA35*'CN FD S'!AA36/'CN FD alpha'!AA36)</f>
        <v>-2206.5241375884334</v>
      </c>
      <c r="AB35" s="26">
        <f>'CN FD D'!AB35-('CN FD A'!AB35*'CN FD S'!AB36/'CN FD alpha'!AB36)</f>
        <v>-2203.9717293040821</v>
      </c>
      <c r="AC35" s="26">
        <f>'CN FD D'!AC35-('CN FD A'!AC35*'CN FD S'!AC36/'CN FD alpha'!AC36)</f>
        <v>-2201.4180642510714</v>
      </c>
      <c r="AD35" s="26">
        <f>'CN FD D'!AD35-('CN FD A'!AD35*'CN FD S'!AD36/'CN FD alpha'!AD36)</f>
        <v>-2198.8631016768168</v>
      </c>
      <c r="AE35" s="26">
        <f>'CN FD D'!AE35-('CN FD A'!AE35*'CN FD S'!AE36/'CN FD alpha'!AE36)</f>
        <v>-2196.3068040524199</v>
      </c>
      <c r="AF35" s="26">
        <f>'CN FD D'!AF35-('CN FD A'!AF35*'CN FD S'!AF36/'CN FD alpha'!AF36)</f>
        <v>-2193.7491372220925</v>
      </c>
      <c r="AG35" s="26">
        <f>'CN FD D'!AG35-('CN FD A'!AG35*'CN FD S'!AG36/'CN FD alpha'!AG36)</f>
        <v>-2191.1900704962386</v>
      </c>
      <c r="AH35" s="26">
        <f>'CN FD D'!AH35-('CN FD A'!AH35*'CN FD S'!AH36/'CN FD alpha'!AH36)</f>
        <v>-2188.6295766830431</v>
      </c>
      <c r="AI35" s="26">
        <f>'CN FD D'!AI35-('CN FD A'!AI35*'CN FD S'!AI36/'CN FD alpha'!AI36)</f>
        <v>-2186.067632055257</v>
      </c>
      <c r="AJ35" s="26">
        <f>'CN FD D'!AJ35-('CN FD A'!AJ35*'CN FD S'!AJ36/'CN FD alpha'!AJ36)</f>
        <v>-2183.5042162511936</v>
      </c>
      <c r="AK35" s="26">
        <f>'CN FD D'!AK35-('CN FD A'!AK35*'CN FD S'!AK36/'CN FD alpha'!AK36)</f>
        <v>-2180.9393121117041</v>
      </c>
      <c r="AL35" s="26">
        <f>'CN FD D'!AL35-('CN FD A'!AL35*'CN FD S'!AL36/'CN FD alpha'!AL36)</f>
        <v>-2178.3729054579971</v>
      </c>
      <c r="AM35" s="26">
        <f>'CN FD D'!AM35-('CN FD A'!AM35*'CN FD S'!AM36/'CN FD alpha'!AM36)</f>
        <v>-2175.8049848183755</v>
      </c>
      <c r="AN35" s="26">
        <f>'CN FD D'!AN35-('CN FD A'!AN35*'CN FD S'!AN36/'CN FD alpha'!AN36)</f>
        <v>-2173.235541115087</v>
      </c>
      <c r="AO35" s="26">
        <f>'CN FD D'!AO35-('CN FD A'!AO35*'CN FD S'!AO36/'CN FD alpha'!AO36)</f>
        <v>-2170.664567325171</v>
      </c>
      <c r="AP35" s="26">
        <f>'CN FD D'!AP35-('CN FD A'!AP35*'CN FD S'!AP36/'CN FD alpha'!AP36)</f>
        <v>-2168.0920581311016</v>
      </c>
      <c r="AQ35" s="26">
        <f>'CN FD D'!AQ35-('CN FD A'!AQ35*'CN FD S'!AQ36/'CN FD alpha'!AQ36)</f>
        <v>-2165.5180095778223</v>
      </c>
      <c r="AR35" s="26">
        <f>'CN FD D'!AR35-('CN FD A'!AR35*'CN FD S'!AR36/'CN FD alpha'!AR36)</f>
        <v>-2162.9424187521158</v>
      </c>
      <c r="AS35" s="26">
        <f>'CN FD D'!AS35-('CN FD A'!AS35*'CN FD S'!AS36/'CN FD alpha'!AS36)</f>
        <v>-2160.3652834980398</v>
      </c>
      <c r="AT35" s="26">
        <f>'CN FD D'!AT35-('CN FD A'!AT35*'CN FD S'!AT36/'CN FD alpha'!AT36)</f>
        <v>-2157.7866021784084</v>
      </c>
      <c r="AU35" s="26">
        <f>'CN FD D'!AU35-('CN FD A'!AU35*'CN FD S'!AU36/'CN FD alpha'!AU36)</f>
        <v>-2155.2063734873859</v>
      </c>
      <c r="AV35" s="26">
        <f>'CN FD D'!AV35-('CN FD A'!AV35*'CN FD S'!AV36/'CN FD alpha'!AV36)</f>
        <v>-2152.6245963138435</v>
      </c>
      <c r="AW35" s="26">
        <f>'CN FD D'!AW35-('CN FD A'!AW35*'CN FD S'!AW36/'CN FD alpha'!AW36)</f>
        <v>-2150.0412696501012</v>
      </c>
      <c r="AX35" s="26">
        <f>'CN FD D'!AX35-('CN FD A'!AX35*'CN FD S'!AX36/'CN FD alpha'!AX36)</f>
        <v>-2147.4563925370476</v>
      </c>
      <c r="AY35" s="26">
        <f>'CN FD D'!AY35-('CN FD A'!AY35*'CN FD S'!AY36/'CN FD alpha'!AY36)</f>
        <v>-2144.8699640350492</v>
      </c>
      <c r="AZ35" s="26">
        <f>'CN FD D'!AZ35-('CN FD A'!AZ35*'CN FD S'!AZ36/'CN FD alpha'!AZ36)</f>
        <v>-2142.2819832107275</v>
      </c>
      <c r="BA35" s="6"/>
    </row>
    <row r="36" spans="1:53" x14ac:dyDescent="0.2">
      <c r="A36">
        <f t="shared" si="1"/>
        <v>29</v>
      </c>
      <c r="B36" s="3">
        <f t="shared" si="0"/>
        <v>58</v>
      </c>
      <c r="C36" s="26">
        <f>'CN FD D'!C36-('CN FD A'!C36*'CN FD S'!C37/'CN FD alpha'!C37)</f>
        <v>-2043.6607359858178</v>
      </c>
      <c r="D36" s="26">
        <f>'CN FD D'!D36-('CN FD A'!D36*'CN FD S'!D37/'CN FD alpha'!D37)</f>
        <v>-2041.1131491525214</v>
      </c>
      <c r="E36" s="26">
        <f>'CN FD D'!E36-('CN FD A'!E36*'CN FD S'!E37/'CN FD alpha'!E37)</f>
        <v>-2038.5663856116271</v>
      </c>
      <c r="F36" s="26">
        <f>'CN FD D'!F36-('CN FD A'!F36*'CN FD S'!F37/'CN FD alpha'!F37)</f>
        <v>-2036.0204171161477</v>
      </c>
      <c r="G36" s="26">
        <f>'CN FD D'!G36-('CN FD A'!G36*'CN FD S'!G37/'CN FD alpha'!G37)</f>
        <v>-2033.4752114970813</v>
      </c>
      <c r="H36" s="26">
        <f>'CN FD D'!H36-('CN FD A'!H36*'CN FD S'!H37/'CN FD alpha'!H37)</f>
        <v>-2030.930732570911</v>
      </c>
      <c r="I36" s="26">
        <f>'CN FD D'!I36-('CN FD A'!I36*'CN FD S'!I37/'CN FD alpha'!I37)</f>
        <v>-2028.3869400632959</v>
      </c>
      <c r="J36" s="26">
        <f>'CN FD D'!J36-('CN FD A'!J36*'CN FD S'!J37/'CN FD alpha'!J37)</f>
        <v>-2025.8437895517836</v>
      </c>
      <c r="K36" s="26">
        <f>'CN FD D'!K36-('CN FD A'!K36*'CN FD S'!K37/'CN FD alpha'!K37)</f>
        <v>-2023.3012324305839</v>
      </c>
      <c r="L36" s="26">
        <f>'CN FD D'!L36-('CN FD A'!L36*'CN FD S'!L37/'CN FD alpha'!L37)</f>
        <v>-2020.759215900619</v>
      </c>
      <c r="M36" s="26">
        <f>'CN FD D'!M36-('CN FD A'!M36*'CN FD S'!M37/'CN FD alpha'!M37)</f>
        <v>-2018.2176829882408</v>
      </c>
      <c r="N36" s="26">
        <f>'CN FD D'!N36-('CN FD A'!N36*'CN FD S'!N37/'CN FD alpha'!N37)</f>
        <v>-2015.6765725961181</v>
      </c>
      <c r="O36" s="26">
        <f>'CN FD D'!O36-('CN FD A'!O36*'CN FD S'!O37/'CN FD alpha'!O37)</f>
        <v>-2013.1358195898613</v>
      </c>
      <c r="P36" s="26">
        <f>'CN FD D'!P36-('CN FD A'!P36*'CN FD S'!P37/'CN FD alpha'!P37)</f>
        <v>-2010.595354923963</v>
      </c>
      <c r="Q36" s="26">
        <f>'CN FD D'!Q36-('CN FD A'!Q36*'CN FD S'!Q37/'CN FD alpha'!Q37)</f>
        <v>-2008.0551058105375</v>
      </c>
      <c r="R36" s="26">
        <f>'CN FD D'!R36-('CN FD A'!R36*'CN FD S'!R37/'CN FD alpha'!R37)</f>
        <v>-2005.5149959341522</v>
      </c>
      <c r="S36" s="26">
        <f>'CN FD D'!S36-('CN FD A'!S36*'CN FD S'!S37/'CN FD alpha'!S37)</f>
        <v>-2002.9749457157204</v>
      </c>
      <c r="T36" s="26">
        <f>'CN FD D'!T36-('CN FD A'!T36*'CN FD S'!T37/'CN FD alpha'!T37)</f>
        <v>-2000.4348726279577</v>
      </c>
      <c r="U36" s="26">
        <f>'CN FD D'!U36-('CN FD A'!U36*'CN FD S'!U37/'CN FD alpha'!U37)</f>
        <v>-1997.8946915642437</v>
      </c>
      <c r="V36" s="26">
        <f>'CN FD D'!V36-('CN FD A'!V36*'CN FD S'!V37/'CN FD alpha'!V37)</f>
        <v>-1995.3543152618831</v>
      </c>
      <c r="W36" s="26">
        <f>'CN FD D'!W36-('CN FD A'!W36*'CN FD S'!W37/'CN FD alpha'!W37)</f>
        <v>-1992.8136547796939</v>
      </c>
      <c r="X36" s="26">
        <f>'CN FD D'!X36-('CN FD A'!X36*'CN FD S'!X37/'CN FD alpha'!X37)</f>
        <v>-1990.2726200285251</v>
      </c>
      <c r="Y36" s="26">
        <f>'CN FD D'!Y36-('CN FD A'!Y36*'CN FD S'!Y37/'CN FD alpha'!Y37)</f>
        <v>-1987.7311203517456</v>
      </c>
      <c r="Z36" s="26">
        <f>'CN FD D'!Z36-('CN FD A'!Z36*'CN FD S'!Z37/'CN FD alpha'!Z37)</f>
        <v>-1985.1890651509295</v>
      </c>
      <c r="AA36" s="26">
        <f>'CN FD D'!AA36-('CN FD A'!AA36*'CN FD S'!AA37/'CN FD alpha'!AA37)</f>
        <v>-1982.6463645498986</v>
      </c>
      <c r="AB36" s="26">
        <f>'CN FD D'!AB36-('CN FD A'!AB36*'CN FD S'!AB37/'CN FD alpha'!AB37)</f>
        <v>-1980.1029300880159</v>
      </c>
      <c r="AC36" s="26">
        <f>'CN FD D'!AC36-('CN FD A'!AC36*'CN FD S'!AC37/'CN FD alpha'!AC37)</f>
        <v>-1977.5586754312048</v>
      </c>
      <c r="AD36" s="26">
        <f>'CN FD D'!AD36-('CN FD A'!AD36*'CN FD S'!AD37/'CN FD alpha'!AD37)</f>
        <v>-1975.0135170866722</v>
      </c>
      <c r="AE36" s="26">
        <f>'CN FD D'!AE36-('CN FD A'!AE36*'CN FD S'!AE37/'CN FD alpha'!AE37)</f>
        <v>-1972.4673751048808</v>
      </c>
      <c r="AF36" s="26">
        <f>'CN FD D'!AF36-('CN FD A'!AF36*'CN FD S'!AF37/'CN FD alpha'!AF37)</f>
        <v>-1969.920173750073</v>
      </c>
      <c r="AG36" s="26">
        <f>'CN FD D'!AG36-('CN FD A'!AG36*'CN FD S'!AG37/'CN FD alpha'!AG37)</f>
        <v>-1967.3718421188339</v>
      </c>
      <c r="AH36" s="26">
        <f>'CN FD D'!AH36-('CN FD A'!AH36*'CN FD S'!AH37/'CN FD alpha'!AH37)</f>
        <v>-1964.8223146849853</v>
      </c>
      <c r="AI36" s="26">
        <f>'CN FD D'!AI36-('CN FD A'!AI36*'CN FD S'!AI37/'CN FD alpha'!AI37)</f>
        <v>-1962.2715317488266</v>
      </c>
      <c r="AJ36" s="26">
        <f>'CN FD D'!AJ36-('CN FD A'!AJ36*'CN FD S'!AJ37/'CN FD alpha'!AJ37)</f>
        <v>-1959.7194397696662</v>
      </c>
      <c r="AK36" s="26">
        <f>'CN FD D'!AK36-('CN FD A'!AK36*'CN FD S'!AK37/'CN FD alpha'!AK37)</f>
        <v>-1957.1659915629607</v>
      </c>
      <c r="AL36" s="26">
        <f>'CN FD D'!AL36-('CN FD A'!AL36*'CN FD S'!AL37/'CN FD alpha'!AL37)</f>
        <v>-1954.6111463474704</v>
      </c>
      <c r="AM36" s="26">
        <f>'CN FD D'!AM36-('CN FD A'!AM36*'CN FD S'!AM37/'CN FD alpha'!AM37)</f>
        <v>-1952.0548696337587</v>
      </c>
      <c r="AN36" s="26">
        <f>'CN FD D'!AN36-('CN FD A'!AN36*'CN FD S'!AN37/'CN FD alpha'!AN37)</f>
        <v>-1949.4971329530988</v>
      </c>
      <c r="AO36" s="26">
        <f>'CN FD D'!AO36-('CN FD A'!AO36*'CN FD S'!AO37/'CN FD alpha'!AO37)</f>
        <v>-1946.9379134351327</v>
      </c>
      <c r="AP36" s="26">
        <f>'CN FD D'!AP36-('CN FD A'!AP36*'CN FD S'!AP37/'CN FD alpha'!AP37)</f>
        <v>-1944.3771932529539</v>
      </c>
      <c r="AQ36" s="26">
        <f>'CN FD D'!AQ36-('CN FD A'!AQ36*'CN FD S'!AQ37/'CN FD alpha'!AQ37)</f>
        <v>-1941.8149589647103</v>
      </c>
      <c r="AR36" s="26">
        <f>'CN FD D'!AR36-('CN FD A'!AR36*'CN FD S'!AR37/'CN FD alpha'!AR37)</f>
        <v>-1939.2512007901253</v>
      </c>
      <c r="AS36" s="26">
        <f>'CN FD D'!AS36-('CN FD A'!AS36*'CN FD S'!AS37/'CN FD alpha'!AS37)</f>
        <v>-1936.6859118670063</v>
      </c>
      <c r="AT36" s="26">
        <f>'CN FD D'!AT36-('CN FD A'!AT36*'CN FD S'!AT37/'CN FD alpha'!AT37)</f>
        <v>-1934.119087535187</v>
      </c>
      <c r="AU36" s="26">
        <f>'CN FD D'!AU36-('CN FD A'!AU36*'CN FD S'!AU37/'CN FD alpha'!AU37)</f>
        <v>-1931.5507246921063</v>
      </c>
      <c r="AV36" s="26">
        <f>'CN FD D'!AV36-('CN FD A'!AV36*'CN FD S'!AV37/'CN FD alpha'!AV37)</f>
        <v>-1928.980821254713</v>
      </c>
      <c r="AW36" s="26">
        <f>'CN FD D'!AW36-('CN FD A'!AW36*'CN FD S'!AW37/'CN FD alpha'!AW37)</f>
        <v>-1926.4093757472544</v>
      </c>
      <c r="AX36" s="26">
        <f>'CN FD D'!AX36-('CN FD A'!AX36*'CN FD S'!AX37/'CN FD alpha'!AX37)</f>
        <v>-1923.836387016187</v>
      </c>
      <c r="AY36" s="26">
        <f>'CN FD D'!AY36-('CN FD A'!AY36*'CN FD S'!AY37/'CN FD alpha'!AY37)</f>
        <v>-1921.2618540559756</v>
      </c>
      <c r="AZ36" s="26">
        <f>'CN FD D'!AZ36-('CN FD A'!AZ36*'CN FD S'!AZ37/'CN FD alpha'!AZ37)</f>
        <v>-1918.6857759176953</v>
      </c>
      <c r="BA36" s="6"/>
    </row>
    <row r="37" spans="1:53" x14ac:dyDescent="0.2">
      <c r="A37">
        <f t="shared" si="1"/>
        <v>28</v>
      </c>
      <c r="B37" s="3">
        <f t="shared" si="0"/>
        <v>56</v>
      </c>
      <c r="C37" s="26">
        <f>'CN FD D'!C37-('CN FD A'!C37*'CN FD S'!C38/'CN FD alpha'!C38)</f>
        <v>-1822.2674603705618</v>
      </c>
      <c r="D37" s="26">
        <f>'CN FD D'!D37-('CN FD A'!D37*'CN FD S'!D38/'CN FD alpha'!D38)</f>
        <v>-1819.693092146008</v>
      </c>
      <c r="E37" s="26">
        <f>'CN FD D'!E37-('CN FD A'!E37*'CN FD S'!E38/'CN FD alpha'!E38)</f>
        <v>-1817.1206616769823</v>
      </c>
      <c r="F37" s="26">
        <f>'CN FD D'!F37-('CN FD A'!F37*'CN FD S'!F38/'CN FD alpha'!F38)</f>
        <v>-1814.550174717315</v>
      </c>
      <c r="G37" s="26">
        <f>'CN FD D'!G37-('CN FD A'!G37*'CN FD S'!G38/'CN FD alpha'!G38)</f>
        <v>-1811.9816318518206</v>
      </c>
      <c r="H37" s="26">
        <f>'CN FD D'!H37-('CN FD A'!H37*'CN FD S'!H38/'CN FD alpha'!H38)</f>
        <v>-1809.4150281585596</v>
      </c>
      <c r="I37" s="26">
        <f>'CN FD D'!I37-('CN FD A'!I37*'CN FD S'!I38/'CN FD alpha'!I38)</f>
        <v>-1806.8503528701558</v>
      </c>
      <c r="J37" s="26">
        <f>'CN FD D'!J37-('CN FD A'!J37*'CN FD S'!J38/'CN FD alpha'!J38)</f>
        <v>-1804.2875890374362</v>
      </c>
      <c r="K37" s="26">
        <f>'CN FD D'!K37-('CN FD A'!K37*'CN FD S'!K38/'CN FD alpha'!K38)</f>
        <v>-1801.7267131992558</v>
      </c>
      <c r="L37" s="26">
        <f>'CN FD D'!L37-('CN FD A'!L37*'CN FD S'!L38/'CN FD alpha'!L38)</f>
        <v>-1799.1676950629881</v>
      </c>
      <c r="M37" s="26">
        <f>'CN FD D'!M37-('CN FD A'!M37*'CN FD S'!M38/'CN FD alpha'!M38)</f>
        <v>-1796.6104972008663</v>
      </c>
      <c r="N37" s="26">
        <f>'CN FD D'!N37-('CN FD A'!N37*'CN FD S'!N38/'CN FD alpha'!N38)</f>
        <v>-1794.0550747680841</v>
      </c>
      <c r="O37" s="26">
        <f>'CN FD D'!O37-('CN FD A'!O37*'CN FD S'!O38/'CN FD alpha'!O38)</f>
        <v>-1791.5013752493453</v>
      </c>
      <c r="P37" s="26">
        <f>'CN FD D'!P37-('CN FD A'!P37*'CN FD S'!P38/'CN FD alpha'!P38)</f>
        <v>-1788.9493382413441</v>
      </c>
      <c r="Q37" s="26">
        <f>'CN FD D'!Q37-('CN FD A'!Q37*'CN FD S'!Q38/'CN FD alpha'!Q38)</f>
        <v>-1786.3988952794684</v>
      </c>
      <c r="R37" s="26">
        <f>'CN FD D'!R37-('CN FD A'!R37*'CN FD S'!R38/'CN FD alpha'!R38)</f>
        <v>-1783.8499697177963</v>
      </c>
      <c r="S37" s="26">
        <f>'CN FD D'!S37-('CN FD A'!S37*'CN FD S'!S38/'CN FD alpha'!S38)</f>
        <v>-1781.302476672196</v>
      </c>
      <c r="T37" s="26">
        <f>'CN FD D'!T37-('CN FD A'!T37*'CN FD S'!T38/'CN FD alpha'!T38)</f>
        <v>-1778.7563230369813</v>
      </c>
      <c r="U37" s="26">
        <f>'CN FD D'!U37-('CN FD A'!U37*'CN FD S'!U38/'CN FD alpha'!U38)</f>
        <v>-1776.2114075860636</v>
      </c>
      <c r="V37" s="26">
        <f>'CN FD D'!V37-('CN FD A'!V37*'CN FD S'!V38/'CN FD alpha'!V38)</f>
        <v>-1773.6676211698332</v>
      </c>
      <c r="W37" s="26">
        <f>'CN FD D'!W37-('CN FD A'!W37*'CN FD S'!W38/'CN FD alpha'!W38)</f>
        <v>-1771.1248470190039</v>
      </c>
      <c r="X37" s="26">
        <f>'CN FD D'!X37-('CN FD A'!X37*'CN FD S'!X38/'CN FD alpha'!X38)</f>
        <v>-1768.5829611662778</v>
      </c>
      <c r="Y37" s="26">
        <f>'CN FD D'!Y37-('CN FD A'!Y37*'CN FD S'!Y38/'CN FD alpha'!Y38)</f>
        <v>-1766.0418329958543</v>
      </c>
      <c r="Z37" s="26">
        <f>'CN FD D'!Z37-('CN FD A'!Z37*'CN FD S'!Z38/'CN FD alpha'!Z38)</f>
        <v>-1763.5013259293603</v>
      </c>
      <c r="AA37" s="26">
        <f>'CN FD D'!AA37-('CN FD A'!AA37*'CN FD S'!AA38/'CN FD alpha'!AA38)</f>
        <v>-1760.9612982546639</v>
      </c>
      <c r="AB37" s="26">
        <f>'CN FD D'!AB37-('CN FD A'!AB37*'CN FD S'!AB38/'CN FD alpha'!AB38)</f>
        <v>-1758.4216041010757</v>
      </c>
      <c r="AC37" s="26">
        <f>'CN FD D'!AC37-('CN FD A'!AC37*'CN FD S'!AC38/'CN FD alpha'!AC38)</f>
        <v>-1755.8820945605617</v>
      </c>
      <c r="AD37" s="26">
        <f>'CN FD D'!AD37-('CN FD A'!AD37*'CN FD S'!AD38/'CN FD alpha'!AD38)</f>
        <v>-1753.3426189497011</v>
      </c>
      <c r="AE37" s="26">
        <f>'CN FD D'!AE37-('CN FD A'!AE37*'CN FD S'!AE38/'CN FD alpha'!AE38)</f>
        <v>-1750.8030262011407</v>
      </c>
      <c r="AF37" s="26">
        <f>'CN FD D'!AF37-('CN FD A'!AF37*'CN FD S'!AF38/'CN FD alpha'!AF38)</f>
        <v>-1748.2631663662828</v>
      </c>
      <c r="AG37" s="26">
        <f>'CN FD D'!AG37-('CN FD A'!AG37*'CN FD S'!AG38/'CN FD alpha'!AG38)</f>
        <v>-1745.7228922029296</v>
      </c>
      <c r="AH37" s="26">
        <f>'CN FD D'!AH37-('CN FD A'!AH37*'CN FD S'!AH38/'CN FD alpha'!AH38)</f>
        <v>-1743.1820608128819</v>
      </c>
      <c r="AI37" s="26">
        <f>'CN FD D'!AI37-('CN FD A'!AI37*'CN FD S'!AI38/'CN FD alpha'!AI38)</f>
        <v>-1740.6405352853508</v>
      </c>
      <c r="AJ37" s="26">
        <f>'CN FD D'!AJ37-('CN FD A'!AJ37*'CN FD S'!AJ38/'CN FD alpha'!AJ38)</f>
        <v>-1738.0981862931174</v>
      </c>
      <c r="AK37" s="26">
        <f>'CN FD D'!AK37-('CN FD A'!AK37*'CN FD S'!AK38/'CN FD alpha'!AK38)</f>
        <v>-1735.5548935804122</v>
      </c>
      <c r="AL37" s="26">
        <f>'CN FD D'!AL37-('CN FD A'!AL37*'CN FD S'!AL38/'CN FD alpha'!AL38)</f>
        <v>-1733.0105472755292</v>
      </c>
      <c r="AM37" s="26">
        <f>'CN FD D'!AM37-('CN FD A'!AM37*'CN FD S'!AM38/'CN FD alpha'!AM38)</f>
        <v>-1730.465048958464</v>
      </c>
      <c r="AN37" s="26">
        <f>'CN FD D'!AN37-('CN FD A'!AN37*'CN FD S'!AN38/'CN FD alpha'!AN38)</f>
        <v>-1727.9183124158262</v>
      </c>
      <c r="AO37" s="26">
        <f>'CN FD D'!AO37-('CN FD A'!AO37*'CN FD S'!AO38/'CN FD alpha'!AO38)</f>
        <v>-1725.3702640233405</v>
      </c>
      <c r="AP37" s="26">
        <f>'CN FD D'!AP37-('CN FD A'!AP37*'CN FD S'!AP38/'CN FD alpha'!AP38)</f>
        <v>-1722.8208427117315</v>
      </c>
      <c r="AQ37" s="26">
        <f>'CN FD D'!AQ37-('CN FD A'!AQ37*'CN FD S'!AQ38/'CN FD alpha'!AQ38)</f>
        <v>-1720.269999495438</v>
      </c>
      <c r="AR37" s="26">
        <f>'CN FD D'!AR37-('CN FD A'!AR37*'CN FD S'!AR38/'CN FD alpha'!AR38)</f>
        <v>-1717.7176965752788</v>
      </c>
      <c r="AS37" s="26">
        <f>'CN FD D'!AS37-('CN FD A'!AS37*'CN FD S'!AS38/'CN FD alpha'!AS38)</f>
        <v>-1715.1639060641705</v>
      </c>
      <c r="AT37" s="26">
        <f>'CN FD D'!AT37-('CN FD A'!AT37*'CN FD S'!AT38/'CN FD alpha'!AT38)</f>
        <v>-1712.608608425636</v>
      </c>
      <c r="AU37" s="26">
        <f>'CN FD D'!AU37-('CN FD A'!AU37*'CN FD S'!AU38/'CN FD alpha'!AU38)</f>
        <v>-1710.051790751952</v>
      </c>
      <c r="AV37" s="26">
        <f>'CN FD D'!AV37-('CN FD A'!AV37*'CN FD S'!AV38/'CN FD alpha'!AV38)</f>
        <v>-1707.4934450340672</v>
      </c>
      <c r="AW37" s="26">
        <f>'CN FD D'!AW37-('CN FD A'!AW37*'CN FD S'!AW38/'CN FD alpha'!AW38)</f>
        <v>-1704.9335665794217</v>
      </c>
      <c r="AX37" s="26">
        <f>'CN FD D'!AX37-('CN FD A'!AX37*'CN FD S'!AX38/'CN FD alpha'!AX38)</f>
        <v>-1702.3721527088171</v>
      </c>
      <c r="AY37" s="26">
        <f>'CN FD D'!AY37-('CN FD A'!AY37*'CN FD S'!AY38/'CN FD alpha'!AY38)</f>
        <v>-1699.8092018081404</v>
      </c>
      <c r="AZ37" s="26">
        <f>'CN FD D'!AZ37-('CN FD A'!AZ37*'CN FD S'!AZ38/'CN FD alpha'!AZ38)</f>
        <v>-1697.24471273579</v>
      </c>
      <c r="BA37" s="6"/>
    </row>
    <row r="38" spans="1:53" x14ac:dyDescent="0.2">
      <c r="A38">
        <f t="shared" si="1"/>
        <v>27</v>
      </c>
      <c r="B38" s="3">
        <f t="shared" si="0"/>
        <v>54</v>
      </c>
      <c r="C38" s="26">
        <f>'CN FD D'!C38-('CN FD A'!C38*'CN FD S'!C39/'CN FD alpha'!C39)</f>
        <v>-1603.6028132448337</v>
      </c>
      <c r="D38" s="26">
        <f>'CN FD D'!D38-('CN FD A'!D38*'CN FD S'!D39/'CN FD alpha'!D39)</f>
        <v>-1600.9741480380187</v>
      </c>
      <c r="E38" s="26">
        <f>'CN FD D'!E38-('CN FD A'!E38*'CN FD S'!E39/'CN FD alpha'!E39)</f>
        <v>-1598.3486038607746</v>
      </c>
      <c r="F38" s="26">
        <f>'CN FD D'!F38-('CN FD A'!F38*'CN FD S'!F39/'CN FD alpha'!F39)</f>
        <v>-1595.7262573984851</v>
      </c>
      <c r="G38" s="26">
        <f>'CN FD D'!G38-('CN FD A'!G38*'CN FD S'!G39/'CN FD alpha'!G39)</f>
        <v>-1593.1071810153167</v>
      </c>
      <c r="H38" s="26">
        <f>'CN FD D'!H38-('CN FD A'!H38*'CN FD S'!H39/'CN FD alpha'!H39)</f>
        <v>-1590.4914421606882</v>
      </c>
      <c r="I38" s="26">
        <f>'CN FD D'!I38-('CN FD A'!I38*'CN FD S'!I39/'CN FD alpha'!I39)</f>
        <v>-1587.8791027358907</v>
      </c>
      <c r="J38" s="26">
        <f>'CN FD D'!J38-('CN FD A'!J38*'CN FD S'!J39/'CN FD alpha'!J39)</f>
        <v>-1585.2702184209209</v>
      </c>
      <c r="K38" s="26">
        <f>'CN FD D'!K38-('CN FD A'!K38*'CN FD S'!K39/'CN FD alpha'!K39)</f>
        <v>-1582.6648379622434</v>
      </c>
      <c r="L38" s="26">
        <f>'CN FD D'!L38-('CN FD A'!L38*'CN FD S'!L39/'CN FD alpha'!L39)</f>
        <v>-1580.0630024229497</v>
      </c>
      <c r="M38" s="26">
        <f>'CN FD D'!M38-('CN FD A'!M38*'CN FD S'!M39/'CN FD alpha'!M39)</f>
        <v>-1577.4647443977417</v>
      </c>
      <c r="N38" s="26">
        <f>'CN FD D'!N38-('CN FD A'!N38*'CN FD S'!N39/'CN FD alpha'!N39)</f>
        <v>-1574.8700871962749</v>
      </c>
      <c r="O38" s="26">
        <f>'CN FD D'!O38-('CN FD A'!O38*'CN FD S'!O39/'CN FD alpha'!O39)</f>
        <v>-1572.2790439997482</v>
      </c>
      <c r="P38" s="26">
        <f>'CN FD D'!P38-('CN FD A'!P38*'CN FD S'!P39/'CN FD alpha'!P39)</f>
        <v>-1569.6916169971871</v>
      </c>
      <c r="Q38" s="26">
        <f>'CN FD D'!Q38-('CN FD A'!Q38*'CN FD S'!Q39/'CN FD alpha'!Q39)</f>
        <v>-1567.1077965096886</v>
      </c>
      <c r="R38" s="26">
        <f>'CN FD D'!R38-('CN FD A'!R38*'CN FD S'!R39/'CN FD alpha'!R39)</f>
        <v>-1564.5275601129836</v>
      </c>
      <c r="S38" s="26">
        <f>'CN FD D'!S38-('CN FD A'!S38*'CN FD S'!S39/'CN FD alpha'!S39)</f>
        <v>-1561.9508717710496</v>
      </c>
      <c r="T38" s="26">
        <f>'CN FD D'!T38-('CN FD A'!T38*'CN FD S'!T39/'CN FD alpha'!T39)</f>
        <v>-1559.377680996148</v>
      </c>
      <c r="U38" s="26">
        <f>'CN FD D'!U38-('CN FD A'!U38*'CN FD S'!U39/'CN FD alpha'!U39)</f>
        <v>-1556.8079220535972</v>
      </c>
      <c r="V38" s="26">
        <f>'CN FD D'!V38-('CN FD A'!V38*'CN FD S'!V39/'CN FD alpha'!V39)</f>
        <v>-1554.2415132327558</v>
      </c>
      <c r="W38" s="26">
        <f>'CN FD D'!W38-('CN FD A'!W38*'CN FD S'!W39/'CN FD alpha'!W39)</f>
        <v>-1551.6783562090579</v>
      </c>
      <c r="X38" s="26">
        <f>'CN FD D'!X38-('CN FD A'!X38*'CN FD S'!X39/'CN FD alpha'!X39)</f>
        <v>-1549.1183355254136</v>
      </c>
      <c r="Y38" s="26">
        <f>'CN FD D'!Y38-('CN FD A'!Y38*'CN FD S'!Y39/'CN FD alpha'!Y39)</f>
        <v>-1546.5613182247587</v>
      </c>
      <c r="Z38" s="26">
        <f>'CN FD D'!Z38-('CN FD A'!Z38*'CN FD S'!Z39/'CN FD alpha'!Z39)</f>
        <v>-1544.0071536688033</v>
      </c>
      <c r="AA38" s="26">
        <f>'CN FD D'!AA38-('CN FD A'!AA38*'CN FD S'!AA39/'CN FD alpha'!AA39)</f>
        <v>-1541.4556735809065</v>
      </c>
      <c r="AB38" s="26">
        <f>'CN FD D'!AB38-('CN FD A'!AB38*'CN FD S'!AB39/'CN FD alpha'!AB39)</f>
        <v>-1538.9066923531359</v>
      </c>
      <c r="AC38" s="26">
        <f>'CN FD D'!AC38-('CN FD A'!AC38*'CN FD S'!AC39/'CN FD alpha'!AC39)</f>
        <v>-1536.3600076586347</v>
      </c>
      <c r="AD38" s="26">
        <f>'CN FD D'!AD38-('CN FD A'!AD38*'CN FD S'!AD39/'CN FD alpha'!AD39)</f>
        <v>-1533.8154014098793</v>
      </c>
      <c r="AE38" s="26">
        <f>'CN FD D'!AE38-('CN FD A'!AE38*'CN FD S'!AE39/'CN FD alpha'!AE39)</f>
        <v>-1531.27264110078</v>
      </c>
      <c r="AF38" s="26">
        <f>'CN FD D'!AF38-('CN FD A'!AF38*'CN FD S'!AF39/'CN FD alpha'!AF39)</f>
        <v>-1528.7314815651439</v>
      </c>
      <c r="AG38" s="26">
        <f>'CN FD D'!AG38-('CN FD A'!AG38*'CN FD S'!AG39/'CN FD alpha'!AG39)</f>
        <v>-1526.1916671751517</v>
      </c>
      <c r="AH38" s="26">
        <f>'CN FD D'!AH38-('CN FD A'!AH38*'CN FD S'!AH39/'CN FD alpha'!AH39)</f>
        <v>-1523.6529344904141</v>
      </c>
      <c r="AI38" s="26">
        <f>'CN FD D'!AI38-('CN FD A'!AI38*'CN FD S'!AI39/'CN FD alpha'!AI39)</f>
        <v>-1521.1150153502358</v>
      </c>
      <c r="AJ38" s="26">
        <f>'CN FD D'!AJ38-('CN FD A'!AJ38*'CN FD S'!AJ39/'CN FD alpha'!AJ39)</f>
        <v>-1518.5776403783857</v>
      </c>
      <c r="AK38" s="26">
        <f>'CN FD D'!AK38-('CN FD A'!AK38*'CN FD S'!AK39/'CN FD alpha'!AK39)</f>
        <v>-1516.0405428407355</v>
      </c>
      <c r="AL38" s="26">
        <f>'CN FD D'!AL38-('CN FD A'!AL38*'CN FD S'!AL39/'CN FD alpha'!AL39)</f>
        <v>-1513.5034627619032</v>
      </c>
      <c r="AM38" s="26">
        <f>'CN FD D'!AM38-('CN FD A'!AM38*'CN FD S'!AM39/'CN FD alpha'!AM39)</f>
        <v>-1510.9661511685647</v>
      </c>
      <c r="AN38" s="26">
        <f>'CN FD D'!AN38-('CN FD A'!AN38*'CN FD S'!AN39/'CN FD alpha'!AN39)</f>
        <v>-1508.4283742866025</v>
      </c>
      <c r="AO38" s="26">
        <f>'CN FD D'!AO38-('CN FD A'!AO38*'CN FD S'!AO39/'CN FD alpha'!AO39)</f>
        <v>-1505.889917480335</v>
      </c>
      <c r="AP38" s="26">
        <f>'CN FD D'!AP38-('CN FD A'!AP38*'CN FD S'!AP39/'CN FD alpha'!AP39)</f>
        <v>-1503.3505886900955</v>
      </c>
      <c r="AQ38" s="26">
        <f>'CN FD D'!AQ38-('CN FD A'!AQ38*'CN FD S'!AQ39/'CN FD alpha'!AQ39)</f>
        <v>-1500.8102211067269</v>
      </c>
      <c r="AR38" s="26">
        <f>'CN FD D'!AR38-('CN FD A'!AR38*'CN FD S'!AR39/'CN FD alpha'!AR39)</f>
        <v>-1498.2686748271751</v>
      </c>
      <c r="AS38" s="26">
        <f>'CN FD D'!AS38-('CN FD A'!AS38*'CN FD S'!AS39/'CN FD alpha'!AS39)</f>
        <v>-1495.7258372743704</v>
      </c>
      <c r="AT38" s="26">
        <f>'CN FD D'!AT38-('CN FD A'!AT38*'CN FD S'!AT39/'CN FD alpha'!AT39)</f>
        <v>-1493.181622246306</v>
      </c>
      <c r="AU38" s="26">
        <f>'CN FD D'!AU38-('CN FD A'!AU38*'CN FD S'!AU39/'CN FD alpha'!AU39)</f>
        <v>-1490.6359675889653</v>
      </c>
      <c r="AV38" s="26">
        <f>'CN FD D'!AV38-('CN FD A'!AV38*'CN FD S'!AV39/'CN FD alpha'!AV39)</f>
        <v>-1488.0888316618639</v>
      </c>
      <c r="AW38" s="26">
        <f>'CN FD D'!AW38-('CN FD A'!AW38*'CN FD S'!AW39/'CN FD alpha'!AW39)</f>
        <v>-1485.5401889638742</v>
      </c>
      <c r="AX38" s="26">
        <f>'CN FD D'!AX38-('CN FD A'!AX38*'CN FD S'!AX39/'CN FD alpha'!AX39)</f>
        <v>-1482.9900254680376</v>
      </c>
      <c r="AY38" s="26">
        <f>'CN FD D'!AY38-('CN FD A'!AY38*'CN FD S'!AY39/'CN FD alpha'!AY39)</f>
        <v>-1480.4383343084407</v>
      </c>
      <c r="AZ38" s="26">
        <f>'CN FD D'!AZ38-('CN FD A'!AZ38*'CN FD S'!AZ39/'CN FD alpha'!AZ39)</f>
        <v>-1477.8851123877889</v>
      </c>
      <c r="BA38" s="6"/>
    </row>
    <row r="39" spans="1:53" x14ac:dyDescent="0.2">
      <c r="A39">
        <f t="shared" si="1"/>
        <v>26</v>
      </c>
      <c r="B39" s="3">
        <f t="shared" si="0"/>
        <v>52</v>
      </c>
      <c r="C39" s="26">
        <f>'CN FD D'!C39-('CN FD A'!C39*'CN FD S'!C40/'CN FD alpha'!C40)</f>
        <v>-1388.185913399446</v>
      </c>
      <c r="D39" s="26">
        <f>'CN FD D'!D39-('CN FD A'!D39*'CN FD S'!D40/'CN FD alpha'!D40)</f>
        <v>-1385.461967719107</v>
      </c>
      <c r="E39" s="26">
        <f>'CN FD D'!E39-('CN FD A'!E39*'CN FD S'!E40/'CN FD alpha'!E40)</f>
        <v>-1382.7419027844435</v>
      </c>
      <c r="F39" s="26">
        <f>'CN FD D'!F39-('CN FD A'!F39*'CN FD S'!F40/'CN FD alpha'!F40)</f>
        <v>-1380.0259032812908</v>
      </c>
      <c r="G39" s="26">
        <f>'CN FD D'!G39-('CN FD A'!G39*'CN FD S'!G40/'CN FD alpha'!G40)</f>
        <v>-1377.3141546216516</v>
      </c>
      <c r="H39" s="26">
        <f>'CN FD D'!H39-('CN FD A'!H39*'CN FD S'!H40/'CN FD alpha'!H40)</f>
        <v>-1374.6068423500146</v>
      </c>
      <c r="I39" s="26">
        <f>'CN FD D'!I39-('CN FD A'!I39*'CN FD S'!I40/'CN FD alpha'!I40)</f>
        <v>-1371.9041514680093</v>
      </c>
      <c r="J39" s="26">
        <f>'CN FD D'!J39-('CN FD A'!J39*'CN FD S'!J40/'CN FD alpha'!J40)</f>
        <v>-1369.2062656698804</v>
      </c>
      <c r="K39" s="26">
        <f>'CN FD D'!K39-('CN FD A'!K39*'CN FD S'!K40/'CN FD alpha'!K40)</f>
        <v>-1366.5133664809755</v>
      </c>
      <c r="L39" s="26">
        <f>'CN FD D'!L39-('CN FD A'!L39*'CN FD S'!L40/'CN FD alpha'!L40)</f>
        <v>-1363.8256322912737</v>
      </c>
      <c r="M39" s="26">
        <f>'CN FD D'!M39-('CN FD A'!M39*'CN FD S'!M40/'CN FD alpha'!M40)</f>
        <v>-1361.1432372759205</v>
      </c>
      <c r="N39" s="26">
        <f>'CN FD D'!N39-('CN FD A'!N39*'CN FD S'!N40/'CN FD alpha'!N40)</f>
        <v>-1358.4663501948928</v>
      </c>
      <c r="O39" s="26">
        <f>'CN FD D'!O39-('CN FD A'!O39*'CN FD S'!O40/'CN FD alpha'!O40)</f>
        <v>-1355.795133064277</v>
      </c>
      <c r="P39" s="26">
        <f>'CN FD D'!P39-('CN FD A'!P39*'CN FD S'!P40/'CN FD alpha'!P40)</f>
        <v>-1353.1297396923399</v>
      </c>
      <c r="Q39" s="26">
        <f>'CN FD D'!Q39-('CN FD A'!Q39*'CN FD S'!Q40/'CN FD alpha'!Q40)</f>
        <v>-1350.470314074631</v>
      </c>
      <c r="R39" s="26">
        <f>'CN FD D'!R39-('CN FD A'!R39*'CN FD S'!R40/'CN FD alpha'!R40)</f>
        <v>-1347.8169886439127</v>
      </c>
      <c r="S39" s="26">
        <f>'CN FD D'!S39-('CN FD A'!S39*'CN FD S'!S40/'CN FD alpha'!S40)</f>
        <v>-1345.169882372862</v>
      </c>
      <c r="T39" s="26">
        <f>'CN FD D'!T39-('CN FD A'!T39*'CN FD S'!T40/'CN FD alpha'!T40)</f>
        <v>-1342.529098730349</v>
      </c>
      <c r="U39" s="26">
        <f>'CN FD D'!U39-('CN FD A'!U39*'CN FD S'!U40/'CN FD alpha'!U40)</f>
        <v>-1339.8947234958359</v>
      </c>
      <c r="V39" s="26">
        <f>'CN FD D'!V39-('CN FD A'!V39*'CN FD S'!V40/'CN FD alpha'!V40)</f>
        <v>-1337.2668224411866</v>
      </c>
      <c r="W39" s="26">
        <f>'CN FD D'!W39-('CN FD A'!W39*'CN FD S'!W40/'CN FD alpha'!W40)</f>
        <v>-1334.6454388951386</v>
      </c>
      <c r="X39" s="26">
        <f>'CN FD D'!X39-('CN FD A'!X39*'CN FD S'!X40/'CN FD alpha'!X40)</f>
        <v>-1332.0305912129961</v>
      </c>
      <c r="Y39" s="26">
        <f>'CN FD D'!Y39-('CN FD A'!Y39*'CN FD S'!Y40/'CN FD alpha'!Y40)</f>
        <v>-1329.4222701829674</v>
      </c>
      <c r="Z39" s="26">
        <f>'CN FD D'!Z39-('CN FD A'!Z39*'CN FD S'!Z40/'CN FD alpha'!Z40)</f>
        <v>-1326.8204364111184</v>
      </c>
      <c r="AA39" s="26">
        <f>'CN FD D'!AA39-('CN FD A'!AA39*'CN FD S'!AA40/'CN FD alpha'!AA40)</f>
        <v>-1324.2250177392648</v>
      </c>
      <c r="AB39" s="26">
        <f>'CN FD D'!AB39-('CN FD A'!AB39*'CN FD S'!AB40/'CN FD alpha'!AB40)</f>
        <v>-1321.6359067643127</v>
      </c>
      <c r="AC39" s="26">
        <f>'CN FD D'!AC39-('CN FD A'!AC39*'CN FD S'!AC40/'CN FD alpha'!AC40)</f>
        <v>-1319.0529585435131</v>
      </c>
      <c r="AD39" s="26">
        <f>'CN FD D'!AD39-('CN FD A'!AD39*'CN FD S'!AD40/'CN FD alpha'!AD40)</f>
        <v>-1316.4759885875524</v>
      </c>
      <c r="AE39" s="26">
        <f>'CN FD D'!AE39-('CN FD A'!AE39*'CN FD S'!AE40/'CN FD alpha'!AE40)</f>
        <v>-1313.9047712619038</v>
      </c>
      <c r="AF39" s="26">
        <f>'CN FD D'!AF39-('CN FD A'!AF39*'CN FD S'!AF40/'CN FD alpha'!AF40)</f>
        <v>-1311.3390387355701</v>
      </c>
      <c r="AG39" s="26">
        <f>'CN FD D'!AG39-('CN FD A'!AG39*'CN FD S'!AG40/'CN FD alpha'!AG40)</f>
        <v>-1308.7784806340069</v>
      </c>
      <c r="AH39" s="26">
        <f>'CN FD D'!AH39-('CN FD A'!AH39*'CN FD S'!AH40/'CN FD alpha'!AH40)</f>
        <v>-1306.2227445678561</v>
      </c>
      <c r="AI39" s="26">
        <f>'CN FD D'!AI39-('CN FD A'!AI39*'CN FD S'!AI40/'CN FD alpha'!AI40)</f>
        <v>-1303.6714377186067</v>
      </c>
      <c r="AJ39" s="26">
        <f>'CN FD D'!AJ39-('CN FD A'!AJ39*'CN FD S'!AJ40/'CN FD alpha'!AJ40)</f>
        <v>-1301.1241296631767</v>
      </c>
      <c r="AK39" s="26">
        <f>'CN FD D'!AK39-('CN FD A'!AK39*'CN FD S'!AK40/'CN FD alpha'!AK40)</f>
        <v>-1298.5803566075003</v>
      </c>
      <c r="AL39" s="26">
        <f>'CN FD D'!AL39-('CN FD A'!AL39*'CN FD S'!AL40/'CN FD alpha'!AL40)</f>
        <v>-1296.0396271694308</v>
      </c>
      <c r="AM39" s="26">
        <f>'CN FD D'!AM39-('CN FD A'!AM39*'CN FD S'!AM40/'CN FD alpha'!AM40)</f>
        <v>-1293.5014297978746</v>
      </c>
      <c r="AN39" s="26">
        <f>'CN FD D'!AN39-('CN FD A'!AN39*'CN FD S'!AN40/'CN FD alpha'!AN40)</f>
        <v>-1290.9652418319188</v>
      </c>
      <c r="AO39" s="26">
        <f>'CN FD D'!AO39-('CN FD A'!AO39*'CN FD S'!AO40/'CN FD alpha'!AO40)</f>
        <v>-1288.4305400852199</v>
      </c>
      <c r="AP39" s="26">
        <f>'CN FD D'!AP39-('CN FD A'!AP39*'CN FD S'!AP40/'CN FD alpha'!AP40)</f>
        <v>-1285.8968126833868</v>
      </c>
      <c r="AQ39" s="26">
        <f>'CN FD D'!AQ39-('CN FD A'!AQ39*'CN FD S'!AQ40/'CN FD alpha'!AQ40)</f>
        <v>-1283.3635716860254</v>
      </c>
      <c r="AR39" s="26">
        <f>'CN FD D'!AR39-('CN FD A'!AR39*'CN FD S'!AR40/'CN FD alpha'!AR40)</f>
        <v>-1280.8303657985157</v>
      </c>
      <c r="AS39" s="26">
        <f>'CN FD D'!AS39-('CN FD A'!AS39*'CN FD S'!AS40/'CN FD alpha'!AS40)</f>
        <v>-1278.2967922415428</v>
      </c>
      <c r="AT39" s="26">
        <f>'CN FD D'!AT39-('CN FD A'!AT39*'CN FD S'!AT40/'CN FD alpha'!AT40)</f>
        <v>-1275.7625066366491</v>
      </c>
      <c r="AU39" s="26">
        <f>'CN FD D'!AU39-('CN FD A'!AU39*'CN FD S'!AU40/'CN FD alpha'!AU40)</f>
        <v>-1273.2272296448498</v>
      </c>
      <c r="AV39" s="26">
        <f>'CN FD D'!AV39-('CN FD A'!AV39*'CN FD S'!AV40/'CN FD alpha'!AV40)</f>
        <v>-1270.6907491508755</v>
      </c>
      <c r="AW39" s="26">
        <f>'CN FD D'!AW39-('CN FD A'!AW39*'CN FD S'!AW40/'CN FD alpha'!AW40)</f>
        <v>-1268.1529171286802</v>
      </c>
      <c r="AX39" s="26">
        <f>'CN FD D'!AX39-('CN FD A'!AX39*'CN FD S'!AX40/'CN FD alpha'!AX40)</f>
        <v>-1265.6136410639651</v>
      </c>
      <c r="AY39" s="26">
        <f>'CN FD D'!AY39-('CN FD A'!AY39*'CN FD S'!AY40/'CN FD alpha'!AY40)</f>
        <v>-1263.0728709881121</v>
      </c>
      <c r="AZ39" s="26">
        <f>'CN FD D'!AZ39-('CN FD A'!AZ39*'CN FD S'!AZ40/'CN FD alpha'!AZ40)</f>
        <v>-1260.5305846159729</v>
      </c>
      <c r="BA39" s="6"/>
    </row>
    <row r="40" spans="1:53" x14ac:dyDescent="0.2">
      <c r="A40">
        <f t="shared" si="1"/>
        <v>25</v>
      </c>
      <c r="B40" s="3">
        <f t="shared" si="0"/>
        <v>50</v>
      </c>
      <c r="C40" s="26">
        <f>'CN FD D'!C40-('CN FD A'!C40*'CN FD S'!C41/'CN FD alpha'!C41)</f>
        <v>-1177.0112038966938</v>
      </c>
      <c r="D40" s="26">
        <f>'CN FD D'!D40-('CN FD A'!D40*'CN FD S'!D41/'CN FD alpha'!D41)</f>
        <v>-1174.1373363368282</v>
      </c>
      <c r="E40" s="26">
        <f>'CN FD D'!E40-('CN FD A'!E40*'CN FD S'!E41/'CN FD alpha'!E41)</f>
        <v>-1171.2667821381383</v>
      </c>
      <c r="F40" s="26">
        <f>'CN FD D'!F40-('CN FD A'!F40*'CN FD S'!F41/'CN FD alpha'!F41)</f>
        <v>-1168.3998393426839</v>
      </c>
      <c r="G40" s="26">
        <f>'CN FD D'!G40-('CN FD A'!G40*'CN FD S'!G41/'CN FD alpha'!G41)</f>
        <v>-1165.5368166562944</v>
      </c>
      <c r="H40" s="26">
        <f>'CN FD D'!H40-('CN FD A'!H40*'CN FD S'!H41/'CN FD alpha'!H41)</f>
        <v>-1162.6780334584394</v>
      </c>
      <c r="I40" s="26">
        <f>'CN FD D'!I40-('CN FD A'!I40*'CN FD S'!I41/'CN FD alpha'!I41)</f>
        <v>-1159.8238197407711</v>
      </c>
      <c r="J40" s="26">
        <f>'CN FD D'!J40-('CN FD A'!J40*'CN FD S'!J41/'CN FD alpha'!J41)</f>
        <v>-1156.9745159608112</v>
      </c>
      <c r="K40" s="26">
        <f>'CN FD D'!K40-('CN FD A'!K40*'CN FD S'!K41/'CN FD alpha'!K41)</f>
        <v>-1154.1304727953307</v>
      </c>
      <c r="L40" s="26">
        <f>'CN FD D'!L40-('CN FD A'!L40*'CN FD S'!L41/'CN FD alpha'!L41)</f>
        <v>-1151.2920507758238</v>
      </c>
      <c r="M40" s="26">
        <f>'CN FD D'!M40-('CN FD A'!M40*'CN FD S'!M41/'CN FD alpha'!M41)</f>
        <v>-1148.4596197861181</v>
      </c>
      <c r="N40" s="26">
        <f>'CN FD D'!N40-('CN FD A'!N40*'CN FD S'!N41/'CN FD alpha'!N41)</f>
        <v>-1145.6335583995951</v>
      </c>
      <c r="O40" s="26">
        <f>'CN FD D'!O40-('CN FD A'!O40*'CN FD S'!O41/'CN FD alpha'!O41)</f>
        <v>-1142.8142530306964</v>
      </c>
      <c r="P40" s="26">
        <f>'CN FD D'!P40-('CN FD A'!P40*'CN FD S'!P41/'CN FD alpha'!P41)</f>
        <v>-1140.0020968724357</v>
      </c>
      <c r="Q40" s="26">
        <f>'CN FD D'!Q40-('CN FD A'!Q40*'CN FD S'!Q41/'CN FD alpha'!Q41)</f>
        <v>-1137.1974885885209</v>
      </c>
      <c r="R40" s="26">
        <f>'CN FD D'!R40-('CN FD A'!R40*'CN FD S'!R41/'CN FD alpha'!R41)</f>
        <v>-1134.4008307254912</v>
      </c>
      <c r="S40" s="26">
        <f>'CN FD D'!S40-('CN FD A'!S40*'CN FD S'!S41/'CN FD alpha'!S41)</f>
        <v>-1131.6125278071058</v>
      </c>
      <c r="T40" s="26">
        <f>'CN FD D'!T40-('CN FD A'!T40*'CN FD S'!T41/'CN FD alpha'!T41)</f>
        <v>-1128.8329840702015</v>
      </c>
      <c r="U40" s="26">
        <f>'CN FD D'!U40-('CN FD A'!U40*'CN FD S'!U41/'CN FD alpha'!U41)</f>
        <v>-1126.0626007985538</v>
      </c>
      <c r="V40" s="26">
        <f>'CN FD D'!V40-('CN FD A'!V40*'CN FD S'!V41/'CN FD alpha'!V41)</f>
        <v>-1123.3017732092219</v>
      </c>
      <c r="W40" s="26">
        <f>'CN FD D'!W40-('CN FD A'!W40*'CN FD S'!W41/'CN FD alpha'!W41)</f>
        <v>-1120.5508868447387</v>
      </c>
      <c r="X40" s="26">
        <f>'CN FD D'!X40-('CN FD A'!X40*'CN FD S'!X41/'CN FD alpha'!X41)</f>
        <v>-1117.8103134248049</v>
      </c>
      <c r="Y40" s="26">
        <f>'CN FD D'!Y40-('CN FD A'!Y40*'CN FD S'!Y41/'CN FD alpha'!Y41)</f>
        <v>-1115.0804061134222</v>
      </c>
      <c r="Z40" s="26">
        <f>'CN FD D'!Z40-('CN FD A'!Z40*'CN FD S'!Z41/'CN FD alpha'!Z41)</f>
        <v>-1112.3614941624126</v>
      </c>
      <c r="AA40" s="26">
        <f>'CN FD D'!AA40-('CN FD A'!AA40*'CN FD S'!AA41/'CN FD alpha'!AA41)</f>
        <v>-1109.6538769008944</v>
      </c>
      <c r="AB40" s="26">
        <f>'CN FD D'!AB40-('CN FD A'!AB40*'CN FD S'!AB41/'CN FD alpha'!AB41)</f>
        <v>-1106.9578170536911</v>
      </c>
      <c r="AC40" s="26">
        <f>'CN FD D'!AC40-('CN FD A'!AC40*'CN FD S'!AC41/'CN FD alpha'!AC41)</f>
        <v>-1104.2735333911139</v>
      </c>
      <c r="AD40" s="26">
        <f>'CN FD D'!AD40-('CN FD A'!AD40*'CN FD S'!AD41/'CN FD alpha'!AD41)</f>
        <v>-1101.6011927397067</v>
      </c>
      <c r="AE40" s="26">
        <f>'CN FD D'!AE40-('CN FD A'!AE40*'CN FD S'!AE41/'CN FD alpha'!AE41)</f>
        <v>-1098.9409014200901</v>
      </c>
      <c r="AF40" s="26">
        <f>'CN FD D'!AF40-('CN FD A'!AF40*'CN FD S'!AF41/'CN FD alpha'!AF41)</f>
        <v>-1096.2926962259428</v>
      </c>
      <c r="AG40" s="26">
        <f>'CN FD D'!AG40-('CN FD A'!AG40*'CN FD S'!AG41/'CN FD alpha'!AG41)</f>
        <v>-1093.6565351193778</v>
      </c>
      <c r="AH40" s="26">
        <f>'CN FD D'!AH40-('CN FD A'!AH40*'CN FD S'!AH41/'CN FD alpha'!AH41)</f>
        <v>-1091.0322878942593</v>
      </c>
      <c r="AI40" s="26">
        <f>'CN FD D'!AI40-('CN FD A'!AI40*'CN FD S'!AI41/'CN FD alpha'!AI41)</f>
        <v>-1088.4197271517151</v>
      </c>
      <c r="AJ40" s="26">
        <f>'CN FD D'!AJ40-('CN FD A'!AJ40*'CN FD S'!AJ41/'CN FD alpha'!AJ41)</f>
        <v>-1085.8185200414503</v>
      </c>
      <c r="AK40" s="26">
        <f>'CN FD D'!AK40-('CN FD A'!AK40*'CN FD S'!AK41/'CN FD alpha'!AK41)</f>
        <v>-1083.2282213469939</v>
      </c>
      <c r="AL40" s="26">
        <f>'CN FD D'!AL40-('CN FD A'!AL40*'CN FD S'!AL41/'CN FD alpha'!AL41)</f>
        <v>-1080.6482686283155</v>
      </c>
      <c r="AM40" s="26">
        <f>'CN FD D'!AM40-('CN FD A'!AM40*'CN FD S'!AM41/'CN FD alpha'!AM41)</f>
        <v>-1078.077980272591</v>
      </c>
      <c r="AN40" s="26">
        <f>'CN FD D'!AN40-('CN FD A'!AN40*'CN FD S'!AN41/'CN FD alpha'!AN41)</f>
        <v>-1075.5165574281582</v>
      </c>
      <c r="AO40" s="26">
        <f>'CN FD D'!AO40-('CN FD A'!AO40*'CN FD S'!AO41/'CN FD alpha'!AO41)</f>
        <v>-1072.9630908839251</v>
      </c>
      <c r="AP40" s="26">
        <f>'CN FD D'!AP40-('CN FD A'!AP40*'CN FD S'!AP41/'CN FD alpha'!AP41)</f>
        <v>-1070.4165739710311</v>
      </c>
      <c r="AQ40" s="26">
        <f>'CN FD D'!AQ40-('CN FD A'!AQ40*'CN FD S'!AQ41/'CN FD alpha'!AQ41)</f>
        <v>-1067.8759224551334</v>
      </c>
      <c r="AR40" s="26">
        <f>'CN FD D'!AR40-('CN FD A'!AR40*'CN FD S'!AR41/'CN FD alpha'!AR41)</f>
        <v>-1065.3400020894444</v>
      </c>
      <c r="AS40" s="26">
        <f>'CN FD D'!AS40-('CN FD A'!AS40*'CN FD S'!AS41/'CN FD alpha'!AS41)</f>
        <v>-1062.8076639278909</v>
      </c>
      <c r="AT40" s="26">
        <f>'CN FD D'!AT40-('CN FD A'!AT40*'CN FD S'!AT41/'CN FD alpha'!AT41)</f>
        <v>-1060.2777865629071</v>
      </c>
      <c r="AU40" s="26">
        <f>'CN FD D'!AU40-('CN FD A'!AU40*'CN FD S'!AU41/'CN FD alpha'!AU41)</f>
        <v>-1057.7493230729633</v>
      </c>
      <c r="AV40" s="26">
        <f>'CN FD D'!AV40-('CN FD A'!AV40*'CN FD S'!AV41/'CN FD alpha'!AV41)</f>
        <v>-1055.2213486160842</v>
      </c>
      <c r="AW40" s="26">
        <f>'CN FD D'!AW40-('CN FD A'!AW40*'CN FD S'!AW41/'CN FD alpha'!AW41)</f>
        <v>-1052.6931024078751</v>
      </c>
      <c r="AX40" s="26">
        <f>'CN FD D'!AX40-('CN FD A'!AX40*'CN FD S'!AX41/'CN FD alpha'!AX41)</f>
        <v>-1050.164015712483</v>
      </c>
      <c r="AY40" s="26">
        <f>'CN FD D'!AY40-('CN FD A'!AY40*'CN FD S'!AY41/'CN FD alpha'!AY41)</f>
        <v>-1047.6337165168043</v>
      </c>
      <c r="AZ40" s="26">
        <f>'CN FD D'!AZ40-('CN FD A'!AZ40*'CN FD S'!AZ41/'CN FD alpha'!AZ41)</f>
        <v>-1045.1020039995574</v>
      </c>
      <c r="BA40" s="6"/>
    </row>
    <row r="41" spans="1:53" x14ac:dyDescent="0.2">
      <c r="A41">
        <f t="shared" si="1"/>
        <v>24</v>
      </c>
      <c r="B41" s="3">
        <f t="shared" si="0"/>
        <v>48</v>
      </c>
      <c r="C41" s="26">
        <f>'CN FD D'!C41-('CN FD A'!C41*'CN FD S'!C42/'CN FD alpha'!C42)</f>
        <v>-971.83003470660935</v>
      </c>
      <c r="D41" s="26">
        <f>'CN FD D'!D41-('CN FD A'!D41*'CN FD S'!D42/'CN FD alpha'!D42)</f>
        <v>-968.74541247117418</v>
      </c>
      <c r="E41" s="26">
        <f>'CN FD D'!E41-('CN FD A'!E41*'CN FD S'!E42/'CN FD alpha'!E42)</f>
        <v>-965.66101743540389</v>
      </c>
      <c r="F41" s="26">
        <f>'CN FD D'!F41-('CN FD A'!F41*'CN FD S'!F42/'CN FD alpha'!F42)</f>
        <v>-962.57718628152122</v>
      </c>
      <c r="G41" s="26">
        <f>'CN FD D'!G41-('CN FD A'!G41*'CN FD S'!G42/'CN FD alpha'!G42)</f>
        <v>-959.49427717164156</v>
      </c>
      <c r="H41" s="26">
        <f>'CN FD D'!H41-('CN FD A'!H41*'CN FD S'!H42/'CN FD alpha'!H42)</f>
        <v>-956.41267098144999</v>
      </c>
      <c r="I41" s="26">
        <f>'CN FD D'!I41-('CN FD A'!I41*'CN FD S'!I42/'CN FD alpha'!I42)</f>
        <v>-953.3327725801222</v>
      </c>
      <c r="J41" s="26">
        <f>'CN FD D'!J41-('CN FD A'!J41*'CN FD S'!J42/'CN FD alpha'!J42)</f>
        <v>-950.25501215160682</v>
      </c>
      <c r="K41" s="26">
        <f>'CN FD D'!K41-('CN FD A'!K41*'CN FD S'!K42/'CN FD alpha'!K42)</f>
        <v>-947.17984655032751</v>
      </c>
      <c r="L41" s="26">
        <f>'CN FD D'!L41-('CN FD A'!L41*'CN FD S'!L42/'CN FD alpha'!L42)</f>
        <v>-944.10776068184816</v>
      </c>
      <c r="M41" s="26">
        <f>'CN FD D'!M41-('CN FD A'!M41*'CN FD S'!M42/'CN FD alpha'!M42)</f>
        <v>-941.03926889592026</v>
      </c>
      <c r="N41" s="26">
        <f>'CN FD D'!N41-('CN FD A'!N41*'CN FD S'!N42/'CN FD alpha'!N42)</f>
        <v>-937.97491637552628</v>
      </c>
      <c r="O41" s="26">
        <f>'CN FD D'!O41-('CN FD A'!O41*'CN FD S'!O42/'CN FD alpha'!O42)</f>
        <v>-934.91528050088118</v>
      </c>
      <c r="P41" s="26">
        <f>'CN FD D'!P41-('CN FD A'!P41*'CN FD S'!P42/'CN FD alpha'!P42)</f>
        <v>-931.86097216172197</v>
      </c>
      <c r="Q41" s="26">
        <f>'CN FD D'!Q41-('CN FD A'!Q41*'CN FD S'!Q42/'CN FD alpha'!Q42)</f>
        <v>-928.81263698440785</v>
      </c>
      <c r="R41" s="26">
        <f>'CN FD D'!R41-('CN FD A'!R41*'CN FD S'!R42/'CN FD alpha'!R42)</f>
        <v>-925.77095643217933</v>
      </c>
      <c r="S41" s="26">
        <f>'CN FD D'!S41-('CN FD A'!S41*'CN FD S'!S42/'CN FD alpha'!S42)</f>
        <v>-922.73664872715415</v>
      </c>
      <c r="T41" s="26">
        <f>'CN FD D'!T41-('CN FD A'!T41*'CN FD S'!T42/'CN FD alpha'!T42)</f>
        <v>-919.71046953102257</v>
      </c>
      <c r="U41" s="26">
        <f>'CN FD D'!U41-('CN FD A'!U41*'CN FD S'!U42/'CN FD alpha'!U42)</f>
        <v>-916.69321230768435</v>
      </c>
      <c r="V41" s="26">
        <f>'CN FD D'!V41-('CN FD A'!V41*'CN FD S'!V42/'CN FD alpha'!V42)</f>
        <v>-913.68570827497763</v>
      </c>
      <c r="W41" s="26">
        <f>'CN FD D'!W41-('CN FD A'!W41*'CN FD S'!W42/'CN FD alpha'!W42)</f>
        <v>-910.68882583392383</v>
      </c>
      <c r="X41" s="26">
        <f>'CN FD D'!X41-('CN FD A'!X41*'CN FD S'!X42/'CN FD alpha'!X42)</f>
        <v>-907.70346934233419</v>
      </c>
      <c r="Y41" s="26">
        <f>'CN FD D'!Y41-('CN FD A'!Y41*'CN FD S'!Y42/'CN FD alpha'!Y42)</f>
        <v>-904.7305770750462</v>
      </c>
      <c r="Z41" s="26">
        <f>'CN FD D'!Z41-('CN FD A'!Z41*'CN FD S'!Z42/'CN FD alpha'!Z42)</f>
        <v>-901.77111818546223</v>
      </c>
      <c r="AA41" s="26">
        <f>'CN FD D'!AA41-('CN FD A'!AA41*'CN FD S'!AA42/'CN FD alpha'!AA42)</f>
        <v>-898.82608845265463</v>
      </c>
      <c r="AB41" s="26">
        <f>'CN FD D'!AB41-('CN FD A'!AB41*'CN FD S'!AB42/'CN FD alpha'!AB42)</f>
        <v>-895.89650456559684</v>
      </c>
      <c r="AC41" s="26">
        <f>'CN FD D'!AC41-('CN FD A'!AC41*'CN FD S'!AC42/'CN FD alpha'!AC42)</f>
        <v>-892.98339666209711</v>
      </c>
      <c r="AD41" s="26">
        <f>'CN FD D'!AD41-('CN FD A'!AD41*'CN FD S'!AD42/'CN FD alpha'!AD42)</f>
        <v>-890.08779880644579</v>
      </c>
      <c r="AE41" s="26">
        <f>'CN FD D'!AE41-('CN FD A'!AE41*'CN FD S'!AE42/'CN FD alpha'!AE42)</f>
        <v>-887.21073705935135</v>
      </c>
      <c r="AF41" s="26">
        <f>'CN FD D'!AF41-('CN FD A'!AF41*'CN FD S'!AF42/'CN FD alpha'!AF42)</f>
        <v>-884.35321477045193</v>
      </c>
      <c r="AG41" s="26">
        <f>'CN FD D'!AG41-('CN FD A'!AG41*'CN FD S'!AG42/'CN FD alpha'!AG42)</f>
        <v>-881.51619471345975</v>
      </c>
      <c r="AH41" s="26">
        <f>'CN FD D'!AH41-('CN FD A'!AH41*'CN FD S'!AH42/'CN FD alpha'!AH42)</f>
        <v>-878.7005776951288</v>
      </c>
      <c r="AI41" s="26">
        <f>'CN FD D'!AI41-('CN FD A'!AI41*'CN FD S'!AI42/'CN FD alpha'!AI42)</f>
        <v>-875.90717731320251</v>
      </c>
      <c r="AJ41" s="26">
        <f>'CN FD D'!AJ41-('CN FD A'!AJ41*'CN FD S'!AJ42/'CN FD alpha'!AJ42)</f>
        <v>-873.1366906307768</v>
      </c>
      <c r="AK41" s="26">
        <f>'CN FD D'!AK41-('CN FD A'!AK41*'CN FD S'!AK42/'CN FD alpha'!AK42)</f>
        <v>-870.38966469540901</v>
      </c>
      <c r="AL41" s="26">
        <f>'CN FD D'!AL41-('CN FD A'!AL41*'CN FD S'!AL42/'CN FD alpha'!AL42)</f>
        <v>-867.66645908683938</v>
      </c>
      <c r="AM41" s="26">
        <f>'CN FD D'!AM41-('CN FD A'!AM41*'CN FD S'!AM42/'CN FD alpha'!AM42)</f>
        <v>-864.96720505944927</v>
      </c>
      <c r="AN41" s="26">
        <f>'CN FD D'!AN41-('CN FD A'!AN41*'CN FD S'!AN42/'CN FD alpha'!AN42)</f>
        <v>-862.29176239243361</v>
      </c>
      <c r="AO41" s="26">
        <f>'CN FD D'!AO41-('CN FD A'!AO41*'CN FD S'!AO42/'CN FD alpha'!AO42)</f>
        <v>-859.63967581362124</v>
      </c>
      <c r="AP41" s="26">
        <f>'CN FD D'!AP41-('CN FD A'!AP41*'CN FD S'!AP42/'CN FD alpha'!AP42)</f>
        <v>-857.01013386185798</v>
      </c>
      <c r="AQ41" s="26">
        <f>'CN FD D'!AQ41-('CN FD A'!AQ41*'CN FD S'!AQ42/'CN FD alpha'!AQ42)</f>
        <v>-854.40193432536569</v>
      </c>
      <c r="AR41" s="26">
        <f>'CN FD D'!AR41-('CN FD A'!AR41*'CN FD S'!AR42/'CN FD alpha'!AR42)</f>
        <v>-851.81346193387913</v>
      </c>
      <c r="AS41" s="26">
        <f>'CN FD D'!AS41-('CN FD A'!AS41*'CN FD S'!AS42/'CN FD alpha'!AS42)</f>
        <v>-849.24268571495827</v>
      </c>
      <c r="AT41" s="26">
        <f>'CN FD D'!AT41-('CN FD A'!AT41*'CN FD S'!AT42/'CN FD alpha'!AT42)</f>
        <v>-846.68718513966246</v>
      </c>
      <c r="AU41" s="26">
        <f>'CN FD D'!AU41-('CN FD A'!AU41*'CN FD S'!AU42/'CN FD alpha'!AU42)</f>
        <v>-844.14421542682351</v>
      </c>
      <c r="AV41" s="26">
        <f>'CN FD D'!AV41-('CN FD A'!AV41*'CN FD S'!AV42/'CN FD alpha'!AV42)</f>
        <v>-841.61082227172744</v>
      </c>
      <c r="AW41" s="26">
        <f>'CN FD D'!AW41-('CN FD A'!AW41*'CN FD S'!AW42/'CN FD alpha'!AW42)</f>
        <v>-839.08401321698477</v>
      </c>
      <c r="AX41" s="26">
        <f>'CN FD D'!AX41-('CN FD A'!AX41*'CN FD S'!AX42/'CN FD alpha'!AX42)</f>
        <v>-836.56098409104789</v>
      </c>
      <c r="AY41" s="26">
        <f>'CN FD D'!AY41-('CN FD A'!AY41*'CN FD S'!AY42/'CN FD alpha'!AY42)</f>
        <v>-834.03937962418411</v>
      </c>
      <c r="AZ41" s="26">
        <f>'CN FD D'!AZ41-('CN FD A'!AZ41*'CN FD S'!AZ42/'CN FD alpha'!AZ42)</f>
        <v>-831.51752951022866</v>
      </c>
      <c r="BA41" s="6"/>
    </row>
    <row r="42" spans="1:53" x14ac:dyDescent="0.2">
      <c r="A42">
        <f t="shared" si="1"/>
        <v>23</v>
      </c>
      <c r="B42" s="3">
        <f t="shared" si="0"/>
        <v>46</v>
      </c>
      <c r="C42" s="26">
        <f>'CN FD D'!C42-('CN FD A'!C42*'CN FD S'!C43/'CN FD alpha'!C43)</f>
        <v>-775.48169523034903</v>
      </c>
      <c r="D42" s="26">
        <f>'CN FD D'!D42-('CN FD A'!D42*'CN FD S'!D43/'CN FD alpha'!D43)</f>
        <v>-772.14056596492765</v>
      </c>
      <c r="E42" s="26">
        <f>'CN FD D'!E42-('CN FD A'!E42*'CN FD S'!E43/'CN FD alpha'!E43)</f>
        <v>-768.79319945509326</v>
      </c>
      <c r="F42" s="26">
        <f>'CN FD D'!F42-('CN FD A'!F42*'CN FD S'!F43/'CN FD alpha'!F43)</f>
        <v>-765.43978616605273</v>
      </c>
      <c r="G42" s="26">
        <f>'CN FD D'!G42-('CN FD A'!G42*'CN FD S'!G43/'CN FD alpha'!G43)</f>
        <v>-762.08053922527665</v>
      </c>
      <c r="H42" s="26">
        <f>'CN FD D'!H42-('CN FD A'!H42*'CN FD S'!H43/'CN FD alpha'!H43)</f>
        <v>-758.71569659652369</v>
      </c>
      <c r="I42" s="26">
        <f>'CN FD D'!I42-('CN FD A'!I42*'CN FD S'!I43/'CN FD alpha'!I43)</f>
        <v>-755.34552346911744</v>
      </c>
      <c r="J42" s="26">
        <f>'CN FD D'!J42-('CN FD A'!J42*'CN FD S'!J43/'CN FD alpha'!J43)</f>
        <v>-751.97031488400944</v>
      </c>
      <c r="K42" s="26">
        <f>'CN FD D'!K42-('CN FD A'!K42*'CN FD S'!K43/'CN FD alpha'!K43)</f>
        <v>-748.59039862002101</v>
      </c>
      <c r="L42" s="26">
        <f>'CN FD D'!L42-('CN FD A'!L42*'CN FD S'!L43/'CN FD alpha'!L43)</f>
        <v>-745.20613836555799</v>
      </c>
      <c r="M42" s="26">
        <f>'CN FD D'!M42-('CN FD A'!M42*'CN FD S'!M43/'CN FD alpha'!M43)</f>
        <v>-741.81793720295741</v>
      </c>
      <c r="N42" s="26">
        <f>'CN FD D'!N42-('CN FD A'!N42*'CN FD S'!N43/'CN FD alpha'!N43)</f>
        <v>-738.42624143440003</v>
      </c>
      <c r="O42" s="26">
        <f>'CN FD D'!O42-('CN FD A'!O42*'CN FD S'!O43/'CN FD alpha'!O43)</f>
        <v>-735.0315447798738</v>
      </c>
      <c r="P42" s="26">
        <f>'CN FD D'!P42-('CN FD A'!P42*'CN FD S'!P43/'CN FD alpha'!P43)</f>
        <v>-731.63439297885702</v>
      </c>
      <c r="Q42" s="26">
        <f>'CN FD D'!Q42-('CN FD A'!Q42*'CN FD S'!Q43/'CN FD alpha'!Q43)</f>
        <v>-728.23538882800278</v>
      </c>
      <c r="R42" s="26">
        <f>'CN FD D'!R42-('CN FD A'!R42*'CN FD S'!R43/'CN FD alpha'!R43)</f>
        <v>-724.83519768684994</v>
      </c>
      <c r="S42" s="26">
        <f>'CN FD D'!S42-('CN FD A'!S42*'CN FD S'!S43/'CN FD alpha'!S43)</f>
        <v>-721.43455348208545</v>
      </c>
      <c r="T42" s="26">
        <f>'CN FD D'!T42-('CN FD A'!T42*'CN FD S'!T43/'CN FD alpha'!T43)</f>
        <v>-718.03426523764335</v>
      </c>
      <c r="U42" s="26">
        <f>'CN FD D'!U42-('CN FD A'!U42*'CN FD S'!U43/'CN FD alpha'!U43)</f>
        <v>-714.63522415227465</v>
      </c>
      <c r="V42" s="26">
        <f>'CN FD D'!V42-('CN FD A'!V42*'CN FD S'!V43/'CN FD alpha'!V43)</f>
        <v>-711.23841123729017</v>
      </c>
      <c r="W42" s="26">
        <f>'CN FD D'!W42-('CN FD A'!W42*'CN FD S'!W43/'CN FD alpha'!W43)</f>
        <v>-707.84490551384511</v>
      </c>
      <c r="X42" s="26">
        <f>'CN FD D'!X42-('CN FD A'!X42*'CN FD S'!X43/'CN FD alpha'!X43)</f>
        <v>-704.4558927499404</v>
      </c>
      <c r="Y42" s="26">
        <f>'CN FD D'!Y42-('CN FD A'!Y42*'CN FD S'!Y43/'CN FD alpha'!Y43)</f>
        <v>-701.07267469039584</v>
      </c>
      <c r="Z42" s="26">
        <f>'CN FD D'!Z42-('CN FD A'!Z42*'CN FD S'!Z43/'CN FD alpha'!Z43)</f>
        <v>-697.69667869601642</v>
      </c>
      <c r="AA42" s="26">
        <f>'CN FD D'!AA42-('CN FD A'!AA42*'CN FD S'!AA43/'CN FD alpha'!AA43)</f>
        <v>-694.32946765805389</v>
      </c>
      <c r="AB42" s="26">
        <f>'CN FD D'!AB42-('CN FD A'!AB42*'CN FD S'!AB43/'CN FD alpha'!AB43)</f>
        <v>-690.97274998707474</v>
      </c>
      <c r="AC42" s="26">
        <f>'CN FD D'!AC42-('CN FD A'!AC42*'CN FD S'!AC43/'CN FD alpha'!AC43)</f>
        <v>-687.62838938687003</v>
      </c>
      <c r="AD42" s="26">
        <f>'CN FD D'!AD42-('CN FD A'!AD42*'CN FD S'!AD43/'CN FD alpha'!AD43)</f>
        <v>-684.29841400841622</v>
      </c>
      <c r="AE42" s="26">
        <f>'CN FD D'!AE42-('CN FD A'!AE42*'CN FD S'!AE43/'CN FD alpha'!AE43)</f>
        <v>-680.98502442932727</v>
      </c>
      <c r="AF42" s="26">
        <f>'CN FD D'!AF42-('CN FD A'!AF42*'CN FD S'!AF43/'CN FD alpha'!AF43)</f>
        <v>-677.69059971281649</v>
      </c>
      <c r="AG42" s="26">
        <f>'CN FD D'!AG42-('CN FD A'!AG42*'CN FD S'!AG43/'CN FD alpha'!AG43)</f>
        <v>-674.41770055788754</v>
      </c>
      <c r="AH42" s="26">
        <f>'CN FD D'!AH42-('CN FD A'!AH42*'CN FD S'!AH43/'CN FD alpha'!AH43)</f>
        <v>-671.16906824963837</v>
      </c>
      <c r="AI42" s="26">
        <f>'CN FD D'!AI42-('CN FD A'!AI42*'CN FD S'!AI43/'CN FD alpha'!AI43)</f>
        <v>-667.9476177455706</v>
      </c>
      <c r="AJ42" s="26">
        <f>'CN FD D'!AJ42-('CN FD A'!AJ42*'CN FD S'!AJ43/'CN FD alpha'!AJ43)</f>
        <v>-664.75642278263615</v>
      </c>
      <c r="AK42" s="26">
        <f>'CN FD D'!AK42-('CN FD A'!AK42*'CN FD S'!AK43/'CN FD alpha'!AK43)</f>
        <v>-661.59869035665633</v>
      </c>
      <c r="AL42" s="26">
        <f>'CN FD D'!AL42-('CN FD A'!AL42*'CN FD S'!AL43/'CN FD alpha'!AL43)</f>
        <v>-658.4777213157173</v>
      </c>
      <c r="AM42" s="26">
        <f>'CN FD D'!AM42-('CN FD A'!AM42*'CN FD S'!AM43/'CN FD alpha'!AM43)</f>
        <v>-655.39685314333599</v>
      </c>
      <c r="AN42" s="26">
        <f>'CN FD D'!AN42-('CN FD A'!AN42*'CN FD S'!AN43/'CN FD alpha'!AN43)</f>
        <v>-652.35938033493221</v>
      </c>
      <c r="AO42" s="26">
        <f>'CN FD D'!AO42-('CN FD A'!AO42*'CN FD S'!AO43/'CN FD alpha'!AO43)</f>
        <v>-649.368447188804</v>
      </c>
      <c r="AP42" s="26">
        <f>'CN FD D'!AP42-('CN FD A'!AP42*'CN FD S'!AP43/'CN FD alpha'!AP43)</f>
        <v>-646.42690751352939</v>
      </c>
      <c r="AQ42" s="26">
        <f>'CN FD D'!AQ42-('CN FD A'!AQ42*'CN FD S'!AQ43/'CN FD alpha'!AQ43)</f>
        <v>-643.53714599352088</v>
      </c>
      <c r="AR42" s="26">
        <f>'CN FD D'!AR42-('CN FD A'!AR42*'CN FD S'!AR43/'CN FD alpha'!AR43)</f>
        <v>-640.70085724318278</v>
      </c>
      <c r="AS42" s="26">
        <f>'CN FD D'!AS42-('CN FD A'!AS42*'CN FD S'!AS43/'CN FD alpha'!AS43)</f>
        <v>-637.91878171041094</v>
      </c>
      <c r="AT42" s="26">
        <f>'CN FD D'!AT42-('CN FD A'!AT42*'CN FD S'!AT43/'CN FD alpha'!AT43)</f>
        <v>-635.19040382346589</v>
      </c>
      <c r="AU42" s="26">
        <f>'CN FD D'!AU42-('CN FD A'!AU42*'CN FD S'!AU43/'CN FD alpha'!AU43)</f>
        <v>-632.51362909432737</v>
      </c>
      <c r="AV42" s="26">
        <f>'CN FD D'!AV42-('CN FD A'!AV42*'CN FD S'!AV43/'CN FD alpha'!AV43)</f>
        <v>-629.88447638328603</v>
      </c>
      <c r="AW42" s="26">
        <f>'CN FD D'!AW42-('CN FD A'!AW42*'CN FD S'!AW43/'CN FD alpha'!AW43)</f>
        <v>-627.29685396336652</v>
      </c>
      <c r="AX42" s="26">
        <f>'CN FD D'!AX42-('CN FD A'!AX42*'CN FD S'!AX43/'CN FD alpha'!AX43)</f>
        <v>-624.74254072547205</v>
      </c>
      <c r="AY42" s="26">
        <f>'CN FD D'!AY42-('CN FD A'!AY42*'CN FD S'!AY43/'CN FD alpha'!AY43)</f>
        <v>-622.21157803647304</v>
      </c>
      <c r="AZ42" s="26">
        <f>'CN FD D'!AZ42-('CN FD A'!AZ42*'CN FD S'!AZ43/'CN FD alpha'!AZ43)</f>
        <v>-619.69341046266459</v>
      </c>
      <c r="BA42" s="6"/>
    </row>
    <row r="43" spans="1:53" x14ac:dyDescent="0.2">
      <c r="A43">
        <f t="shared" si="1"/>
        <v>22</v>
      </c>
      <c r="B43" s="3">
        <f t="shared" si="0"/>
        <v>44</v>
      </c>
      <c r="C43" s="26">
        <f>'CN FD D'!C43-('CN FD A'!C43*'CN FD S'!C44/'CN FD alpha'!C44)</f>
        <v>-592.15088333338656</v>
      </c>
      <c r="D43" s="26">
        <f>'CN FD D'!D43-('CN FD A'!D43*'CN FD S'!D44/'CN FD alpha'!D44)</f>
        <v>-588.56089984213224</v>
      </c>
      <c r="E43" s="26">
        <f>'CN FD D'!E43-('CN FD A'!E43*'CN FD S'!E44/'CN FD alpha'!E44)</f>
        <v>-584.95552625623463</v>
      </c>
      <c r="F43" s="26">
        <f>'CN FD D'!F43-('CN FD A'!F43*'CN FD S'!F44/'CN FD alpha'!F44)</f>
        <v>-581.33457203444391</v>
      </c>
      <c r="G43" s="26">
        <f>'CN FD D'!G43-('CN FD A'!G43*'CN FD S'!G44/'CN FD alpha'!G44)</f>
        <v>-577.69785000373474</v>
      </c>
      <c r="H43" s="26">
        <f>'CN FD D'!H43-('CN FD A'!H43*'CN FD S'!H44/'CN FD alpha'!H44)</f>
        <v>-574.0451775549659</v>
      </c>
      <c r="I43" s="26">
        <f>'CN FD D'!I43-('CN FD A'!I43*'CN FD S'!I44/'CN FD alpha'!I44)</f>
        <v>-570.37637803952578</v>
      </c>
      <c r="J43" s="26">
        <f>'CN FD D'!J43-('CN FD A'!J43*'CN FD S'!J44/'CN FD alpha'!J44)</f>
        <v>-566.69128240007308</v>
      </c>
      <c r="K43" s="26">
        <f>'CN FD D'!K43-('CN FD A'!K43*'CN FD S'!K44/'CN FD alpha'!K44)</f>
        <v>-562.98973107424831</v>
      </c>
      <c r="L43" s="26">
        <f>'CN FD D'!L43-('CN FD A'!L43*'CN FD S'!L44/'CN FD alpha'!L44)</f>
        <v>-559.27157621705067</v>
      </c>
      <c r="M43" s="26">
        <f>'CN FD D'!M43-('CN FD A'!M43*'CN FD S'!M44/'CN FD alpha'!M44)</f>
        <v>-555.53668429566346</v>
      </c>
      <c r="N43" s="26">
        <f>'CN FD D'!N43-('CN FD A'!N43*'CN FD S'!N44/'CN FD alpha'!N44)</f>
        <v>-551.78493912009912</v>
      </c>
      <c r="O43" s="26">
        <f>'CN FD D'!O43-('CN FD A'!O43*'CN FD S'!O44/'CN FD alpha'!O44)</f>
        <v>-548.01624538440876</v>
      </c>
      <c r="P43" s="26">
        <f>'CN FD D'!P43-('CN FD A'!P43*'CN FD S'!P44/'CN FD alpha'!P44)</f>
        <v>-544.23053280669933</v>
      </c>
      <c r="Q43" s="26">
        <f>'CN FD D'!Q43-('CN FD A'!Q43*'CN FD S'!Q44/'CN FD alpha'!Q44)</f>
        <v>-540.42776097221247</v>
      </c>
      <c r="R43" s="26">
        <f>'CN FD D'!R43-('CN FD A'!R43*'CN FD S'!R44/'CN FD alpha'!R44)</f>
        <v>-536.60792500269997</v>
      </c>
      <c r="S43" s="26">
        <f>'CN FD D'!S43-('CN FD A'!S43*'CN FD S'!S44/'CN FD alpha'!S44)</f>
        <v>-532.77106219782263</v>
      </c>
      <c r="T43" s="26">
        <f>'CN FD D'!T43-('CN FD A'!T43*'CN FD S'!T44/'CN FD alpha'!T44)</f>
        <v>-528.91725982088406</v>
      </c>
      <c r="U43" s="26">
        <f>'CN FD D'!U43-('CN FD A'!U43*'CN FD S'!U44/'CN FD alpha'!U44)</f>
        <v>-525.04666423259846</v>
      </c>
      <c r="V43" s="26">
        <f>'CN FD D'!V43-('CN FD A'!V43*'CN FD S'!V44/'CN FD alpha'!V44)</f>
        <v>-521.159491613505</v>
      </c>
      <c r="W43" s="26">
        <f>'CN FD D'!W43-('CN FD A'!W43*'CN FD S'!W44/'CN FD alpha'!W44)</f>
        <v>-517.25604055888459</v>
      </c>
      <c r="X43" s="26">
        <f>'CN FD D'!X43-('CN FD A'!X43*'CN FD S'!X44/'CN FD alpha'!X44)</f>
        <v>-513.33670688043321</v>
      </c>
      <c r="Y43" s="26">
        <f>'CN FD D'!Y43-('CN FD A'!Y43*'CN FD S'!Y44/'CN FD alpha'!Y44)</f>
        <v>-509.40200100721574</v>
      </c>
      <c r="Z43" s="26">
        <f>'CN FD D'!Z43-('CN FD A'!Z43*'CN FD S'!Z44/'CN FD alpha'!Z44)</f>
        <v>-505.45256844518508</v>
      </c>
      <c r="AA43" s="26">
        <f>'CN FD D'!AA43-('CN FD A'!AA43*'CN FD S'!AA44/'CN FD alpha'!AA44)</f>
        <v>-501.4892138300084</v>
      </c>
      <c r="AB43" s="26">
        <f>'CN FD D'!AB43-('CN FD A'!AB43*'CN FD S'!AB44/'CN FD alpha'!AB44)</f>
        <v>-497.5129291917147</v>
      </c>
      <c r="AC43" s="26">
        <f>'CN FD D'!AC43-('CN FD A'!AC43*'CN FD S'!AC44/'CN FD alpha'!AC44)</f>
        <v>-493.5249271402937</v>
      </c>
      <c r="AD43" s="26">
        <f>'CN FD D'!AD43-('CN FD A'!AD43*'CN FD S'!AD44/'CN FD alpha'!AD44)</f>
        <v>-489.52667977567552</v>
      </c>
      <c r="AE43" s="26">
        <f>'CN FD D'!AE43-('CN FD A'!AE43*'CN FD S'!AE44/'CN FD alpha'!AE44)</f>
        <v>-485.51996421762215</v>
      </c>
      <c r="AF43" s="26">
        <f>'CN FD D'!AF43-('CN FD A'!AF43*'CN FD S'!AF44/'CN FD alpha'!AF44)</f>
        <v>-481.50691573098118</v>
      </c>
      <c r="AG43" s="26">
        <f>'CN FD D'!AG43-('CN FD A'!AG43*'CN FD S'!AG44/'CN FD alpha'!AG44)</f>
        <v>-477.49008947319646</v>
      </c>
      <c r="AH43" s="26">
        <f>'CN FD D'!AH43-('CN FD A'!AH43*'CN FD S'!AH44/'CN FD alpha'!AH44)</f>
        <v>-473.472531888275</v>
      </c>
      <c r="AI43" s="26">
        <f>'CN FD D'!AI43-('CN FD A'!AI43*'CN FD S'!AI44/'CN FD alpha'!AI44)</f>
        <v>-469.45786267490286</v>
      </c>
      <c r="AJ43" s="26">
        <f>'CN FD D'!AJ43-('CN FD A'!AJ43*'CN FD S'!AJ44/'CN FD alpha'!AJ44)</f>
        <v>-465.45036800579561</v>
      </c>
      <c r="AK43" s="26">
        <f>'CN FD D'!AK43-('CN FD A'!AK43*'CN FD S'!AK44/'CN FD alpha'!AK44)</f>
        <v>-461.45510518005653</v>
      </c>
      <c r="AL43" s="26">
        <f>'CN FD D'!AL43-('CN FD A'!AL43*'CN FD S'!AL44/'CN FD alpha'!AL44)</f>
        <v>-457.47801801536548</v>
      </c>
      <c r="AM43" s="26">
        <f>'CN FD D'!AM43-('CN FD A'!AM43*'CN FD S'!AM44/'CN FD alpha'!AM44)</f>
        <v>-453.52606083272758</v>
      </c>
      <c r="AN43" s="26">
        <f>'CN FD D'!AN43-('CN FD A'!AN43*'CN FD S'!AN44/'CN FD alpha'!AN44)</f>
        <v>-449.60732655987829</v>
      </c>
      <c r="AO43" s="26">
        <f>'CN FD D'!AO43-('CN FD A'!AO43*'CN FD S'!AO44/'CN FD alpha'!AO44)</f>
        <v>-445.73117085072658</v>
      </c>
      <c r="AP43" s="26">
        <f>'CN FD D'!AP43-('CN FD A'!AP43*'CN FD S'!AP44/'CN FD alpha'!AP44)</f>
        <v>-441.90831856077256</v>
      </c>
      <c r="AQ43" s="26">
        <f>'CN FD D'!AQ43-('CN FD A'!AQ43*'CN FD S'!AQ44/'CN FD alpha'!AQ44)</f>
        <v>-438.15093052054925</v>
      </c>
      <c r="AR43" s="26">
        <f>'CN FD D'!AR43-('CN FD A'!AR43*'CN FD S'!AR44/'CN FD alpha'!AR44)</f>
        <v>-434.47259598734991</v>
      </c>
      <c r="AS43" s="26">
        <f>'CN FD D'!AS43-('CN FD A'!AS43*'CN FD S'!AS44/'CN FD alpha'!AS44)</f>
        <v>-430.88819751187435</v>
      </c>
      <c r="AT43" s="26">
        <f>'CN FD D'!AT43-('CN FD A'!AT43*'CN FD S'!AT44/'CN FD alpha'!AT44)</f>
        <v>-427.41356745516822</v>
      </c>
      <c r="AU43" s="26">
        <f>'CN FD D'!AU43-('CN FD A'!AU43*'CN FD S'!AU44/'CN FD alpha'!AU44)</f>
        <v>-424.06481501879443</v>
      </c>
      <c r="AV43" s="26">
        <f>'CN FD D'!AV43-('CN FD A'!AV43*'CN FD S'!AV44/'CN FD alpha'!AV44)</f>
        <v>-420.85714360813978</v>
      </c>
      <c r="AW43" s="26">
        <f>'CN FD D'!AW43-('CN FD A'!AW43*'CN FD S'!AW44/'CN FD alpha'!AW44)</f>
        <v>-417.80289225841517</v>
      </c>
      <c r="AX43" s="26">
        <f>'CN FD D'!AX43-('CN FD A'!AX43*'CN FD S'!AX44/'CN FD alpha'!AX44)</f>
        <v>-414.90840961783664</v>
      </c>
      <c r="AY43" s="26">
        <f>'CN FD D'!AY43-('CN FD A'!AY43*'CN FD S'!AY44/'CN FD alpha'!AY44)</f>
        <v>-412.16918713103945</v>
      </c>
      <c r="AZ43" s="26">
        <f>'CN FD D'!AZ43-('CN FD A'!AZ43*'CN FD S'!AZ44/'CN FD alpha'!AZ44)</f>
        <v>-409.56241435877871</v>
      </c>
      <c r="BA43" s="6"/>
    </row>
    <row r="44" spans="1:53" x14ac:dyDescent="0.2">
      <c r="A44">
        <f t="shared" si="1"/>
        <v>21</v>
      </c>
      <c r="B44" s="3">
        <f t="shared" si="0"/>
        <v>42</v>
      </c>
      <c r="C44" s="26">
        <f>'CN FD D'!C44-('CN FD A'!C44*'CN FD S'!C45/'CN FD alpha'!C45)</f>
        <v>-427.30170875925535</v>
      </c>
      <c r="D44" s="26">
        <f>'CN FD D'!D44-('CN FD A'!D44*'CN FD S'!D45/'CN FD alpha'!D45)</f>
        <v>-423.57076907769215</v>
      </c>
      <c r="E44" s="26">
        <f>'CN FD D'!E44-('CN FD A'!E44*'CN FD S'!E45/'CN FD alpha'!E45)</f>
        <v>-419.8160262695551</v>
      </c>
      <c r="F44" s="26">
        <f>'CN FD D'!F44-('CN FD A'!F44*'CN FD S'!F45/'CN FD alpha'!F45)</f>
        <v>-416.03682394986345</v>
      </c>
      <c r="G44" s="26">
        <f>'CN FD D'!G44-('CN FD A'!G44*'CN FD S'!G45/'CN FD alpha'!G45)</f>
        <v>-412.23247504219722</v>
      </c>
      <c r="H44" s="26">
        <f>'CN FD D'!H44-('CN FD A'!H44*'CN FD S'!H45/'CN FD alpha'!H45)</f>
        <v>-408.40225982623684</v>
      </c>
      <c r="I44" s="26">
        <f>'CN FD D'!I44-('CN FD A'!I44*'CN FD S'!I45/'CN FD alpha'!I45)</f>
        <v>-404.54542383623823</v>
      </c>
      <c r="J44" s="26">
        <f>'CN FD D'!J44-('CN FD A'!J44*'CN FD S'!J45/'CN FD alpha'!J45)</f>
        <v>-400.66117559890057</v>
      </c>
      <c r="K44" s="26">
        <f>'CN FD D'!K44-('CN FD A'!K44*'CN FD S'!K45/'CN FD alpha'!K45)</f>
        <v>-396.74868419866311</v>
      </c>
      <c r="L44" s="26">
        <f>'CN FD D'!L44-('CN FD A'!L44*'CN FD S'!L45/'CN FD alpha'!L45)</f>
        <v>-392.80707665825776</v>
      </c>
      <c r="M44" s="26">
        <f>'CN FD D'!M44-('CN FD A'!M44*'CN FD S'!M45/'CN FD alpha'!M45)</f>
        <v>-388.83543512245848</v>
      </c>
      <c r="N44" s="26">
        <f>'CN FD D'!N44-('CN FD A'!N44*'CN FD S'!N45/'CN FD alpha'!N45)</f>
        <v>-384.83279383355762</v>
      </c>
      <c r="O44" s="26">
        <f>'CN FD D'!O44-('CN FD A'!O44*'CN FD S'!O45/'CN FD alpha'!O45)</f>
        <v>-380.79813588838158</v>
      </c>
      <c r="P44" s="26">
        <f>'CN FD D'!P44-('CN FD A'!P44*'CN FD S'!P45/'CN FD alpha'!P45)</f>
        <v>-376.73038976892497</v>
      </c>
      <c r="Q44" s="26">
        <f>'CN FD D'!Q44-('CN FD A'!Q44*'CN FD S'!Q45/'CN FD alpha'!Q45)</f>
        <v>-372.62842564233404</v>
      </c>
      <c r="R44" s="26">
        <f>'CN FD D'!R44-('CN FD A'!R44*'CN FD S'!R45/'CN FD alpha'!R45)</f>
        <v>-368.49105143156487</v>
      </c>
      <c r="S44" s="26">
        <f>'CN FD D'!S44-('CN FD A'!S44*'CN FD S'!S45/'CN FD alpha'!S45)</f>
        <v>-364.31700866632207</v>
      </c>
      <c r="T44" s="26">
        <f>'CN FD D'!T44-('CN FD A'!T44*'CN FD S'!T45/'CN FD alpha'!T45)</f>
        <v>-360.10496813588981</v>
      </c>
      <c r="U44" s="26">
        <f>'CN FD D'!U44-('CN FD A'!U44*'CN FD S'!U45/'CN FD alpha'!U45)</f>
        <v>-355.85352538258394</v>
      </c>
      <c r="V44" s="26">
        <f>'CN FD D'!V44-('CN FD A'!V44*'CN FD S'!V45/'CN FD alpha'!V45)</f>
        <v>-351.56119609870819</v>
      </c>
      <c r="W44" s="26">
        <f>'CN FD D'!W44-('CN FD A'!W44*'CN FD S'!W45/'CN FD alpha'!W45)</f>
        <v>-347.22641152366998</v>
      </c>
      <c r="X44" s="26">
        <f>'CN FD D'!X44-('CN FD A'!X44*'CN FD S'!X45/'CN FD alpha'!X45)</f>
        <v>-342.84751398486736</v>
      </c>
      <c r="Y44" s="26">
        <f>'CN FD D'!Y44-('CN FD A'!Y44*'CN FD S'!Y45/'CN FD alpha'!Y45)</f>
        <v>-338.42275279090148</v>
      </c>
      <c r="Z44" s="26">
        <f>'CN FD D'!Z44-('CN FD A'!Z44*'CN FD S'!Z45/'CN FD alpha'!Z45)</f>
        <v>-333.9502807751993</v>
      </c>
      <c r="AA44" s="26">
        <f>'CN FD D'!AA44-('CN FD A'!AA44*'CN FD S'!AA45/'CN FD alpha'!AA45)</f>
        <v>-329.4281519112044</v>
      </c>
      <c r="AB44" s="26">
        <f>'CN FD D'!AB44-('CN FD A'!AB44*'CN FD S'!AB45/'CN FD alpha'!AB45)</f>
        <v>-324.85432058915228</v>
      </c>
      <c r="AC44" s="26">
        <f>'CN FD D'!AC44-('CN FD A'!AC44*'CN FD S'!AC45/'CN FD alpha'!AC45)</f>
        <v>-320.22664337578374</v>
      </c>
      <c r="AD44" s="26">
        <f>'CN FD D'!AD44-('CN FD A'!AD44*'CN FD S'!AD45/'CN FD alpha'!AD45)</f>
        <v>-315.54288439497316</v>
      </c>
      <c r="AE44" s="26">
        <f>'CN FD D'!AE44-('CN FD A'!AE44*'CN FD S'!AE45/'CN FD alpha'!AE45)</f>
        <v>-310.80072590031563</v>
      </c>
      <c r="AF44" s="26">
        <f>'CN FD D'!AF44-('CN FD A'!AF44*'CN FD S'!AF45/'CN FD alpha'!AF45)</f>
        <v>-305.99778620284104</v>
      </c>
      <c r="AG44" s="26">
        <f>'CN FD D'!AG44-('CN FD A'!AG44*'CN FD S'!AG45/'CN FD alpha'!AG45)</f>
        <v>-301.13164792653293</v>
      </c>
      <c r="AH44" s="26">
        <f>'CN FD D'!AH44-('CN FD A'!AH44*'CN FD S'!AH45/'CN FD alpha'!AH45)</f>
        <v>-296.19990067110041</v>
      </c>
      <c r="AI44" s="26">
        <f>'CN FD D'!AI44-('CN FD A'!AI44*'CN FD S'!AI45/'CN FD alpha'!AI45)</f>
        <v>-291.20020367501905</v>
      </c>
      <c r="AJ44" s="26">
        <f>'CN FD D'!AJ44-('CN FD A'!AJ44*'CN FD S'!AJ45/'CN FD alpha'!AJ45)</f>
        <v>-286.1303761424752</v>
      </c>
      <c r="AK44" s="26">
        <f>'CN FD D'!AK44-('CN FD A'!AK44*'CN FD S'!AK45/'CN FD alpha'!AK45)</f>
        <v>-280.98852573193398</v>
      </c>
      <c r="AL44" s="26">
        <f>'CN FD D'!AL44-('CN FD A'!AL44*'CN FD S'!AL45/'CN FD alpha'!AL45)</f>
        <v>-275.77322958533409</v>
      </c>
      <c r="AM44" s="26">
        <f>'CN FD D'!AM44-('CN FD A'!AM44*'CN FD S'!AM45/'CN FD alpha'!AM45)</f>
        <v>-270.48378759585682</v>
      </c>
      <c r="AN44" s="26">
        <f>'CN FD D'!AN44-('CN FD A'!AN44*'CN FD S'!AN45/'CN FD alpha'!AN45)</f>
        <v>-265.12057490670134</v>
      </c>
      <c r="AO44" s="26">
        <f>'CN FD D'!AO44-('CN FD A'!AO44*'CN FD S'!AO45/'CN FD alpha'!AO45)</f>
        <v>-259.68553064502754</v>
      </c>
      <c r="AP44" s="26">
        <f>'CN FD D'!AP44-('CN FD A'!AP44*'CN FD S'!AP45/'CN FD alpha'!AP45)</f>
        <v>-254.18283364811532</v>
      </c>
      <c r="AQ44" s="26">
        <f>'CN FD D'!AQ44-('CN FD A'!AQ44*'CN FD S'!AQ45/'CN FD alpha'!AQ45)</f>
        <v>-248.61983484786055</v>
      </c>
      <c r="AR44" s="26">
        <f>'CN FD D'!AR44-('CN FD A'!AR44*'CN FD S'!AR45/'CN FD alpha'!AR45)</f>
        <v>-243.0083420027872</v>
      </c>
      <c r="AS44" s="26">
        <f>'CN FD D'!AS44-('CN FD A'!AS44*'CN FD S'!AS45/'CN FD alpha'!AS45)</f>
        <v>-237.3663883157123</v>
      </c>
      <c r="AT44" s="26">
        <f>'CN FD D'!AT44-('CN FD A'!AT44*'CN FD S'!AT45/'CN FD alpha'!AT45)</f>
        <v>-231.72066591108734</v>
      </c>
      <c r="AU44" s="26">
        <f>'CN FD D'!AU44-('CN FD A'!AU44*'CN FD S'!AU45/'CN FD alpha'!AU45)</f>
        <v>-226.10987339128303</v>
      </c>
      <c r="AV44" s="26">
        <f>'CN FD D'!AV44-('CN FD A'!AV44*'CN FD S'!AV45/'CN FD alpha'!AV45)</f>
        <v>-220.58932100654775</v>
      </c>
      <c r="AW44" s="26">
        <f>'CN FD D'!AW44-('CN FD A'!AW44*'CN FD S'!AW45/'CN FD alpha'!AW45)</f>
        <v>-215.23726746714067</v>
      </c>
      <c r="AX44" s="26">
        <f>'CN FD D'!AX44-('CN FD A'!AX44*'CN FD S'!AX45/'CN FD alpha'!AX45)</f>
        <v>-210.16364318886798</v>
      </c>
      <c r="AY44" s="26">
        <f>'CN FD D'!AY44-('CN FD A'!AY44*'CN FD S'!AY45/'CN FD alpha'!AY45)</f>
        <v>-205.52206546426368</v>
      </c>
      <c r="AZ44" s="26">
        <f>'CN FD D'!AZ44-('CN FD A'!AZ44*'CN FD S'!AZ45/'CN FD alpha'!AZ45)</f>
        <v>-201.52639918650146</v>
      </c>
      <c r="BA44" s="6"/>
    </row>
    <row r="45" spans="1:53" x14ac:dyDescent="0.2">
      <c r="A45">
        <f t="shared" si="1"/>
        <v>20</v>
      </c>
      <c r="B45" s="3">
        <f t="shared" si="0"/>
        <v>40</v>
      </c>
      <c r="C45" s="26">
        <f>'CN FD D'!C45-('CN FD A'!C45*'CN FD S'!C46/'CN FD alpha'!C46)</f>
        <v>-286.9579156758756</v>
      </c>
      <c r="D45" s="26">
        <f>'CN FD D'!D45-('CN FD A'!D45*'CN FD S'!D46/'CN FD alpha'!D46)</f>
        <v>-283.32045455257452</v>
      </c>
      <c r="E45" s="26">
        <f>'CN FD D'!E45-('CN FD A'!E45*'CN FD S'!E46/'CN FD alpha'!E46)</f>
        <v>-279.65713998336173</v>
      </c>
      <c r="F45" s="26">
        <f>'CN FD D'!F45-('CN FD A'!F45*'CN FD S'!F46/'CN FD alpha'!F46)</f>
        <v>-275.96713737628625</v>
      </c>
      <c r="G45" s="26">
        <f>'CN FD D'!G45-('CN FD A'!G45*'CN FD S'!G46/'CN FD alpha'!G46)</f>
        <v>-272.24956498698492</v>
      </c>
      <c r="H45" s="26">
        <f>'CN FD D'!H45-('CN FD A'!H45*'CN FD S'!H46/'CN FD alpha'!H46)</f>
        <v>-268.50349008307546</v>
      </c>
      <c r="I45" s="26">
        <f>'CN FD D'!I45-('CN FD A'!I45*'CN FD S'!I46/'CN FD alpha'!I46)</f>
        <v>-264.72792469420347</v>
      </c>
      <c r="J45" s="26">
        <f>'CN FD D'!J45-('CN FD A'!J45*'CN FD S'!J46/'CN FD alpha'!J46)</f>
        <v>-260.92182089105302</v>
      </c>
      <c r="K45" s="26">
        <f>'CN FD D'!K45-('CN FD A'!K45*'CN FD S'!K46/'CN FD alpha'!K46)</f>
        <v>-257.08406552713075</v>
      </c>
      <c r="L45" s="26">
        <f>'CN FD D'!L45-('CN FD A'!L45*'CN FD S'!L46/'CN FD alpha'!L46)</f>
        <v>-253.21347436574482</v>
      </c>
      <c r="M45" s="26">
        <f>'CN FD D'!M45-('CN FD A'!M45*'CN FD S'!M46/'CN FD alpha'!M46)</f>
        <v>-249.30878550088363</v>
      </c>
      <c r="N45" s="26">
        <f>'CN FD D'!N45-('CN FD A'!N45*'CN FD S'!N46/'CN FD alpha'!N46)</f>
        <v>-245.36865196411298</v>
      </c>
      <c r="O45" s="26">
        <f>'CN FD D'!O45-('CN FD A'!O45*'CN FD S'!O46/'CN FD alpha'!O46)</f>
        <v>-241.39163338946668</v>
      </c>
      <c r="P45" s="26">
        <f>'CN FD D'!P45-('CN FD A'!P45*'CN FD S'!P46/'CN FD alpha'!P46)</f>
        <v>-237.37618658372816</v>
      </c>
      <c r="Q45" s="26">
        <f>'CN FD D'!Q45-('CN FD A'!Q45*'CN FD S'!Q46/'CN FD alpha'!Q46)</f>
        <v>-233.32065481939253</v>
      </c>
      <c r="R45" s="26">
        <f>'CN FD D'!R45-('CN FD A'!R45*'CN FD S'!R46/'CN FD alpha'!R46)</f>
        <v>-229.22325563053766</v>
      </c>
      <c r="S45" s="26">
        <f>'CN FD D'!S45-('CN FD A'!S45*'CN FD S'!S46/'CN FD alpha'!S46)</f>
        <v>-225.08206684602638</v>
      </c>
      <c r="T45" s="26">
        <f>'CN FD D'!T45-('CN FD A'!T45*'CN FD S'!T46/'CN FD alpha'!T46)</f>
        <v>-220.89501053758789</v>
      </c>
      <c r="U45" s="26">
        <f>'CN FD D'!U45-('CN FD A'!U45*'CN FD S'!U46/'CN FD alpha'!U46)</f>
        <v>-216.6598344894056</v>
      </c>
      <c r="V45" s="26">
        <f>'CN FD D'!V45-('CN FD A'!V45*'CN FD S'!V46/'CN FD alpha'!V46)</f>
        <v>-212.37409070702728</v>
      </c>
      <c r="W45" s="26">
        <f>'CN FD D'!W45-('CN FD A'!W45*'CN FD S'!W46/'CN FD alpha'!W46)</f>
        <v>-208.03511037172444</v>
      </c>
      <c r="X45" s="26">
        <f>'CN FD D'!X45-('CN FD A'!X45*'CN FD S'!X46/'CN FD alpha'!X46)</f>
        <v>-203.63997450539151</v>
      </c>
      <c r="Y45" s="26">
        <f>'CN FD D'!Y45-('CN FD A'!Y45*'CN FD S'!Y46/'CN FD alpha'!Y46)</f>
        <v>-199.18547943226517</v>
      </c>
      <c r="Z45" s="26">
        <f>'CN FD D'!Z45-('CN FD A'!Z45*'CN FD S'!Z46/'CN FD alpha'!Z46)</f>
        <v>-194.66809589615522</v>
      </c>
      <c r="AA45" s="26">
        <f>'CN FD D'!AA45-('CN FD A'!AA45*'CN FD S'!AA46/'CN FD alpha'!AA46)</f>
        <v>-190.0839204011082</v>
      </c>
      <c r="AB45" s="26">
        <f>'CN FD D'!AB45-('CN FD A'!AB45*'CN FD S'!AB46/'CN FD alpha'!AB46)</f>
        <v>-185.42861697057316</v>
      </c>
      <c r="AC45" s="26">
        <f>'CN FD D'!AC45-('CN FD A'!AC45*'CN FD S'!AC46/'CN FD alpha'!AC46)</f>
        <v>-180.69734704034605</v>
      </c>
      <c r="AD45" s="26">
        <f>'CN FD D'!AD45-('CN FD A'!AD45*'CN FD S'!AD46/'CN FD alpha'!AD46)</f>
        <v>-175.88468458106763</v>
      </c>
      <c r="AE45" s="26">
        <f>'CN FD D'!AE45-('CN FD A'!AE45*'CN FD S'!AE46/'CN FD alpha'!AE46)</f>
        <v>-170.98451274354275</v>
      </c>
      <c r="AF45" s="26">
        <f>'CN FD D'!AF45-('CN FD A'!AF45*'CN FD S'!AF46/'CN FD alpha'!AF46)</f>
        <v>-165.98989727732797</v>
      </c>
      <c r="AG45" s="26">
        <f>'CN FD D'!AG45-('CN FD A'!AG45*'CN FD S'!AG46/'CN FD alpha'!AG46)</f>
        <v>-160.89293061386292</v>
      </c>
      <c r="AH45" s="26">
        <f>'CN FD D'!AH45-('CN FD A'!AH45*'CN FD S'!AH46/'CN FD alpha'!AH46)</f>
        <v>-155.68453872884606</v>
      </c>
      <c r="AI45" s="26">
        <f>'CN FD D'!AI45-('CN FD A'!AI45*'CN FD S'!AI46/'CN FD alpha'!AI46)</f>
        <v>-150.35424056999477</v>
      </c>
      <c r="AJ45" s="26">
        <f>'CN FD D'!AJ45-('CN FD A'!AJ45*'CN FD S'!AJ46/'CN FD alpha'!AJ46)</f>
        <v>-144.88984677623827</v>
      </c>
      <c r="AK45" s="26">
        <f>'CN FD D'!AK45-('CN FD A'!AK45*'CN FD S'!AK46/'CN FD alpha'!AK46)</f>
        <v>-139.27708038279167</v>
      </c>
      <c r="AL45" s="26">
        <f>'CN FD D'!AL45-('CN FD A'!AL45*'CN FD S'!AL46/'CN FD alpha'!AL46)</f>
        <v>-133.49909688214993</v>
      </c>
      <c r="AM45" s="26">
        <f>'CN FD D'!AM45-('CN FD A'!AM45*'CN FD S'!AM46/'CN FD alpha'!AM46)</f>
        <v>-127.53587396289076</v>
      </c>
      <c r="AN45" s="26">
        <f>'CN FD D'!AN45-('CN FD A'!AN45*'CN FD S'!AN46/'CN FD alpha'!AN46)</f>
        <v>-121.36343189735611</v>
      </c>
      <c r="AO45" s="26">
        <f>'CN FD D'!AO45-('CN FD A'!AO45*'CN FD S'!AO46/'CN FD alpha'!AO46)</f>
        <v>-114.9528331167443</v>
      </c>
      <c r="AP45" s="26">
        <f>'CN FD D'!AP45-('CN FD A'!AP45*'CN FD S'!AP46/'CN FD alpha'!AP46)</f>
        <v>-108.26889294783292</v>
      </c>
      <c r="AQ45" s="26">
        <f>'CN FD D'!AQ45-('CN FD A'!AQ45*'CN FD S'!AQ46/'CN FD alpha'!AQ46)</f>
        <v>-101.26851137186863</v>
      </c>
      <c r="AR45" s="26">
        <f>'CN FD D'!AR45-('CN FD A'!AR45*'CN FD S'!AR46/'CN FD alpha'!AR46)</f>
        <v>-93.898506086235898</v>
      </c>
      <c r="AS45" s="26">
        <f>'CN FD D'!AS45-('CN FD A'!AS45*'CN FD S'!AS46/'CN FD alpha'!AS46)</f>
        <v>-86.09278750729203</v>
      </c>
      <c r="AT45" s="26">
        <f>'CN FD D'!AT45-('CN FD A'!AT45*'CN FD S'!AT46/'CN FD alpha'!AT46)</f>
        <v>-77.768663126763315</v>
      </c>
      <c r="AU45" s="26">
        <f>'CN FD D'!AU45-('CN FD A'!AU45*'CN FD S'!AU46/'CN FD alpha'!AU46)</f>
        <v>-68.821987040067867</v>
      </c>
      <c r="AV45" s="26">
        <f>'CN FD D'!AV45-('CN FD A'!AV45*'CN FD S'!AV46/'CN FD alpha'!AV46)</f>
        <v>-59.120773992709715</v>
      </c>
      <c r="AW45" s="26">
        <f>'CN FD D'!AW45-('CN FD A'!AW45*'CN FD S'!AW46/'CN FD alpha'!AW46)</f>
        <v>-48.496767067837169</v>
      </c>
      <c r="AX45" s="26">
        <f>'CN FD D'!AX45-('CN FD A'!AX45*'CN FD S'!AX46/'CN FD alpha'!AX46)</f>
        <v>-36.734272052519977</v>
      </c>
      <c r="AY45" s="26">
        <f>'CN FD D'!AY45-('CN FD A'!AY45*'CN FD S'!AY46/'CN FD alpha'!AY46)</f>
        <v>-23.555333012731527</v>
      </c>
      <c r="AZ45" s="26">
        <f>'CN FD D'!AZ45-('CN FD A'!AZ45*'CN FD S'!AZ46/'CN FD alpha'!AZ46)</f>
        <v>-8.6000000000000014</v>
      </c>
      <c r="BA45" s="6"/>
    </row>
    <row r="46" spans="1:53" x14ac:dyDescent="0.2">
      <c r="A46">
        <f t="shared" si="1"/>
        <v>19</v>
      </c>
      <c r="B46" s="3">
        <f t="shared" si="0"/>
        <v>38</v>
      </c>
      <c r="C46" s="26">
        <f>'CN FD D'!C46-('CN FD A'!C46*'CN FD S'!C47/'CN FD alpha'!C47)</f>
        <v>-176.14876478139499</v>
      </c>
      <c r="D46" s="26">
        <f>'CN FD D'!D46-('CN FD A'!D46*'CN FD S'!D47/'CN FD alpha'!D47)</f>
        <v>-172.92882373184162</v>
      </c>
      <c r="E46" s="26">
        <f>'CN FD D'!E46-('CN FD A'!E46*'CN FD S'!E47/'CN FD alpha'!E47)</f>
        <v>-169.69133202416853</v>
      </c>
      <c r="F46" s="26">
        <f>'CN FD D'!F46-('CN FD A'!F46*'CN FD S'!F47/'CN FD alpha'!F47)</f>
        <v>-166.43585040861112</v>
      </c>
      <c r="G46" s="26">
        <f>'CN FD D'!G46-('CN FD A'!G46*'CN FD S'!G47/'CN FD alpha'!G47)</f>
        <v>-163.16192193927529</v>
      </c>
      <c r="H46" s="26">
        <f>'CN FD D'!H46-('CN FD A'!H46*'CN FD S'!H47/'CN FD alpha'!H47)</f>
        <v>-159.86907114048952</v>
      </c>
      <c r="I46" s="26">
        <f>'CN FD D'!I46-('CN FD A'!I46*'CN FD S'!I47/'CN FD alpha'!I47)</f>
        <v>-156.5568031517395</v>
      </c>
      <c r="J46" s="26">
        <f>'CN FD D'!J46-('CN FD A'!J46*'CN FD S'!J47/'CN FD alpha'!J47)</f>
        <v>-153.22460285796055</v>
      </c>
      <c r="K46" s="26">
        <f>'CN FD D'!K46-('CN FD A'!K46*'CN FD S'!K47/'CN FD alpha'!K47)</f>
        <v>-149.87193401470117</v>
      </c>
      <c r="L46" s="26">
        <f>'CN FD D'!L46-('CN FD A'!L46*'CN FD S'!L47/'CN FD alpha'!L47)</f>
        <v>-146.49823838124053</v>
      </c>
      <c r="M46" s="26">
        <f>'CN FD D'!M46-('CN FD A'!M46*'CN FD S'!M47/'CN FD alpha'!M47)</f>
        <v>-143.10293487939526</v>
      </c>
      <c r="N46" s="26">
        <f>'CN FD D'!N46-('CN FD A'!N46*'CN FD S'!N47/'CN FD alpha'!N47)</f>
        <v>-139.68541880179967</v>
      </c>
      <c r="O46" s="26">
        <f>'CN FD D'!O46-('CN FD A'!O46*'CN FD S'!O47/'CN FD alpha'!O47)</f>
        <v>-136.24506110130406</v>
      </c>
      <c r="P46" s="26">
        <f>'CN FD D'!P46-('CN FD A'!P46*'CN FD S'!P47/'CN FD alpha'!P47)</f>
        <v>-132.78120780334919</v>
      </c>
      <c r="Q46" s="26">
        <f>'CN FD D'!Q46-('CN FD A'!Q46*'CN FD S'!Q47/'CN FD alpha'!Q47)</f>
        <v>-129.29317959643774</v>
      </c>
      <c r="R46" s="26">
        <f>'CN FD D'!R46-('CN FD A'!R46*'CN FD S'!R47/'CN FD alpha'!R47)</f>
        <v>-125.7802716730511</v>
      </c>
      <c r="S46" s="26">
        <f>'CN FD D'!S46-('CN FD A'!S46*'CN FD S'!S47/'CN FD alpha'!S47)</f>
        <v>-122.2417539157472</v>
      </c>
      <c r="T46" s="26">
        <f>'CN FD D'!T46-('CN FD A'!T46*'CN FD S'!T47/'CN FD alpha'!T47)</f>
        <v>-118.67687155227325</v>
      </c>
      <c r="U46" s="26">
        <f>'CN FD D'!U46-('CN FD A'!U46*'CN FD S'!U47/'CN FD alpha'!U47)</f>
        <v>-115.08484644138032</v>
      </c>
      <c r="V46" s="26">
        <f>'CN FD D'!V46-('CN FD A'!V46*'CN FD S'!V47/'CN FD alpha'!V47)</f>
        <v>-111.46487920029554</v>
      </c>
      <c r="W46" s="26">
        <f>'CN FD D'!W46-('CN FD A'!W46*'CN FD S'!W47/'CN FD alpha'!W47)</f>
        <v>-107.81615244899294</v>
      </c>
      <c r="X46" s="26">
        <f>'CN FD D'!X46-('CN FD A'!X46*'CN FD S'!X47/'CN FD alpha'!X47)</f>
        <v>-104.13783553008844</v>
      </c>
      <c r="Y46" s="26">
        <f>'CN FD D'!Y46-('CN FD A'!Y46*'CN FD S'!Y47/'CN FD alpha'!Y47)</f>
        <v>-100.42909117239888</v>
      </c>
      <c r="Z46" s="26">
        <f>'CN FD D'!Z46-('CN FD A'!Z46*'CN FD S'!Z47/'CN FD alpha'!Z47)</f>
        <v>-96.689084708867867</v>
      </c>
      <c r="AA46" s="26">
        <f>'CN FD D'!AA46-('CN FD A'!AA46*'CN FD S'!AA47/'CN FD alpha'!AA47)</f>
        <v>-92.916996646112196</v>
      </c>
      <c r="AB46" s="26">
        <f>'CN FD D'!AB46-('CN FD A'!AB46*'CN FD S'!AB47/'CN FD alpha'!AB47)</f>
        <v>-89.11203962702244</v>
      </c>
      <c r="AC46" s="26">
        <f>'CN FD D'!AC46-('CN FD A'!AC46*'CN FD S'!AC47/'CN FD alpha'!AC47)</f>
        <v>-85.273481147804816</v>
      </c>
      <c r="AD46" s="26">
        <f>'CN FD D'!AD46-('CN FD A'!AD46*'CN FD S'!AD47/'CN FD alpha'!AD47)</f>
        <v>-81.400673810529213</v>
      </c>
      <c r="AE46" s="26">
        <f>'CN FD D'!AE46-('CN FD A'!AE46*'CN FD S'!AE47/'CN FD alpha'!AE47)</f>
        <v>-77.493095443320755</v>
      </c>
      <c r="AF46" s="26">
        <f>'CN FD D'!AF46-('CN FD A'!AF46*'CN FD S'!AF47/'CN FD alpha'!AF47)</f>
        <v>-73.550402144712777</v>
      </c>
      <c r="AG46" s="26">
        <f>'CN FD D'!AG46-('CN FD A'!AG46*'CN FD S'!AG47/'CN FD alpha'!AG47)</f>
        <v>-69.572498261893472</v>
      </c>
      <c r="AH46" s="26">
        <f>'CN FD D'!AH46-('CN FD A'!AH46*'CN FD S'!AH47/'CN FD alpha'!AH47)</f>
        <v>-65.559628568268906</v>
      </c>
      <c r="AI46" s="26">
        <f>'CN FD D'!AI46-('CN FD A'!AI46*'CN FD S'!AI47/'CN FD alpha'!AI47)</f>
        <v>-61.512499561697645</v>
      </c>
      <c r="AJ46" s="26">
        <f>'CN FD D'!AJ46-('CN FD A'!AJ46*'CN FD S'!AJ47/'CN FD alpha'!AJ47)</f>
        <v>-57.432438990859936</v>
      </c>
      <c r="AK46" s="26">
        <f>'CN FD D'!AK46-('CN FD A'!AK46*'CN FD S'!AK47/'CN FD alpha'!AK47)</f>
        <v>-53.32160560637076</v>
      </c>
      <c r="AL46" s="26">
        <f>'CN FD D'!AL46-('CN FD A'!AL46*'CN FD S'!AL47/'CN FD alpha'!AL47)</f>
        <v>-49.183264955656341</v>
      </c>
      <c r="AM46" s="26">
        <f>'CN FD D'!AM46-('CN FD A'!AM46*'CN FD S'!AM47/'CN FD alpha'!AM47)</f>
        <v>-45.02215210323395</v>
      </c>
      <c r="AN46" s="26">
        <f>'CN FD D'!AN46-('CN FD A'!AN46*'CN FD S'!AN47/'CN FD alpha'!AN47)</f>
        <v>-40.844948870545892</v>
      </c>
      <c r="AO46" s="26">
        <f>'CN FD D'!AO46-('CN FD A'!AO46*'CN FD S'!AO47/'CN FD alpha'!AO47)</f>
        <v>-36.660912099292972</v>
      </c>
      <c r="AP46" s="26">
        <f>'CN FD D'!AP46-('CN FD A'!AP46*'CN FD S'!AP47/'CN FD alpha'!AP47)</f>
        <v>-32.482701281494101</v>
      </c>
      <c r="AQ46" s="26">
        <f>'CN FD D'!AQ46-('CN FD A'!AQ46*'CN FD S'!AQ47/'CN FD alpha'!AQ47)</f>
        <v>-28.327469648775573</v>
      </c>
      <c r="AR46" s="26">
        <f>'CN FD D'!AR46-('CN FD A'!AR46*'CN FD S'!AR47/'CN FD alpha'!AR47)</f>
        <v>-24.218303787166988</v>
      </c>
      <c r="AS46" s="26">
        <f>'CN FD D'!AS46-('CN FD A'!AS46*'CN FD S'!AS47/'CN FD alpha'!AS47)</f>
        <v>-20.186124806246013</v>
      </c>
      <c r="AT46" s="26">
        <f>'CN FD D'!AT46-('CN FD A'!AT46*'CN FD S'!AT47/'CN FD alpha'!AT47)</f>
        <v>-16.272201413594509</v>
      </c>
      <c r="AU46" s="26">
        <f>'CN FD D'!AU46-('CN FD A'!AU46*'CN FD S'!AU47/'CN FD alpha'!AU47)</f>
        <v>-12.531475116702154</v>
      </c>
      <c r="AV46" s="26">
        <f>'CN FD D'!AV46-('CN FD A'!AV46*'CN FD S'!AV47/'CN FD alpha'!AV47)</f>
        <v>-9.0369644908549915</v>
      </c>
      <c r="AW46" s="26">
        <f>'CN FD D'!AW46-('CN FD A'!AW46*'CN FD S'!AW47/'CN FD alpha'!AW47)</f>
        <v>-5.8856048071705835</v>
      </c>
      <c r="AX46" s="26">
        <f>'CN FD D'!AX46-('CN FD A'!AX46*'CN FD S'!AX47/'CN FD alpha'!AX47)</f>
        <v>-3.2059991336538118</v>
      </c>
      <c r="AY46" s="26">
        <f>'CN FD D'!AY46-('CN FD A'!AY46*'CN FD S'!AY47/'CN FD alpha'!AY47)</f>
        <v>-1.1687178824353188</v>
      </c>
      <c r="AZ46" s="26">
        <f>'CN FD D'!AZ46-('CN FD A'!AZ46*'CN FD S'!AZ47/'CN FD alpha'!AZ47)</f>
        <v>0</v>
      </c>
      <c r="BA46" s="6"/>
    </row>
    <row r="47" spans="1:53" x14ac:dyDescent="0.2">
      <c r="A47">
        <f t="shared" si="1"/>
        <v>18</v>
      </c>
      <c r="B47" s="3">
        <f t="shared" si="0"/>
        <v>36</v>
      </c>
      <c r="C47" s="26">
        <f>'CN FD D'!C47-('CN FD A'!C47*'CN FD S'!C48/'CN FD alpha'!C48)</f>
        <v>-96.884861033038206</v>
      </c>
      <c r="D47" s="26">
        <f>'CN FD D'!D47-('CN FD A'!D47*'CN FD S'!D48/'CN FD alpha'!D48)</f>
        <v>-94.378510070243209</v>
      </c>
      <c r="E47" s="26">
        <f>'CN FD D'!E47-('CN FD A'!E47*'CN FD S'!E48/'CN FD alpha'!E48)</f>
        <v>-91.870531363706291</v>
      </c>
      <c r="F47" s="26">
        <f>'CN FD D'!F47-('CN FD A'!F47*'CN FD S'!F48/'CN FD alpha'!F48)</f>
        <v>-89.361199608611528</v>
      </c>
      <c r="G47" s="26">
        <f>'CN FD D'!G47-('CN FD A'!G47*'CN FD S'!G48/'CN FD alpha'!G48)</f>
        <v>-86.850818178402619</v>
      </c>
      <c r="H47" s="26">
        <f>'CN FD D'!H47-('CN FD A'!H47*'CN FD S'!H48/'CN FD alpha'!H48)</f>
        <v>-84.339722137703646</v>
      </c>
      <c r="I47" s="26">
        <f>'CN FD D'!I47-('CN FD A'!I47*'CN FD S'!I48/'CN FD alpha'!I48)</f>
        <v>-81.828281607338823</v>
      </c>
      <c r="J47" s="26">
        <f>'CN FD D'!J47-('CN FD A'!J47*'CN FD S'!J48/'CN FD alpha'!J48)</f>
        <v>-79.316905526687762</v>
      </c>
      <c r="K47" s="26">
        <f>'CN FD D'!K47-('CN FD A'!K47*'CN FD S'!K48/'CN FD alpha'!K48)</f>
        <v>-76.806045864749976</v>
      </c>
      <c r="L47" s="26">
        <f>'CN FD D'!L47-('CN FD A'!L47*'CN FD S'!L48/'CN FD alpha'!L48)</f>
        <v>-74.296202338251561</v>
      </c>
      <c r="M47" s="26">
        <f>'CN FD D'!M47-('CN FD A'!M47*'CN FD S'!M48/'CN FD alpha'!M48)</f>
        <v>-71.787927702994978</v>
      </c>
      <c r="N47" s="26">
        <f>'CN FD D'!N47-('CN FD A'!N47*'CN FD S'!N48/'CN FD alpha'!N48)</f>
        <v>-69.28183369352503</v>
      </c>
      <c r="O47" s="26">
        <f>'CN FD D'!O47-('CN FD A'!O47*'CN FD S'!O48/'CN FD alpha'!O48)</f>
        <v>-66.778597696145823</v>
      </c>
      <c r="P47" s="26">
        <f>'CN FD D'!P47-('CN FD A'!P47*'CN FD S'!P48/'CN FD alpha'!P48)</f>
        <v>-64.278970251456329</v>
      </c>
      <c r="Q47" s="26">
        <f>'CN FD D'!Q47-('CN FD A'!Q47*'CN FD S'!Q48/'CN FD alpha'!Q48)</f>
        <v>-61.783783494932145</v>
      </c>
      <c r="R47" s="26">
        <f>'CN FD D'!R47-('CN FD A'!R47*'CN FD S'!R48/'CN FD alpha'!R48)</f>
        <v>-59.293960657695017</v>
      </c>
      <c r="S47" s="26">
        <f>'CN FD D'!S47-('CN FD A'!S47*'CN FD S'!S48/'CN FD alpha'!S48)</f>
        <v>-56.810526764447935</v>
      </c>
      <c r="T47" s="26">
        <f>'CN FD D'!T47-('CN FD A'!T47*'CN FD S'!T48/'CN FD alpha'!T48)</f>
        <v>-54.33462068149921</v>
      </c>
      <c r="U47" s="26">
        <f>'CN FD D'!U47-('CN FD A'!U47*'CN FD S'!U48/'CN FD alpha'!U48)</f>
        <v>-51.867508684615693</v>
      </c>
      <c r="V47" s="26">
        <f>'CN FD D'!V47-('CN FD A'!V47*'CN FD S'!V48/'CN FD alpha'!V48)</f>
        <v>-49.410599733716658</v>
      </c>
      <c r="W47" s="26">
        <f>'CN FD D'!W47-('CN FD A'!W47*'CN FD S'!W48/'CN FD alpha'!W48)</f>
        <v>-46.965462658471004</v>
      </c>
      <c r="X47" s="26">
        <f>'CN FD D'!X47-('CN FD A'!X47*'CN FD S'!X48/'CN FD alpha'!X48)</f>
        <v>-44.533845474655671</v>
      </c>
      <c r="Y47" s="26">
        <f>'CN FD D'!Y47-('CN FD A'!Y47*'CN FD S'!Y48/'CN FD alpha'!Y48)</f>
        <v>-42.117697064129075</v>
      </c>
      <c r="Z47" s="26">
        <f>'CN FD D'!Z47-('CN FD A'!Z47*'CN FD S'!Z48/'CN FD alpha'!Z48)</f>
        <v>-39.719191459223822</v>
      </c>
      <c r="AA47" s="26">
        <f>'CN FD D'!AA47-('CN FD A'!AA47*'CN FD S'!AA48/'CN FD alpha'!AA48)</f>
        <v>-37.340754972051819</v>
      </c>
      <c r="AB47" s="26">
        <f>'CN FD D'!AB47-('CN FD A'!AB47*'CN FD S'!AB48/'CN FD alpha'!AB48)</f>
        <v>-34.985096396093127</v>
      </c>
      <c r="AC47" s="26">
        <f>'CN FD D'!AC47-('CN FD A'!AC47*'CN FD S'!AC48/'CN FD alpha'!AC48)</f>
        <v>-32.655240475138172</v>
      </c>
      <c r="AD47" s="26">
        <f>'CN FD D'!AD47-('CN FD A'!AD47*'CN FD S'!AD48/'CN FD alpha'!AD48)</f>
        <v>-30.354564774319165</v>
      </c>
      <c r="AE47" s="26">
        <f>'CN FD D'!AE47-('CN FD A'!AE47*'CN FD S'!AE48/'CN FD alpha'!AE48)</f>
        <v>-28.086839987373576</v>
      </c>
      <c r="AF47" s="26">
        <f>'CN FD D'!AF47-('CN FD A'!AF47*'CN FD S'!AF48/'CN FD alpha'!AF48)</f>
        <v>-25.856273556630406</v>
      </c>
      <c r="AG47" s="26">
        <f>'CN FD D'!AG47-('CN FD A'!AG47*'CN FD S'!AG48/'CN FD alpha'!AG48)</f>
        <v>-23.667556244502986</v>
      </c>
      <c r="AH47" s="26">
        <f>'CN FD D'!AH47-('CN FD A'!AH47*'CN FD S'!AH48/'CN FD alpha'!AH48)</f>
        <v>-21.525910946147608</v>
      </c>
      <c r="AI47" s="26">
        <f>'CN FD D'!AI47-('CN FD A'!AI47*'CN FD S'!AI48/'CN FD alpha'!AI48)</f>
        <v>-19.437142529744893</v>
      </c>
      <c r="AJ47" s="26">
        <f>'CN FD D'!AJ47-('CN FD A'!AJ47*'CN FD S'!AJ48/'CN FD alpha'!AJ48)</f>
        <v>-17.407686775688564</v>
      </c>
      <c r="AK47" s="26">
        <f>'CN FD D'!AK47-('CN FD A'!AK47*'CN FD S'!AK48/'CN FD alpha'!AK48)</f>
        <v>-15.444655480409713</v>
      </c>
      <c r="AL47" s="26">
        <f>'CN FD D'!AL47-('CN FD A'!AL47*'CN FD S'!AL48/'CN FD alpha'!AL48)</f>
        <v>-13.555873388575387</v>
      </c>
      <c r="AM47" s="26">
        <f>'CN FD D'!AM47-('CN FD A'!AM47*'CN FD S'!AM48/'CN FD alpha'!AM48)</f>
        <v>-11.749900675737399</v>
      </c>
      <c r="AN47" s="26">
        <f>'CN FD D'!AN47-('CN FD A'!AN47*'CN FD S'!AN48/'CN FD alpha'!AN48)</f>
        <v>-10.03603202888549</v>
      </c>
      <c r="AO47" s="26">
        <f>'CN FD D'!AO47-('CN FD A'!AO47*'CN FD S'!AO48/'CN FD alpha'!AO48)</f>
        <v>-8.4242597041666283</v>
      </c>
      <c r="AP47" s="26">
        <f>'CN FD D'!AP47-('CN FD A'!AP47*'CN FD S'!AP48/'CN FD alpha'!AP48)</f>
        <v>-6.9251829280851718</v>
      </c>
      <c r="AQ47" s="26">
        <f>'CN FD D'!AQ47-('CN FD A'!AQ47*'CN FD S'!AQ48/'CN FD alpha'!AQ48)</f>
        <v>-5.5498391777549188</v>
      </c>
      <c r="AR47" s="26">
        <f>'CN FD D'!AR47-('CN FD A'!AR47*'CN FD S'!AR48/'CN FD alpha'!AR48)</f>
        <v>-4.3094235902153013</v>
      </c>
      <c r="AS47" s="26">
        <f>'CN FD D'!AS47-('CN FD A'!AS47*'CN FD S'!AS48/'CN FD alpha'!AS48)</f>
        <v>-3.2148501527151212</v>
      </c>
      <c r="AT47" s="26">
        <f>'CN FD D'!AT47-('CN FD A'!AT47*'CN FD S'!AT48/'CN FD alpha'!AT48)</f>
        <v>-2.2760912602741583</v>
      </c>
      <c r="AU47" s="26">
        <f>'CN FD D'!AU47-('CN FD A'!AU47*'CN FD S'!AU48/'CN FD alpha'!AU48)</f>
        <v>-1.5012091384576949</v>
      </c>
      <c r="AV47" s="26">
        <f>'CN FD D'!AV47-('CN FD A'!AV47*'CN FD S'!AV48/'CN FD alpha'!AV48)</f>
        <v>-0.89496142321633021</v>
      </c>
      <c r="AW47" s="26">
        <f>'CN FD D'!AW47-('CN FD A'!AW47*'CN FD S'!AW48/'CN FD alpha'!AW48)</f>
        <v>-0.45682104316004096</v>
      </c>
      <c r="AX47" s="26">
        <f>'CN FD D'!AX47-('CN FD A'!AX47*'CN FD S'!AX48/'CN FD alpha'!AX48)</f>
        <v>-0.17819365788572941</v>
      </c>
      <c r="AY47" s="26">
        <f>'CN FD D'!AY47-('CN FD A'!AY47*'CN FD S'!AY48/'CN FD alpha'!AY48)</f>
        <v>-3.8539137605452405E-2</v>
      </c>
      <c r="AZ47" s="26">
        <f>'CN FD D'!AZ47-('CN FD A'!AZ47*'CN FD S'!AZ48/'CN FD alpha'!AZ48)</f>
        <v>0</v>
      </c>
      <c r="BA47" s="6"/>
    </row>
    <row r="48" spans="1:53" x14ac:dyDescent="0.2">
      <c r="A48">
        <f t="shared" si="1"/>
        <v>17</v>
      </c>
      <c r="B48" s="3">
        <f t="shared" si="0"/>
        <v>34</v>
      </c>
      <c r="C48" s="26">
        <f>'CN FD D'!C48-('CN FD A'!C48*'CN FD S'!C49/'CN FD alpha'!C49)</f>
        <v>-46.761864598599388</v>
      </c>
      <c r="D48" s="26">
        <f>'CN FD D'!D48-('CN FD A'!D48*'CN FD S'!D49/'CN FD alpha'!D49)</f>
        <v>-45.09587522266856</v>
      </c>
      <c r="E48" s="26">
        <f>'CN FD D'!E48-('CN FD A'!E48*'CN FD S'!E49/'CN FD alpha'!E49)</f>
        <v>-43.442571077262485</v>
      </c>
      <c r="F48" s="26">
        <f>'CN FD D'!F48-('CN FD A'!F48*'CN FD S'!F49/'CN FD alpha'!F49)</f>
        <v>-41.802612270911979</v>
      </c>
      <c r="G48" s="26">
        <f>'CN FD D'!G48-('CN FD A'!G48*'CN FD S'!G49/'CN FD alpha'!G49)</f>
        <v>-40.176694724144092</v>
      </c>
      <c r="H48" s="26">
        <f>'CN FD D'!H48-('CN FD A'!H48*'CN FD S'!H49/'CN FD alpha'!H49)</f>
        <v>-38.565552196322592</v>
      </c>
      <c r="I48" s="26">
        <f>'CN FD D'!I48-('CN FD A'!I48*'CN FD S'!I49/'CN FD alpha'!I49)</f>
        <v>-36.969958398404131</v>
      </c>
      <c r="J48" s="26">
        <f>'CN FD D'!J48-('CN FD A'!J48*'CN FD S'!J49/'CN FD alpha'!J49)</f>
        <v>-35.390729186305215</v>
      </c>
      <c r="K48" s="26">
        <f>'CN FD D'!K48-('CN FD A'!K48*'CN FD S'!K49/'CN FD alpha'!K49)</f>
        <v>-33.828724826802876</v>
      </c>
      <c r="L48" s="26">
        <f>'CN FD D'!L48-('CN FD A'!L48*'CN FD S'!L49/'CN FD alpha'!L49)</f>
        <v>-32.284852324439427</v>
      </c>
      <c r="M48" s="26">
        <f>'CN FD D'!M48-('CN FD A'!M48*'CN FD S'!M49/'CN FD alpha'!M49)</f>
        <v>-30.760067793631691</v>
      </c>
      <c r="N48" s="26">
        <f>'CN FD D'!N48-('CN FD A'!N48*'CN FD S'!N49/'CN FD alpha'!N49)</f>
        <v>-29.255378854931358</v>
      </c>
      <c r="O48" s="26">
        <f>'CN FD D'!O48-('CN FD A'!O48*'CN FD S'!O49/'CN FD alpha'!O49)</f>
        <v>-27.771847027953385</v>
      </c>
      <c r="P48" s="26">
        <f>'CN FD D'!P48-('CN FD A'!P48*'CN FD S'!P49/'CN FD alpha'!P49)</f>
        <v>-26.310590085656845</v>
      </c>
      <c r="Q48" s="26">
        <f>'CN FD D'!Q48-('CN FD A'!Q48*'CN FD S'!Q49/'CN FD alpha'!Q49)</f>
        <v>-24.872784325163586</v>
      </c>
      <c r="R48" s="26">
        <f>'CN FD D'!R48-('CN FD A'!R48*'CN FD S'!R49/'CN FD alpha'!R49)</f>
        <v>-23.459666698830087</v>
      </c>
      <c r="S48" s="26">
        <f>'CN FD D'!S48-('CN FD A'!S48*'CN FD S'!S49/'CN FD alpha'!S49)</f>
        <v>-22.07253673549663</v>
      </c>
      <c r="T48" s="26">
        <f>'CN FD D'!T48-('CN FD A'!T48*'CN FD S'!T49/'CN FD alpha'!T49)</f>
        <v>-20.712758165327781</v>
      </c>
      <c r="U48" s="26">
        <f>'CN FD D'!U48-('CN FD A'!U48*'CN FD S'!U49/'CN FD alpha'!U49)</f>
        <v>-19.38176014198212</v>
      </c>
      <c r="V48" s="26">
        <f>'CN FD D'!V48-('CN FD A'!V48*'CN FD S'!V49/'CN FD alpha'!V49)</f>
        <v>-18.081037932511535</v>
      </c>
      <c r="W48" s="26">
        <f>'CN FD D'!W48-('CN FD A'!W48*'CN FD S'!W49/'CN FD alpha'!W49)</f>
        <v>-16.812152917854082</v>
      </c>
      <c r="X48" s="26">
        <f>'CN FD D'!X48-('CN FD A'!X48*'CN FD S'!X49/'CN FD alpha'!X49)</f>
        <v>-15.576731714479612</v>
      </c>
      <c r="Y48" s="26">
        <f>'CN FD D'!Y48-('CN FD A'!Y48*'CN FD S'!Y49/'CN FD alpha'!Y49)</f>
        <v>-14.376464190095286</v>
      </c>
      <c r="Z48" s="26">
        <f>'CN FD D'!Z48-('CN FD A'!Z48*'CN FD S'!Z49/'CN FD alpha'!Z49)</f>
        <v>-13.213100102763001</v>
      </c>
      <c r="AA48" s="26">
        <f>'CN FD D'!AA48-('CN FD A'!AA48*'CN FD S'!AA49/'CN FD alpha'!AA49)</f>
        <v>-12.08844404284396</v>
      </c>
      <c r="AB48" s="26">
        <f>'CN FD D'!AB48-('CN FD A'!AB48*'CN FD S'!AB49/'CN FD alpha'!AB49)</f>
        <v>-11.004348300546823</v>
      </c>
      <c r="AC48" s="26">
        <f>'CN FD D'!AC48-('CN FD A'!AC48*'CN FD S'!AC49/'CN FD alpha'!AC49)</f>
        <v>-9.9627032184695832</v>
      </c>
      <c r="AD48" s="26">
        <f>'CN FD D'!AD48-('CN FD A'!AD48*'CN FD S'!AD49/'CN FD alpha'!AD49)</f>
        <v>-8.9654245187956132</v>
      </c>
      <c r="AE48" s="26">
        <f>'CN FD D'!AE48-('CN FD A'!AE48*'CN FD S'!AE49/'CN FD alpha'!AE49)</f>
        <v>-8.0144370198274313</v>
      </c>
      <c r="AF48" s="26">
        <f>'CN FD D'!AF48-('CN FD A'!AF48*'CN FD S'!AF49/'CN FD alpha'!AF49)</f>
        <v>-7.1116540784559383</v>
      </c>
      <c r="AG48" s="26">
        <f>'CN FD D'!AG48-('CN FD A'!AG48*'CN FD S'!AG49/'CN FD alpha'!AG49)</f>
        <v>-6.2589520176343845</v>
      </c>
      <c r="AH48" s="26">
        <f>'CN FD D'!AH48-('CN FD A'!AH48*'CN FD S'!AH49/'CN FD alpha'!AH49)</f>
        <v>-5.4581387268292261</v>
      </c>
      <c r="AI48" s="26">
        <f>'CN FD D'!AI48-('CN FD A'!AI48*'CN FD S'!AI49/'CN FD alpha'!AI49)</f>
        <v>-4.7109155677779047</v>
      </c>
      <c r="AJ48" s="26">
        <f>'CN FD D'!AJ48-('CN FD A'!AJ48*'CN FD S'!AJ49/'CN FD alpha'!AJ49)</f>
        <v>-4.0188316911677484</v>
      </c>
      <c r="AK48" s="26">
        <f>'CN FD D'!AK48-('CN FD A'!AK48*'CN FD S'!AK49/'CN FD alpha'!AK49)</f>
        <v>-3.3832298917654811</v>
      </c>
      <c r="AL48" s="26">
        <f>'CN FD D'!AL48-('CN FD A'!AL48*'CN FD S'!AL49/'CN FD alpha'!AL49)</f>
        <v>-2.8051832284568818</v>
      </c>
      <c r="AM48" s="26">
        <f>'CN FD D'!AM48-('CN FD A'!AM48*'CN FD S'!AM49/'CN FD alpha'!AM49)</f>
        <v>-2.2854218520052703</v>
      </c>
      <c r="AN48" s="26">
        <f>'CN FD D'!AN48-('CN FD A'!AN48*'CN FD S'!AN49/'CN FD alpha'!AN49)</f>
        <v>-1.8242498740870119</v>
      </c>
      <c r="AO48" s="26">
        <f>'CN FD D'!AO48-('CN FD A'!AO48*'CN FD S'!AO49/'CN FD alpha'!AO49)</f>
        <v>-1.4214527560706001</v>
      </c>
      <c r="AP48" s="26">
        <f>'CN FD D'!AP48-('CN FD A'!AP48*'CN FD S'!AP49/'CN FD alpha'!AP49)</f>
        <v>-1.0761967060338595</v>
      </c>
      <c r="AQ48" s="26">
        <f>'CN FD D'!AQ48-('CN FD A'!AQ48*'CN FD S'!AQ49/'CN FD alpha'!AQ49)</f>
        <v>-0.78692310125818432</v>
      </c>
      <c r="AR48" s="26">
        <f>'CN FD D'!AR48-('CN FD A'!AR48*'CN FD S'!AR49/'CN FD alpha'!AR49)</f>
        <v>-0.55124321263313691</v>
      </c>
      <c r="AS48" s="26">
        <f>'CN FD D'!AS48-('CN FD A'!AS48*'CN FD S'!AS49/'CN FD alpha'!AS49)</f>
        <v>-0.36584178791862271</v>
      </c>
      <c r="AT48" s="26">
        <f>'CN FD D'!AT48-('CN FD A'!AT48*'CN FD S'!AT49/'CN FD alpha'!AT49)</f>
        <v>-0.22640275107955571</v>
      </c>
      <c r="AU48" s="26">
        <f>'CN FD D'!AU48-('CN FD A'!AU48*'CN FD S'!AU49/'CN FD alpha'!AU49)</f>
        <v>-0.12757693940119194</v>
      </c>
      <c r="AV48" s="26">
        <f>'CN FD D'!AV48-('CN FD A'!AV48*'CN FD S'!AV49/'CN FD alpha'!AV49)</f>
        <v>-6.302117137130582E-2</v>
      </c>
      <c r="AW48" s="26">
        <f>'CN FD D'!AW48-('CN FD A'!AW48*'CN FD S'!AW49/'CN FD alpha'!AW49)</f>
        <v>-2.5551027434330856E-2</v>
      </c>
      <c r="AX48" s="26">
        <f>'CN FD D'!AX48-('CN FD A'!AX48*'CN FD S'!AX49/'CN FD alpha'!AX49)</f>
        <v>-7.4679074820527954E-3</v>
      </c>
      <c r="AY48" s="26">
        <f>'CN FD D'!AY48-('CN FD A'!AY48*'CN FD S'!AY49/'CN FD alpha'!AY49)</f>
        <v>-1.1460707478968951E-3</v>
      </c>
      <c r="AZ48" s="26">
        <f>'CN FD D'!AZ48-('CN FD A'!AZ48*'CN FD S'!AZ49/'CN FD alpha'!AZ49)</f>
        <v>0</v>
      </c>
      <c r="BA48" s="6"/>
    </row>
    <row r="49" spans="1:53" x14ac:dyDescent="0.2">
      <c r="A49">
        <f t="shared" si="1"/>
        <v>16</v>
      </c>
      <c r="B49" s="3">
        <f t="shared" si="0"/>
        <v>32</v>
      </c>
      <c r="C49" s="26">
        <f>'CN FD D'!C49-('CN FD A'!C49*'CN FD S'!C50/'CN FD alpha'!C50)</f>
        <v>-19.402804657309389</v>
      </c>
      <c r="D49" s="26">
        <f>'CN FD D'!D49-('CN FD A'!D49*'CN FD S'!D50/'CN FD alpha'!D50)</f>
        <v>-18.480445030390836</v>
      </c>
      <c r="E49" s="26">
        <f>'CN FD D'!E49-('CN FD A'!E49*'CN FD S'!E50/'CN FD alpha'!E50)</f>
        <v>-17.575781602511178</v>
      </c>
      <c r="F49" s="26">
        <f>'CN FD D'!F49-('CN FD A'!F49*'CN FD S'!F50/'CN FD alpha'!F50)</f>
        <v>-16.689282943355185</v>
      </c>
      <c r="G49" s="26">
        <f>'CN FD D'!G49-('CN FD A'!G49*'CN FD S'!G50/'CN FD alpha'!G50)</f>
        <v>-15.821424932873541</v>
      </c>
      <c r="H49" s="26">
        <f>'CN FD D'!H49-('CN FD A'!H49*'CN FD S'!H50/'CN FD alpha'!H50)</f>
        <v>-14.972689984065861</v>
      </c>
      <c r="I49" s="26">
        <f>'CN FD D'!I49-('CN FD A'!I49*'CN FD S'!I50/'CN FD alpha'!I50)</f>
        <v>-14.143566113752284</v>
      </c>
      <c r="J49" s="26">
        <f>'CN FD D'!J49-('CN FD A'!J49*'CN FD S'!J50/'CN FD alpha'!J50)</f>
        <v>-13.334545842495579</v>
      </c>
      <c r="K49" s="26">
        <f>'CN FD D'!K49-('CN FD A'!K49*'CN FD S'!K50/'CN FD alpha'!K50)</f>
        <v>-12.546124903068833</v>
      </c>
      <c r="L49" s="26">
        <f>'CN FD D'!L49-('CN FD A'!L49*'CN FD S'!L50/'CN FD alpha'!L50)</f>
        <v>-11.778800735035116</v>
      </c>
      <c r="M49" s="26">
        <f>'CN FD D'!M49-('CN FD A'!M49*'CN FD S'!M50/'CN FD alpha'!M50)</f>
        <v>-11.033070741143247</v>
      </c>
      <c r="N49" s="26">
        <f>'CN FD D'!N49-('CN FD A'!N49*'CN FD S'!N50/'CN FD alpha'!N50)</f>
        <v>-10.309430279387229</v>
      </c>
      <c r="O49" s="26">
        <f>'CN FD D'!O49-('CN FD A'!O49*'CN FD S'!O50/'CN FD alpha'!O50)</f>
        <v>-9.6083703627794534</v>
      </c>
      <c r="P49" s="26">
        <f>'CN FD D'!P49-('CN FD A'!P49*'CN FD S'!P50/'CN FD alpha'!P50)</f>
        <v>-8.9303750372191981</v>
      </c>
      <c r="Q49" s="26">
        <f>'CN FD D'!Q49-('CN FD A'!Q49*'CN FD S'!Q50/'CN FD alpha'!Q50)</f>
        <v>-8.2759184063904403</v>
      </c>
      <c r="R49" s="26">
        <f>'CN FD D'!R49-('CN FD A'!R49*'CN FD S'!R50/'CN FD alpha'!R50)</f>
        <v>-7.6454612715132724</v>
      </c>
      <c r="S49" s="26">
        <f>'CN FD D'!S49-('CN FD A'!S49*'CN FD S'!S50/'CN FD alpha'!S50)</f>
        <v>-7.0394473531504467</v>
      </c>
      <c r="T49" s="26">
        <f>'CN FD D'!T49-('CN FD A'!T49*'CN FD S'!T50/'CN FD alpha'!T50)</f>
        <v>-6.4582990623213412</v>
      </c>
      <c r="U49" s="26">
        <f>'CN FD D'!U49-('CN FD A'!U49*'CN FD S'!U50/'CN FD alpha'!U50)</f>
        <v>-5.9024127891318887</v>
      </c>
      <c r="V49" s="26">
        <f>'CN FD D'!V49-('CN FD A'!V49*'CN FD S'!V50/'CN FD alpha'!V50)</f>
        <v>-5.3721536792763462</v>
      </c>
      <c r="W49" s="26">
        <f>'CN FD D'!W49-('CN FD A'!W49*'CN FD S'!W50/'CN FD alpha'!W50)</f>
        <v>-4.8678498724535988</v>
      </c>
      <c r="X49" s="26">
        <f>'CN FD D'!X49-('CN FD A'!X49*'CN FD S'!X50/'CN FD alpha'!X50)</f>
        <v>-4.3897861823884359</v>
      </c>
      <c r="Y49" s="26">
        <f>'CN FD D'!Y49-('CN FD A'!Y49*'CN FD S'!Y50/'CN FD alpha'!Y50)</f>
        <v>-3.9381972062612634</v>
      </c>
      <c r="Z49" s="26">
        <f>'CN FD D'!Z49-('CN FD A'!Z49*'CN FD S'!Z50/'CN FD alpha'!Z50)</f>
        <v>-3.5132598625261795</v>
      </c>
      <c r="AA49" s="26">
        <f>'CN FD D'!AA49-('CN FD A'!AA49*'CN FD S'!AA50/'CN FD alpha'!AA50)</f>
        <v>-3.1150853710378938</v>
      </c>
      <c r="AB49" s="26">
        <f>'CN FD D'!AB49-('CN FD A'!AB49*'CN FD S'!AB50/'CN FD alpha'!AB50)</f>
        <v>-2.7437107089224715</v>
      </c>
      <c r="AC49" s="26">
        <f>'CN FD D'!AC49-('CN FD A'!AC49*'CN FD S'!AC50/'CN FD alpha'!AC50)</f>
        <v>-2.3990896006366502</v>
      </c>
      <c r="AD49" s="26">
        <f>'CN FD D'!AD49-('CN FD A'!AD49*'CN FD S'!AD50/'CN FD alpha'!AD50)</f>
        <v>-2.0810831321922874</v>
      </c>
      <c r="AE49" s="26">
        <f>'CN FD D'!AE49-('CN FD A'!AE49*'CN FD S'!AE50/'CN FD alpha'!AE50)</f>
        <v>-1.7894501186906051</v>
      </c>
      <c r="AF49" s="26">
        <f>'CN FD D'!AF49-('CN FD A'!AF49*'CN FD S'!AF50/'CN FD alpha'!AF50)</f>
        <v>-1.523837402280098</v>
      </c>
      <c r="AG49" s="26">
        <f>'CN FD D'!AG49-('CN FD A'!AG49*'CN FD S'!AG50/'CN FD alpha'!AG50)</f>
        <v>-1.2837703155726532</v>
      </c>
      <c r="AH49" s="26">
        <f>'CN FD D'!AH49-('CN FD A'!AH49*'CN FD S'!AH50/'CN FD alpha'!AH50)</f>
        <v>-1.0686436144544695</v>
      </c>
      <c r="AI49" s="26">
        <f>'CN FD D'!AI49-('CN FD A'!AI49*'CN FD S'!AI50/'CN FD alpha'!AI50)</f>
        <v>-0.87771326485621448</v>
      </c>
      <c r="AJ49" s="26">
        <f>'CN FD D'!AJ49-('CN FD A'!AJ49*'CN FD S'!AJ50/'CN FD alpha'!AJ50)</f>
        <v>-0.71008956060998007</v>
      </c>
      <c r="AK49" s="26">
        <f>'CN FD D'!AK49-('CN FD A'!AK49*'CN FD S'!AK50/'CN FD alpha'!AK50)</f>
        <v>-0.56473215332546234</v>
      </c>
      <c r="AL49" s="26">
        <f>'CN FD D'!AL49-('CN FD A'!AL49*'CN FD S'!AL50/'CN FD alpha'!AL50)</f>
        <v>-0.44044768813255208</v>
      </c>
      <c r="AM49" s="26">
        <f>'CN FD D'!AM49-('CN FD A'!AM49*'CN FD S'!AM50/'CN FD alpha'!AM50)</f>
        <v>-0.33589085682465952</v>
      </c>
      <c r="AN49" s="26">
        <f>'CN FD D'!AN49-('CN FD A'!AN49*'CN FD S'!AN50/'CN FD alpha'!AN50)</f>
        <v>-0.24956979476333679</v>
      </c>
      <c r="AO49" s="26">
        <f>'CN FD D'!AO49-('CN FD A'!AO49*'CN FD S'!AO50/'CN FD alpha'!AO50)</f>
        <v>-0.17985684740576527</v>
      </c>
      <c r="AP49" s="26">
        <f>'CN FD D'!AP49-('CN FD A'!AP49*'CN FD S'!AP50/'CN FD alpha'!AP50)</f>
        <v>-0.1250057970487439</v>
      </c>
      <c r="AQ49" s="26">
        <f>'CN FD D'!AQ49-('CN FD A'!AQ49*'CN FD S'!AQ50/'CN FD alpha'!AQ50)</f>
        <v>-8.317664093327802E-2</v>
      </c>
      <c r="AR49" s="26">
        <f>'CN FD D'!AR49-('CN FD A'!AR49*'CN FD S'!AR50/'CN FD alpha'!AR50)</f>
        <v>-5.2468904699766498E-2</v>
      </c>
      <c r="AS49" s="26">
        <f>'CN FD D'!AS49-('CN FD A'!AS49*'CN FD S'!AS50/'CN FD alpha'!AS50)</f>
        <v>-3.0964196977013858E-2</v>
      </c>
      <c r="AT49" s="26">
        <f>'CN FD D'!AT49-('CN FD A'!AT49*'CN FD S'!AT50/'CN FD alpha'!AT50)</f>
        <v>-1.6778170594631919E-2</v>
      </c>
      <c r="AU49" s="26">
        <f>'CN FD D'!AU49-('CN FD A'!AU49*'CN FD S'!AU50/'CN FD alpha'!AU50)</f>
        <v>-8.1211240236541919E-3</v>
      </c>
      <c r="AV49" s="26">
        <f>'CN FD D'!AV49-('CN FD A'!AV49*'CN FD S'!AV50/'CN FD alpha'!AV50)</f>
        <v>-3.3649704401789628E-3</v>
      </c>
      <c r="AW49" s="26">
        <f>'CN FD D'!AW49-('CN FD A'!AW49*'CN FD S'!AW50/'CN FD alpha'!AW50)</f>
        <v>-1.1119651433453438E-3</v>
      </c>
      <c r="AX49" s="26">
        <f>'CN FD D'!AX49-('CN FD A'!AX49*'CN FD S'!AX50/'CN FD alpha'!AX50)</f>
        <v>-2.5705791627082922E-4</v>
      </c>
      <c r="AY49" s="26">
        <f>'CN FD D'!AY49-('CN FD A'!AY49*'CN FD S'!AY50/'CN FD alpha'!AY50)</f>
        <v>-3.0529907950057598E-5</v>
      </c>
      <c r="AZ49" s="26">
        <f>'CN FD D'!AZ49-('CN FD A'!AZ49*'CN FD S'!AZ50/'CN FD alpha'!AZ50)</f>
        <v>0</v>
      </c>
      <c r="BA49" s="6"/>
    </row>
    <row r="50" spans="1:53" x14ac:dyDescent="0.2">
      <c r="A50">
        <f t="shared" si="1"/>
        <v>15</v>
      </c>
      <c r="B50" s="3">
        <f t="shared" si="0"/>
        <v>30</v>
      </c>
      <c r="C50" s="26">
        <f>'CN FD D'!C50-('CN FD A'!C50*'CN FD S'!C51/'CN FD alpha'!C51)</f>
        <v>-6.7888499976897831</v>
      </c>
      <c r="D50" s="26">
        <f>'CN FD D'!D50-('CN FD A'!D50*'CN FD S'!D51/'CN FD alpha'!D51)</f>
        <v>-6.3720319417585349</v>
      </c>
      <c r="E50" s="26">
        <f>'CN FD D'!E50-('CN FD A'!E50*'CN FD S'!E51/'CN FD alpha'!E51)</f>
        <v>-5.9692057172212802</v>
      </c>
      <c r="F50" s="26">
        <f>'CN FD D'!F50-('CN FD A'!F50*'CN FD S'!F51/'CN FD alpha'!F51)</f>
        <v>-5.5804522414358422</v>
      </c>
      <c r="G50" s="26">
        <f>'CN FD D'!G50-('CN FD A'!G50*'CN FD S'!G51/'CN FD alpha'!G51)</f>
        <v>-5.205840762939884</v>
      </c>
      <c r="H50" s="26">
        <f>'CN FD D'!H50-('CN FD A'!H50*'CN FD S'!H51/'CN FD alpha'!H51)</f>
        <v>-4.8454277736234301</v>
      </c>
      <c r="I50" s="26">
        <f>'CN FD D'!I50-('CN FD A'!I50*'CN FD S'!I51/'CN FD alpha'!I51)</f>
        <v>-4.4992558664389515</v>
      </c>
      <c r="J50" s="26">
        <f>'CN FD D'!J50-('CN FD A'!J50*'CN FD S'!J51/'CN FD alpha'!J51)</f>
        <v>-4.1673525403853917</v>
      </c>
      <c r="K50" s="26">
        <f>'CN FD D'!K50-('CN FD A'!K50*'CN FD S'!K51/'CN FD alpha'!K51)</f>
        <v>-3.8497289554950824</v>
      </c>
      <c r="L50" s="26">
        <f>'CN FD D'!L50-('CN FD A'!L50*'CN FD S'!L51/'CN FD alpha'!L51)</f>
        <v>-3.5463786417215148</v>
      </c>
      <c r="M50" s="26">
        <f>'CN FD D'!M50-('CN FD A'!M50*'CN FD S'!M51/'CN FD alpha'!M51)</f>
        <v>-3.2572761669918084</v>
      </c>
      <c r="N50" s="26">
        <f>'CN FD D'!N50-('CN FD A'!N50*'CN FD S'!N51/'CN FD alpha'!N51)</f>
        <v>-2.9823757712713457</v>
      </c>
      <c r="O50" s="26">
        <f>'CN FD D'!O50-('CN FD A'!O50*'CN FD S'!O51/'CN FD alpha'!O51)</f>
        <v>-2.7216099753104182</v>
      </c>
      <c r="P50" s="26">
        <f>'CN FD D'!P50-('CN FD A'!P50*'CN FD S'!P51/'CN FD alpha'!P51)</f>
        <v>-2.4748881748243776</v>
      </c>
      <c r="Q50" s="26">
        <f>'CN FD D'!Q50-('CN FD A'!Q50*'CN FD S'!Q51/'CN FD alpha'!Q51)</f>
        <v>-2.242095233218437</v>
      </c>
      <c r="R50" s="26">
        <f>'CN FD D'!R50-('CN FD A'!R50*'CN FD S'!R51/'CN FD alpha'!R51)</f>
        <v>-2.0230900886220193</v>
      </c>
      <c r="S50" s="26">
        <f>'CN FD D'!S50-('CN FD A'!S50*'CN FD S'!S51/'CN FD alpha'!S51)</f>
        <v>-1.8177043939568696</v>
      </c>
      <c r="T50" s="26">
        <f>'CN FD D'!T50-('CN FD A'!T50*'CN FD S'!T51/'CN FD alpha'!T51)</f>
        <v>-1.6257412120328281</v>
      </c>
      <c r="U50" s="26">
        <f>'CN FD D'!U50-('CN FD A'!U50*'CN FD S'!U51/'CN FD alpha'!U51)</f>
        <v>-1.4469737912408389</v>
      </c>
      <c r="V50" s="26">
        <f>'CN FD D'!V50-('CN FD A'!V50*'CN FD S'!V51/'CN FD alpha'!V51)</f>
        <v>-1.2811444512771393</v>
      </c>
      <c r="W50" s="26">
        <f>'CN FD D'!W50-('CN FD A'!W50*'CN FD S'!W51/'CN FD alpha'!W51)</f>
        <v>-1.1279636124516927</v>
      </c>
      <c r="X50" s="26">
        <f>'CN FD D'!X50-('CN FD A'!X50*'CN FD S'!X51/'CN FD alpha'!X51)</f>
        <v>-0.98710900645175503</v>
      </c>
      <c r="Y50" s="26">
        <f>'CN FD D'!Y50-('CN FD A'!Y50*'CN FD S'!Y51/'CN FD alpha'!Y51)</f>
        <v>-0.85822511086396835</v>
      </c>
      <c r="Z50" s="26">
        <f>'CN FD D'!Z50-('CN FD A'!Z50*'CN FD S'!Z51/'CN FD alpha'!Z51)</f>
        <v>-0.74092285418616233</v>
      </c>
      <c r="AA50" s="26">
        <f>'CN FD D'!AA50-('CN FD A'!AA50*'CN FD S'!AA51/'CN FD alpha'!AA51)</f>
        <v>-0.63477964231972739</v>
      </c>
      <c r="AB50" s="26">
        <f>'CN FD D'!AB50-('CN FD A'!AB50*'CN FD S'!AB51/'CN FD alpha'!AB51)</f>
        <v>-0.53933976140792661</v>
      </c>
      <c r="AC50" s="26">
        <f>'CN FD D'!AC50-('CN FD A'!AC50*'CN FD S'!AC51/'CN FD alpha'!AC51)</f>
        <v>-0.4541152150926569</v>
      </c>
      <c r="AD50" s="26">
        <f>'CN FD D'!AD50-('CN FD A'!AD50*'CN FD S'!AD51/'CN FD alpha'!AD51)</f>
        <v>-0.37858705644264129</v>
      </c>
      <c r="AE50" s="26">
        <f>'CN FD D'!AE50-('CN FD A'!AE50*'CN FD S'!AE51/'CN FD alpha'!AE51)</f>
        <v>-0.31220727551020078</v>
      </c>
      <c r="AF50" s="26">
        <f>'CN FD D'!AF50-('CN FD A'!AF50*'CN FD S'!AF51/'CN FD alpha'!AF51)</f>
        <v>-0.25440130214868084</v>
      </c>
      <c r="AG50" s="26">
        <f>'CN FD D'!AG50-('CN FD A'!AG50*'CN FD S'!AG51/'CN FD alpha'!AG51)</f>
        <v>-0.20457117970013547</v>
      </c>
      <c r="AH50" s="26">
        <f>'CN FD D'!AH50-('CN FD A'!AH50*'CN FD S'!AH51/'CN FD alpha'!AH51)</f>
        <v>-0.16209945765065828</v>
      </c>
      <c r="AI50" s="26">
        <f>'CN FD D'!AI50-('CN FD A'!AI50*'CN FD S'!AI51/'CN FD alpha'!AI51)</f>
        <v>-0.1263538394291297</v>
      </c>
      <c r="AJ50" s="26">
        <f>'CN FD D'!AJ50-('CN FD A'!AJ50*'CN FD S'!AJ51/'CN FD alpha'!AJ51)</f>
        <v>-9.6692604154100081E-2</v>
      </c>
      <c r="AK50" s="26">
        <f>'CN FD D'!AK50-('CN FD A'!AK50*'CN FD S'!AK51/'CN FD alpha'!AK51)</f>
        <v>-7.2470797175799878E-2</v>
      </c>
      <c r="AL50" s="26">
        <f>'CN FD D'!AL50-('CN FD A'!AL50*'CN FD S'!AL51/'CN FD alpha'!AL51)</f>
        <v>-5.3047152529809884E-2</v>
      </c>
      <c r="AM50" s="26">
        <f>'CN FD D'!AM50-('CN FD A'!AM50*'CN FD S'!AM51/'CN FD alpha'!AM51)</f>
        <v>-3.7791669767300522E-2</v>
      </c>
      <c r="AN50" s="26">
        <f>'CN FD D'!AN50-('CN FD A'!AN50*'CN FD S'!AN51/'CN FD alpha'!AN51)</f>
        <v>-2.6093717085756311E-2</v>
      </c>
      <c r="AO50" s="26">
        <f>'CN FD D'!AO50-('CN FD A'!AO50*'CN FD S'!AO51/'CN FD alpha'!AO51)</f>
        <v>-1.7370471690067661E-2</v>
      </c>
      <c r="AP50" s="26">
        <f>'CN FD D'!AP50-('CN FD A'!AP50*'CN FD S'!AP51/'CN FD alpha'!AP51)</f>
        <v>-1.1075437049337717E-2</v>
      </c>
      <c r="AQ50" s="26">
        <f>'CN FD D'!AQ50-('CN FD A'!AQ50*'CN FD S'!AQ51/'CN FD alpha'!AQ51)</f>
        <v>-6.7066966170824796E-3</v>
      </c>
      <c r="AR50" s="26">
        <f>'CN FD D'!AR50-('CN FD A'!AR50*'CN FD S'!AR51/'CN FD alpha'!AR51)</f>
        <v>-3.8144780881474876E-3</v>
      </c>
      <c r="AS50" s="26">
        <f>'CN FD D'!AS50-('CN FD A'!AS50*'CN FD S'!AS51/'CN FD alpha'!AS51)</f>
        <v>-2.0075178847875816E-3</v>
      </c>
      <c r="AT50" s="26">
        <f>'CN FD D'!AT50-('CN FD A'!AT50*'CN FD S'!AT51/'CN FD alpha'!AT51)</f>
        <v>-9.576434162096092E-4</v>
      </c>
      <c r="AU50" s="26">
        <f>'CN FD D'!AU50-('CN FD A'!AU50*'CN FD S'!AU51/'CN FD alpha'!AU51)</f>
        <v>-4.0194864378504227E-4</v>
      </c>
      <c r="AV50" s="26">
        <f>'CN FD D'!AV50-('CN FD A'!AV50*'CN FD S'!AV51/'CN FD alpha'!AV51)</f>
        <v>-1.4195435501058892E-4</v>
      </c>
      <c r="AW50" s="26">
        <f>'CN FD D'!AW50-('CN FD A'!AW50*'CN FD S'!AW51/'CN FD alpha'!AW51)</f>
        <v>-3.9260172440717637E-5</v>
      </c>
      <c r="AX50" s="26">
        <f>'CN FD D'!AX50-('CN FD A'!AX50*'CN FD S'!AX51/'CN FD alpha'!AX51)</f>
        <v>-7.4726459361251449E-6</v>
      </c>
      <c r="AY50" s="26">
        <f>'CN FD D'!AY50-('CN FD A'!AY50*'CN FD S'!AY51/'CN FD alpha'!AY51)</f>
        <v>-7.2307569605560808E-7</v>
      </c>
      <c r="AZ50" s="26">
        <f>'CN FD D'!AZ50-('CN FD A'!AZ50*'CN FD S'!AZ51/'CN FD alpha'!AZ51)</f>
        <v>0</v>
      </c>
      <c r="BA50" s="6"/>
    </row>
    <row r="51" spans="1:53" x14ac:dyDescent="0.2">
      <c r="A51">
        <f t="shared" si="1"/>
        <v>14</v>
      </c>
      <c r="B51" s="3">
        <f t="shared" si="0"/>
        <v>28</v>
      </c>
      <c r="C51" s="26">
        <f>'CN FD D'!C51-('CN FD A'!C51*'CN FD S'!C52/'CN FD alpha'!C52)</f>
        <v>-1.9680607977862761</v>
      </c>
      <c r="D51" s="26">
        <f>'CN FD D'!D51-('CN FD A'!D51*'CN FD S'!D52/'CN FD alpha'!D52)</f>
        <v>-1.8167639889672971</v>
      </c>
      <c r="E51" s="26">
        <f>'CN FD D'!E51-('CN FD A'!E51*'CN FD S'!E52/'CN FD alpha'!E52)</f>
        <v>-1.6730492338024714</v>
      </c>
      <c r="F51" s="26">
        <f>'CN FD D'!F51-('CN FD A'!F51*'CN FD S'!F52/'CN FD alpha'!F52)</f>
        <v>-1.5368010197119382</v>
      </c>
      <c r="G51" s="26">
        <f>'CN FD D'!G51-('CN FD A'!G51*'CN FD S'!G52/'CN FD alpha'!G52)</f>
        <v>-1.407894951106478</v>
      </c>
      <c r="H51" s="26">
        <f>'CN FD D'!H51-('CN FD A'!H51*'CN FD S'!H52/'CN FD alpha'!H52)</f>
        <v>-1.2861976202871903</v>
      </c>
      <c r="I51" s="26">
        <f>'CN FD D'!I51-('CN FD A'!I51*'CN FD S'!I52/'CN FD alpha'!I52)</f>
        <v>-1.1715665101391231</v>
      </c>
      <c r="J51" s="26">
        <f>'CN FD D'!J51-('CN FD A'!J51*'CN FD S'!J52/'CN FD alpha'!J52)</f>
        <v>-1.0638499330629416</v>
      </c>
      <c r="K51" s="26">
        <f>'CN FD D'!K51-('CN FD A'!K51*'CN FD S'!K52/'CN FD alpha'!K52)</f>
        <v>-0.96288701086100736</v>
      </c>
      <c r="L51" s="26">
        <f>'CN FD D'!L51-('CN FD A'!L51*'CN FD S'!L52/'CN FD alpha'!L52)</f>
        <v>-0.86850770054661586</v>
      </c>
      <c r="M51" s="26">
        <f>'CN FD D'!M51-('CN FD A'!M51*'CN FD S'!M52/'CN FD alpha'!M52)</f>
        <v>-0.78053287126834869</v>
      </c>
      <c r="N51" s="26">
        <f>'CN FD D'!N51-('CN FD A'!N51*'CN FD S'!N52/'CN FD alpha'!N52)</f>
        <v>-0.69877443772455039</v>
      </c>
      <c r="O51" s="26">
        <f>'CN FD D'!O51-('CN FD A'!O51*'CN FD S'!O52/'CN FD alpha'!O52)</f>
        <v>-0.62303555557305046</v>
      </c>
      <c r="P51" s="26">
        <f>'CN FD D'!P51-('CN FD A'!P51*'CN FD S'!P52/'CN FD alpha'!P52)</f>
        <v>-0.5531108844035697</v>
      </c>
      <c r="Q51" s="26">
        <f>'CN FD D'!Q51-('CN FD A'!Q51*'CN FD S'!Q52/'CN FD alpha'!Q52)</f>
        <v>-0.48878692381785127</v>
      </c>
      <c r="R51" s="26">
        <f>'CN FD D'!R51-('CN FD A'!R51*'CN FD S'!R52/'CN FD alpha'!R52)</f>
        <v>-0.42984242803620987</v>
      </c>
      <c r="S51" s="26">
        <f>'CN FD D'!S51-('CN FD A'!S51*'CN FD S'!S52/'CN FD alpha'!S52)</f>
        <v>-0.37604890419742348</v>
      </c>
      <c r="T51" s="26">
        <f>'CN FD D'!T51-('CN FD A'!T51*'CN FD S'!T52/'CN FD alpha'!T52)</f>
        <v>-0.32717119911792431</v>
      </c>
      <c r="U51" s="26">
        <f>'CN FD D'!U51-('CN FD A'!U51*'CN FD S'!U52/'CN FD alpha'!U52)</f>
        <v>-0.28296817870020502</v>
      </c>
      <c r="V51" s="26">
        <f>'CN FD D'!V51-('CN FD A'!V51*'CN FD S'!V52/'CN FD alpha'!V52)</f>
        <v>-0.24319350340147602</v>
      </c>
      <c r="W51" s="26">
        <f>'CN FD D'!W51-('CN FD A'!W51*'CN FD S'!W52/'CN FD alpha'!W52)</f>
        <v>-0.20759650216275724</v>
      </c>
      <c r="X51" s="26">
        <f>'CN FD D'!X51-('CN FD A'!X51*'CN FD S'!X52/'CN FD alpha'!X52)</f>
        <v>-0.17592314592591224</v>
      </c>
      <c r="Y51" s="26">
        <f>'CN FD D'!Y51-('CN FD A'!Y51*'CN FD S'!Y52/'CN FD alpha'!Y52)</f>
        <v>-0.14791712030211954</v>
      </c>
      <c r="Z51" s="26">
        <f>'CN FD D'!Z51-('CN FD A'!Z51*'CN FD S'!Z52/'CN FD alpha'!Z52)</f>
        <v>-0.12332099507208973</v>
      </c>
      <c r="AA51" s="26">
        <f>'CN FD D'!AA51-('CN FD A'!AA51*'CN FD S'!AA52/'CN FD alpha'!AA52)</f>
        <v>-0.10187748597173116</v>
      </c>
      <c r="AB51" s="26">
        <f>'CN FD D'!AB51-('CN FD A'!AB51*'CN FD S'!AB52/'CN FD alpha'!AB52)</f>
        <v>-8.3330801628669723E-2</v>
      </c>
      <c r="AC51" s="26">
        <f>'CN FD D'!AC51-('CN FD A'!AC51*'CN FD S'!AC52/'CN FD alpha'!AC52)</f>
        <v>-6.7428065555881087E-2</v>
      </c>
      <c r="AD51" s="26">
        <f>'CN FD D'!AD51-('CN FD A'!AD51*'CN FD S'!AD52/'CN FD alpha'!AD52)</f>
        <v>-5.392079978254382E-2</v>
      </c>
      <c r="AE51" s="26">
        <f>'CN FD D'!AE51-('CN FD A'!AE51*'CN FD S'!AE52/'CN FD alpha'!AE52)</f>
        <v>-4.2566453030725822E-2</v>
      </c>
      <c r="AF51" s="26">
        <f>'CN FD D'!AF51-('CN FD A'!AF51*'CN FD S'!AF52/'CN FD alpha'!AF52)</f>
        <v>-3.3129952374970281E-2</v>
      </c>
      <c r="AG51" s="26">
        <f>'CN FD D'!AG51-('CN FD A'!AG51*'CN FD S'!AG52/'CN FD alpha'!AG52)</f>
        <v>-2.5385253126068218E-2</v>
      </c>
      <c r="AH51" s="26">
        <f>'CN FD D'!AH51-('CN FD A'!AH51*'CN FD S'!AH52/'CN FD alpha'!AH52)</f>
        <v>-1.9116857374608782E-2</v>
      </c>
      <c r="AI51" s="26">
        <f>'CN FD D'!AI51-('CN FD A'!AI51*'CN FD S'!AI52/'CN FD alpha'!AI52)</f>
        <v>-1.4121267376068844E-2</v>
      </c>
      <c r="AJ51" s="26">
        <f>'CN FD D'!AJ51-('CN FD A'!AJ51*'CN FD S'!AJ52/'CN FD alpha'!AJ52)</f>
        <v>-1.0208335976174982E-2</v>
      </c>
      <c r="AK51" s="26">
        <f>'CN FD D'!AK51-('CN FD A'!AK51*'CN FD S'!AK52/'CN FD alpha'!AK52)</f>
        <v>-7.2024728490400359E-3</v>
      </c>
      <c r="AL51" s="26">
        <f>'CN FD D'!AL51-('CN FD A'!AL51*'CN FD S'!AL52/'CN FD alpha'!AL52)</f>
        <v>-4.9436628134162325E-3</v>
      </c>
      <c r="AM51" s="26">
        <f>'CN FD D'!AM51-('CN FD A'!AM51*'CN FD S'!AM52/'CN FD alpha'!AM52)</f>
        <v>-3.288251349936443E-3</v>
      </c>
      <c r="AN51" s="26">
        <f>'CN FD D'!AN51-('CN FD A'!AN51*'CN FD S'!AN52/'CN FD alpha'!AN52)</f>
        <v>-2.1094531960289403E-3</v>
      </c>
      <c r="AO51" s="26">
        <f>'CN FD D'!AO51-('CN FD A'!AO51*'CN FD S'!AO52/'CN FD alpha'!AO52)</f>
        <v>-1.2975431575850214E-3</v>
      </c>
      <c r="AP51" s="26">
        <f>'CN FD D'!AP51-('CN FD A'!AP51*'CN FD S'!AP52/'CN FD alpha'!AP52)</f>
        <v>-7.5969472210530404E-4</v>
      </c>
      <c r="AQ51" s="26">
        <f>'CN FD D'!AQ51-('CN FD A'!AQ51*'CN FD S'!AQ52/'CN FD alpha'!AQ52)</f>
        <v>-4.1944238510620264E-4</v>
      </c>
      <c r="AR51" s="26">
        <f>'CN FD D'!AR51-('CN FD A'!AR51*'CN FD S'!AR52/'CN FD alpha'!AR52)</f>
        <v>-2.1575846137701502E-4</v>
      </c>
      <c r="AS51" s="26">
        <f>'CN FD D'!AS51-('CN FD A'!AS51*'CN FD S'!AS52/'CN FD alpha'!AS52)</f>
        <v>-1.0175503259128474E-4</v>
      </c>
      <c r="AT51" s="26">
        <f>'CN FD D'!AT51-('CN FD A'!AT51*'CN FD S'!AT52/'CN FD alpha'!AT52)</f>
        <v>-4.3046720176058607E-5</v>
      </c>
      <c r="AU51" s="26">
        <f>'CN FD D'!AU51-('CN FD A'!AU51*'CN FD S'!AU52/'CN FD alpha'!AU52)</f>
        <v>-1.5839669047511307E-5</v>
      </c>
      <c r="AV51" s="26">
        <f>'CN FD D'!AV51-('CN FD A'!AV51*'CN FD S'!AV52/'CN FD alpha'!AV52)</f>
        <v>-4.8449217625756444E-6</v>
      </c>
      <c r="AW51" s="26">
        <f>'CN FD D'!AW51-('CN FD A'!AW51*'CN FD S'!AW52/'CN FD alpha'!AW52)</f>
        <v>-1.1469968041821382E-6</v>
      </c>
      <c r="AX51" s="26">
        <f>'CN FD D'!AX51-('CN FD A'!AX51*'CN FD S'!AX52/'CN FD alpha'!AX52)</f>
        <v>-1.8509018686374614E-7</v>
      </c>
      <c r="AY51" s="26">
        <f>'CN FD D'!AY51-('CN FD A'!AY51*'CN FD S'!AY52/'CN FD alpha'!AY52)</f>
        <v>-1.5097659693794471E-8</v>
      </c>
      <c r="AZ51" s="26">
        <f>'CN FD D'!AZ51-('CN FD A'!AZ51*'CN FD S'!AZ52/'CN FD alpha'!AZ52)</f>
        <v>0</v>
      </c>
      <c r="BA51" s="6"/>
    </row>
    <row r="52" spans="1:53" x14ac:dyDescent="0.2">
      <c r="A52">
        <f t="shared" si="1"/>
        <v>13</v>
      </c>
      <c r="B52" s="3">
        <f t="shared" si="0"/>
        <v>26</v>
      </c>
      <c r="C52" s="26">
        <f>'CN FD D'!C52-('CN FD A'!C52*'CN FD S'!C53/'CN FD alpha'!C53)</f>
        <v>-0.46517498280687741</v>
      </c>
      <c r="D52" s="26">
        <f>'CN FD D'!D52-('CN FD A'!D52*'CN FD S'!D53/'CN FD alpha'!D53)</f>
        <v>-0.42164008081671567</v>
      </c>
      <c r="E52" s="26">
        <f>'CN FD D'!E52-('CN FD A'!E52*'CN FD S'!E53/'CN FD alpha'!E53)</f>
        <v>-0.38107327785168504</v>
      </c>
      <c r="F52" s="26">
        <f>'CN FD D'!F52-('CN FD A'!F52*'CN FD S'!F53/'CN FD alpha'!F53)</f>
        <v>-0.34336512995190677</v>
      </c>
      <c r="G52" s="26">
        <f>'CN FD D'!G52-('CN FD A'!G52*'CN FD S'!G53/'CN FD alpha'!G53)</f>
        <v>-0.30840467941155614</v>
      </c>
      <c r="H52" s="26">
        <f>'CN FD D'!H52-('CN FD A'!H52*'CN FD S'!H53/'CN FD alpha'!H53)</f>
        <v>-0.27607966353575725</v>
      </c>
      <c r="I52" s="26">
        <f>'CN FD D'!I52-('CN FD A'!I52*'CN FD S'!I53/'CN FD alpha'!I53)</f>
        <v>-0.24627673982577902</v>
      </c>
      <c r="J52" s="26">
        <f>'CN FD D'!J52-('CN FD A'!J52*'CN FD S'!J53/'CN FD alpha'!J53)</f>
        <v>-0.21888172749443258</v>
      </c>
      <c r="K52" s="26">
        <f>'CN FD D'!K52-('CN FD A'!K52*'CN FD S'!K53/'CN FD alpha'!K53)</f>
        <v>-0.19377986504690001</v>
      </c>
      <c r="L52" s="26">
        <f>'CN FD D'!L52-('CN FD A'!L52*'CN FD S'!L53/'CN FD alpha'!L53)</f>
        <v>-0.17085608347435755</v>
      </c>
      <c r="M52" s="26">
        <f>'CN FD D'!M52-('CN FD A'!M52*'CN FD S'!M53/'CN FD alpha'!M53)</f>
        <v>-0.14999529439801437</v>
      </c>
      <c r="N52" s="26">
        <f>'CN FD D'!N52-('CN FD A'!N52*'CN FD S'!N53/'CN FD alpha'!N53)</f>
        <v>-0.13108269226921385</v>
      </c>
      <c r="O52" s="26">
        <f>'CN FD D'!O52-('CN FD A'!O52*'CN FD S'!O53/'CN FD alpha'!O53)</f>
        <v>-0.11400406947709066</v>
      </c>
      <c r="P52" s="26">
        <f>'CN FD D'!P52-('CN FD A'!P52*'CN FD S'!P53/'CN FD alpha'!P53)</f>
        <v>-9.8646142939501219E-2</v>
      </c>
      <c r="Q52" s="26">
        <f>'CN FD D'!Q52-('CN FD A'!Q52*'CN FD S'!Q53/'CN FD alpha'!Q53)</f>
        <v>-8.4896890456729074E-2</v>
      </c>
      <c r="R52" s="26">
        <f>'CN FD D'!R52-('CN FD A'!R52*'CN FD S'!R53/'CN FD alpha'!R53)</f>
        <v>-7.2645894792754115E-2</v>
      </c>
      <c r="S52" s="26">
        <f>'CN FD D'!S52-('CN FD A'!S52*'CN FD S'!S53/'CN FD alpha'!S53)</f>
        <v>-6.1784693118490476E-2</v>
      </c>
      <c r="T52" s="26">
        <f>'CN FD D'!T52-('CN FD A'!T52*'CN FD S'!T53/'CN FD alpha'!T53)</f>
        <v>-5.2207129109230255E-2</v>
      </c>
      <c r="U52" s="26">
        <f>'CN FD D'!U52-('CN FD A'!U52*'CN FD S'!U53/'CN FD alpha'!U53)</f>
        <v>-4.3809704639662612E-2</v>
      </c>
      <c r="V52" s="26">
        <f>'CN FD D'!V52-('CN FD A'!V52*'CN FD S'!V53/'CN FD alpha'!V53)</f>
        <v>-3.649192767074242E-2</v>
      </c>
      <c r="W52" s="26">
        <f>'CN FD D'!W52-('CN FD A'!W52*'CN FD S'!W53/'CN FD alpha'!W53)</f>
        <v>-3.0156652581363838E-2</v>
      </c>
      <c r="X52" s="26">
        <f>'CN FD D'!X52-('CN FD A'!X52*'CN FD S'!X53/'CN FD alpha'!X53)</f>
        <v>-2.4710408873959994E-2</v>
      </c>
      <c r="Y52" s="26">
        <f>'CN FD D'!Y52-('CN FD A'!Y52*'CN FD S'!Y53/'CN FD alpha'!Y53)</f>
        <v>-2.0063713888340027E-2</v>
      </c>
      <c r="Z52" s="26">
        <f>'CN FD D'!Z52-('CN FD A'!Z52*'CN FD S'!Z53/'CN FD alpha'!Z53)</f>
        <v>-1.6131364905765562E-2</v>
      </c>
      <c r="AA52" s="26">
        <f>'CN FD D'!AA52-('CN FD A'!AA52*'CN FD S'!AA53/'CN FD alpha'!AA53)</f>
        <v>-1.2832705830918192E-2</v>
      </c>
      <c r="AB52" s="26">
        <f>'CN FD D'!AB52-('CN FD A'!AB52*'CN FD S'!AB53/'CN FD alpha'!AB53)</f>
        <v>-1.00918635204316E-2</v>
      </c>
      <c r="AC52" s="26">
        <f>'CN FD D'!AC52-('CN FD A'!AC52*'CN FD S'!AC53/'CN FD alpha'!AC53)</f>
        <v>-7.8379488022841688E-3</v>
      </c>
      <c r="AD52" s="26">
        <f>'CN FD D'!AD52-('CN FD A'!AD52*'CN FD S'!AD53/'CN FD alpha'!AD53)</f>
        <v>-6.0052173213359164E-3</v>
      </c>
      <c r="AE52" s="26">
        <f>'CN FD D'!AE52-('CN FD A'!AE52*'CN FD S'!AE53/'CN FD alpha'!AE53)</f>
        <v>-4.5331855744796664E-3</v>
      </c>
      <c r="AF52" s="26">
        <f>'CN FD D'!AF52-('CN FD A'!AF52*'CN FD S'!AF53/'CN FD alpha'!AF53)</f>
        <v>-3.3666978864567128E-3</v>
      </c>
      <c r="AG52" s="26">
        <f>'CN FD D'!AG52-('CN FD A'!AG52*'CN FD S'!AG53/'CN FD alpha'!AG53)</f>
        <v>-2.4559406459189522E-3</v>
      </c>
      <c r="AH52" s="26">
        <f>'CN FD D'!AH52-('CN FD A'!AH52*'CN FD S'!AH53/'CN FD alpha'!AH53)</f>
        <v>-1.7564008903601469E-3</v>
      </c>
      <c r="AI52" s="26">
        <f>'CN FD D'!AI52-('CN FD A'!AI52*'CN FD S'!AI53/'CN FD alpha'!AI53)</f>
        <v>-1.2287673138579036E-3</v>
      </c>
      <c r="AJ52" s="26">
        <f>'CN FD D'!AJ52-('CN FD A'!AJ52*'CN FD S'!AJ53/'CN FD alpha'!AJ53)</f>
        <v>-8.3877298286508554E-4</v>
      </c>
      <c r="AK52" s="26">
        <f>'CN FD D'!AK52-('CN FD A'!AK52*'CN FD S'!AK53/'CN FD alpha'!AK53)</f>
        <v>-5.5698048336565295E-4</v>
      </c>
      <c r="AL52" s="26">
        <f>'CN FD D'!AL52-('CN FD A'!AL52*'CN FD S'!AL53/'CN FD alpha'!AL53)</f>
        <v>-3.5851187605636254E-4</v>
      </c>
      <c r="AM52" s="26">
        <f>'CN FD D'!AM52-('CN FD A'!AM52*'CN FD S'!AM53/'CN FD alpha'!AM53)</f>
        <v>-2.2272767703167859E-4</v>
      </c>
      <c r="AN52" s="26">
        <f>'CN FD D'!AN52-('CN FD A'!AN52*'CN FD S'!AN53/'CN FD alpha'!AN53)</f>
        <v>-1.3286106117264051E-4</v>
      </c>
      <c r="AO52" s="26">
        <f>'CN FD D'!AO52-('CN FD A'!AO52*'CN FD S'!AO53/'CN FD alpha'!AO53)</f>
        <v>-7.5615529991631216E-5</v>
      </c>
      <c r="AP52" s="26">
        <f>'CN FD D'!AP52-('CN FD A'!AP52*'CN FD S'!AP53/'CN FD alpha'!AP53)</f>
        <v>-4.07362908059337E-5</v>
      </c>
      <c r="AQ52" s="26">
        <f>'CN FD D'!AQ52-('CN FD A'!AQ52*'CN FD S'!AQ53/'CN FD alpha'!AQ53)</f>
        <v>-2.0567421458578284E-5</v>
      </c>
      <c r="AR52" s="26">
        <f>'CN FD D'!AR52-('CN FD A'!AR52*'CN FD S'!AR53/'CN FD alpha'!AR53)</f>
        <v>-9.6083698484009677E-6</v>
      </c>
      <c r="AS52" s="26">
        <f>'CN FD D'!AS52-('CN FD A'!AS52*'CN FD S'!AS53/'CN FD alpha'!AS53)</f>
        <v>-4.0842509348675084E-6</v>
      </c>
      <c r="AT52" s="26">
        <f>'CN FD D'!AT52-('CN FD A'!AT52*'CN FD S'!AT53/'CN FD alpha'!AT53)</f>
        <v>-1.5445188380433888E-6</v>
      </c>
      <c r="AU52" s="26">
        <f>'CN FD D'!AU52-('CN FD A'!AU52*'CN FD S'!AU53/'CN FD alpha'!AU53)</f>
        <v>-5.0366090223231656E-7</v>
      </c>
      <c r="AV52" s="26">
        <f>'CN FD D'!AV52-('CN FD A'!AV52*'CN FD S'!AV53/'CN FD alpha'!AV53)</f>
        <v>-1.3535856432140683E-7</v>
      </c>
      <c r="AW52" s="26">
        <f>'CN FD D'!AW52-('CN FD A'!AW52*'CN FD S'!AW53/'CN FD alpha'!AW53)</f>
        <v>-2.7937783786122731E-8</v>
      </c>
      <c r="AX52" s="26">
        <f>'CN FD D'!AX52-('CN FD A'!AX52*'CN FD S'!AX53/'CN FD alpha'!AX53)</f>
        <v>-3.9069409166387066E-9</v>
      </c>
      <c r="AY52" s="26">
        <f>'CN FD D'!AY52-('CN FD A'!AY52*'CN FD S'!AY53/'CN FD alpha'!AY53)</f>
        <v>-2.7524702073870901E-10</v>
      </c>
      <c r="AZ52" s="26">
        <f>'CN FD D'!AZ52-('CN FD A'!AZ52*'CN FD S'!AZ53/'CN FD alpha'!AZ53)</f>
        <v>0</v>
      </c>
      <c r="BA52" s="6"/>
    </row>
    <row r="53" spans="1:53" x14ac:dyDescent="0.2">
      <c r="A53">
        <f t="shared" si="1"/>
        <v>12</v>
      </c>
      <c r="B53" s="3">
        <f t="shared" si="0"/>
        <v>24</v>
      </c>
      <c r="C53" s="26">
        <f>'CN FD D'!C53-('CN FD A'!C53*'CN FD S'!C54/'CN FD alpha'!C54)</f>
        <v>-8.8306104996169615E-2</v>
      </c>
      <c r="D53" s="26">
        <f>'CN FD D'!D53-('CN FD A'!D53*'CN FD S'!D54/'CN FD alpha'!D54)</f>
        <v>-7.8490463527709914E-2</v>
      </c>
      <c r="E53" s="26">
        <f>'CN FD D'!E53-('CN FD A'!E53*'CN FD S'!E54/'CN FD alpha'!E54)</f>
        <v>-6.9530740690903453E-2</v>
      </c>
      <c r="F53" s="26">
        <f>'CN FD D'!F53-('CN FD A'!F53*'CN FD S'!F54/'CN FD alpha'!F54)</f>
        <v>-6.1376557398442819E-2</v>
      </c>
      <c r="G53" s="26">
        <f>'CN FD D'!G53-('CN FD A'!G53*'CN FD S'!G54/'CN FD alpha'!G54)</f>
        <v>-5.3978561773214709E-2</v>
      </c>
      <c r="H53" s="26">
        <f>'CN FD D'!H53-('CN FD A'!H53*'CN FD S'!H54/'CN FD alpha'!H54)</f>
        <v>-4.7288519050333835E-2</v>
      </c>
      <c r="I53" s="26">
        <f>'CN FD D'!I53-('CN FD A'!I53*'CN FD S'!I54/'CN FD alpha'!I54)</f>
        <v>-4.1259399631588374E-2</v>
      </c>
      <c r="J53" s="26">
        <f>'CN FD D'!J53-('CN FD A'!J53*'CN FD S'!J54/'CN FD alpha'!J54)</f>
        <v>-3.5845464693947754E-2</v>
      </c>
      <c r="K53" s="26">
        <f>'CN FD D'!K53-('CN FD A'!K53*'CN FD S'!K54/'CN FD alpha'!K54)</f>
        <v>-3.1002348724917955E-2</v>
      </c>
      <c r="L53" s="26">
        <f>'CN FD D'!L53-('CN FD A'!L53*'CN FD S'!L54/'CN FD alpha'!L54)</f>
        <v>-2.6687138332460024E-2</v>
      </c>
      <c r="M53" s="26">
        <f>'CN FD D'!M53-('CN FD A'!M53*'CN FD S'!M54/'CN FD alpha'!M54)</f>
        <v>-2.2858446656825075E-2</v>
      </c>
      <c r="N53" s="26">
        <f>'CN FD D'!N53-('CN FD A'!N53*'CN FD S'!N54/'CN FD alpha'!N54)</f>
        <v>-1.9476482696987603E-2</v>
      </c>
      <c r="O53" s="26">
        <f>'CN FD D'!O53-('CN FD A'!O53*'CN FD S'!O54/'CN FD alpha'!O54)</f>
        <v>-1.6503114856428309E-2</v>
      </c>
      <c r="P53" s="26">
        <f>'CN FD D'!P53-('CN FD A'!P53*'CN FD S'!P54/'CN FD alpha'!P54)</f>
        <v>-1.3901928012934902E-2</v>
      </c>
      <c r="Q53" s="26">
        <f>'CN FD D'!Q53-('CN FD A'!Q53*'CN FD S'!Q54/'CN FD alpha'!Q54)</f>
        <v>-1.1638273426001683E-2</v>
      </c>
      <c r="R53" s="26">
        <f>'CN FD D'!R53-('CN FD A'!R53*'CN FD S'!R54/'CN FD alpha'!R54)</f>
        <v>-9.6793108144866517E-3</v>
      </c>
      <c r="S53" s="26">
        <f>'CN FD D'!S53-('CN FD A'!S53*'CN FD S'!S54/'CN FD alpha'!S54)</f>
        <v>-7.9940419675943574E-3</v>
      </c>
      <c r="T53" s="26">
        <f>'CN FD D'!T53-('CN FD A'!T53*'CN FD S'!T54/'CN FD alpha'!T54)</f>
        <v>-6.5533352951264202E-3</v>
      </c>
      <c r="U53" s="26">
        <f>'CN FD D'!U53-('CN FD A'!U53*'CN FD S'!U54/'CN FD alpha'!U54)</f>
        <v>-5.3299407793382589E-3</v>
      </c>
      <c r="V53" s="26">
        <f>'CN FD D'!V53-('CN FD A'!V53*'CN FD S'!V54/'CN FD alpha'!V54)</f>
        <v>-4.2984948615992797E-3</v>
      </c>
      <c r="W53" s="26">
        <f>'CN FD D'!W53-('CN FD A'!W53*'CN FD S'!W54/'CN FD alpha'!W54)</f>
        <v>-3.4355148831400712E-3</v>
      </c>
      <c r="X53" s="26">
        <f>'CN FD D'!X53-('CN FD A'!X53*'CN FD S'!X54/'CN FD alpha'!X54)</f>
        <v>-2.7193828010112072E-3</v>
      </c>
      <c r="Y53" s="26">
        <f>'CN FD D'!Y53-('CN FD A'!Y53*'CN FD S'!Y54/'CN FD alpha'!Y54)</f>
        <v>-2.1303180181916851E-3</v>
      </c>
      <c r="Z53" s="26">
        <f>'CN FD D'!Z53-('CN FD A'!Z53*'CN FD S'!Z54/'CN FD alpha'!Z54)</f>
        <v>-1.6503393003977076E-3</v>
      </c>
      <c r="AA53" s="26">
        <f>'CN FD D'!AA53-('CN FD A'!AA53*'CN FD S'!AA54/'CN FD alpha'!AA54)</f>
        <v>-1.2632159009023885E-3</v>
      </c>
      <c r="AB53" s="26">
        <f>'CN FD D'!AB53-('CN FD A'!AB53*'CN FD S'!AB54/'CN FD alpha'!AB54)</f>
        <v>-9.5440817735878403E-4</v>
      </c>
      <c r="AC53" s="26">
        <f>'CN FD D'!AC53-('CN FD A'!AC53*'CN FD S'!AC54/'CN FD alpha'!AC54)</f>
        <v>-7.1099815932658514E-4</v>
      </c>
      <c r="AD53" s="26">
        <f>'CN FD D'!AD53-('CN FD A'!AD53*'CN FD S'!AD54/'CN FD alpha'!AD54)</f>
        <v>-5.2161070927340698E-4</v>
      </c>
      <c r="AE53" s="26">
        <f>'CN FD D'!AE53-('CN FD A'!AE53*'CN FD S'!AE54/'CN FD alpha'!AE54)</f>
        <v>-3.7632610973318539E-4</v>
      </c>
      <c r="AF53" s="26">
        <f>'CN FD D'!AF53-('CN FD A'!AF53*'CN FD S'!AF54/'CN FD alpha'!AF54)</f>
        <v>-2.6658510059923587E-4</v>
      </c>
      <c r="AG53" s="26">
        <f>'CN FD D'!AG53-('CN FD A'!AG53*'CN FD S'!AG54/'CN FD alpha'!AG54)</f>
        <v>-1.850875777606366E-4</v>
      </c>
      <c r="AH53" s="26">
        <f>'CN FD D'!AH53-('CN FD A'!AH53*'CN FD S'!AH54/'CN FD alpha'!AH54)</f>
        <v>-1.2568634100126533E-4</v>
      </c>
      <c r="AI53" s="26">
        <f>'CN FD D'!AI53-('CN FD A'!AI53*'CN FD S'!AI54/'CN FD alpha'!AI54)</f>
        <v>-8.3277437837092261E-5</v>
      </c>
      <c r="AJ53" s="26">
        <f>'CN FD D'!AJ53-('CN FD A'!AJ53*'CN FD S'!AJ54/'CN FD alpha'!AJ54)</f>
        <v>-5.3688782458138875E-5</v>
      </c>
      <c r="AK53" s="26">
        <f>'CN FD D'!AK53-('CN FD A'!AK53*'CN FD S'!AK54/'CN FD alpha'!AK54)</f>
        <v>-3.3568826169476101E-5</v>
      </c>
      <c r="AL53" s="26">
        <f>'CN FD D'!AL53-('CN FD A'!AL53*'CN FD S'!AL54/'CN FD alpha'!AL54)</f>
        <v>-2.0277108312684484E-5</v>
      </c>
      <c r="AM53" s="26">
        <f>'CN FD D'!AM53-('CN FD A'!AM53*'CN FD S'!AM54/'CN FD alpha'!AM54)</f>
        <v>-1.1778515283273213E-5</v>
      </c>
      <c r="AN53" s="26">
        <f>'CN FD D'!AN53-('CN FD A'!AN53*'CN FD S'!AN54/'CN FD alpha'!AN54)</f>
        <v>-6.5430113088597408E-6</v>
      </c>
      <c r="AO53" s="26">
        <f>'CN FD D'!AO53-('CN FD A'!AO53*'CN FD S'!AO54/'CN FD alpha'!AO54)</f>
        <v>-3.4524709711587029E-6</v>
      </c>
      <c r="AP53" s="26">
        <f>'CN FD D'!AP53-('CN FD A'!AP53*'CN FD S'!AP54/'CN FD alpha'!AP54)</f>
        <v>-1.716035392699691E-6</v>
      </c>
      <c r="AQ53" s="26">
        <f>'CN FD D'!AQ53-('CN FD A'!AQ53*'CN FD S'!AQ54/'CN FD alpha'!AQ54)</f>
        <v>-7.9513063107012338E-7</v>
      </c>
      <c r="AR53" s="26">
        <f>'CN FD D'!AR53-('CN FD A'!AR53*'CN FD S'!AR54/'CN FD alpha'!AR54)</f>
        <v>-3.3893229990291304E-7</v>
      </c>
      <c r="AS53" s="26">
        <f>'CN FD D'!AS53-('CN FD A'!AS53*'CN FD S'!AS54/'CN FD alpha'!AS54)</f>
        <v>-1.306455352794016E-7</v>
      </c>
      <c r="AT53" s="26">
        <f>'CN FD D'!AT53-('CN FD A'!AT53*'CN FD S'!AT54/'CN FD alpha'!AT54)</f>
        <v>-4.4512956011238746E-8</v>
      </c>
      <c r="AU53" s="26">
        <f>'CN FD D'!AU53-('CN FD A'!AU53*'CN FD S'!AU54/'CN FD alpha'!AU54)</f>
        <v>-1.29931995841661E-8</v>
      </c>
      <c r="AV53" s="26">
        <f>'CN FD D'!AV53-('CN FD A'!AV53*'CN FD S'!AV54/'CN FD alpha'!AV54)</f>
        <v>-3.1064730148984642E-9</v>
      </c>
      <c r="AW53" s="26">
        <f>'CN FD D'!AW53-('CN FD A'!AW53*'CN FD S'!AW54/'CN FD alpha'!AW54)</f>
        <v>-5.6736402083606754E-10</v>
      </c>
      <c r="AX53" s="26">
        <f>'CN FD D'!AX53-('CN FD A'!AX53*'CN FD S'!AX54/'CN FD alpha'!AX54)</f>
        <v>-6.9932782700223654E-11</v>
      </c>
      <c r="AY53" s="26">
        <f>'CN FD D'!AY53-('CN FD A'!AY53*'CN FD S'!AY54/'CN FD alpha'!AY54)</f>
        <v>-4.3333502438062845E-12</v>
      </c>
      <c r="AZ53" s="26">
        <f>'CN FD D'!AZ53-('CN FD A'!AZ53*'CN FD S'!AZ54/'CN FD alpha'!AZ54)</f>
        <v>0</v>
      </c>
      <c r="BA53" s="6"/>
    </row>
    <row r="54" spans="1:53" x14ac:dyDescent="0.2">
      <c r="A54">
        <f t="shared" si="1"/>
        <v>11</v>
      </c>
      <c r="B54" s="3">
        <f t="shared" si="0"/>
        <v>22</v>
      </c>
      <c r="C54" s="26">
        <f>'CN FD D'!C54-('CN FD A'!C54*'CN FD S'!C55/'CN FD alpha'!C55)</f>
        <v>-1.3265121696822396E-2</v>
      </c>
      <c r="D54" s="26">
        <f>'CN FD D'!D54-('CN FD A'!D54*'CN FD S'!D55/'CN FD alpha'!D55)</f>
        <v>-1.15507579188509E-2</v>
      </c>
      <c r="E54" s="26">
        <f>'CN FD D'!E54-('CN FD A'!E54*'CN FD S'!E55/'CN FD alpha'!E55)</f>
        <v>-1.0019371104787267E-2</v>
      </c>
      <c r="F54" s="26">
        <f>'CN FD D'!F54-('CN FD A'!F54*'CN FD S'!F55/'CN FD alpha'!F55)</f>
        <v>-8.65616092759805E-3</v>
      </c>
      <c r="G54" s="26">
        <f>'CN FD D'!G54-('CN FD A'!G54*'CN FD S'!G55/'CN FD alpha'!G55)</f>
        <v>-7.447049450015608E-3</v>
      </c>
      <c r="H54" s="26">
        <f>'CN FD D'!H54-('CN FD A'!H54*'CN FD S'!H55/'CN FD alpha'!H55)</f>
        <v>-6.3786825680581857E-3</v>
      </c>
      <c r="I54" s="26">
        <f>'CN FD D'!I54-('CN FD A'!I54*'CN FD S'!I55/'CN FD alpha'!I55)</f>
        <v>-5.4384292036165618E-3</v>
      </c>
      <c r="J54" s="26">
        <f>'CN FD D'!J54-('CN FD A'!J54*'CN FD S'!J55/'CN FD alpha'!J55)</f>
        <v>-4.6143781995393691E-3</v>
      </c>
      <c r="K54" s="26">
        <f>'CN FD D'!K54-('CN FD A'!K54*'CN FD S'!K55/'CN FD alpha'!K55)</f>
        <v>-3.8953328847113368E-3</v>
      </c>
      <c r="L54" s="26">
        <f>'CN FD D'!L54-('CN FD A'!L54*'CN FD S'!L55/'CN FD alpha'!L55)</f>
        <v>-3.2708032920993153E-3</v>
      </c>
      <c r="M54" s="26">
        <f>'CN FD D'!M54-('CN FD A'!M54*'CN FD S'!M55/'CN FD alpha'!M55)</f>
        <v>-2.730996029597089E-3</v>
      </c>
      <c r="N54" s="26">
        <f>'CN FD D'!N54-('CN FD A'!N54*'CN FD S'!N55/'CN FD alpha'!N55)</f>
        <v>-2.2668018216608133E-3</v>
      </c>
      <c r="O54" s="26">
        <f>'CN FD D'!O54-('CN FD A'!O54*'CN FD S'!O55/'CN FD alpha'!O55)</f>
        <v>-1.8697807590901858E-3</v>
      </c>
      <c r="P54" s="26">
        <f>'CN FD D'!P54-('CN FD A'!P54*'CN FD S'!P55/'CN FD alpha'!P55)</f>
        <v>-1.5321453147392877E-3</v>
      </c>
      <c r="Q54" s="26">
        <f>'CN FD D'!Q54-('CN FD A'!Q54*'CN FD S'!Q55/'CN FD alpha'!Q55)</f>
        <v>-1.2467412042607201E-3</v>
      </c>
      <c r="R54" s="26">
        <f>'CN FD D'!R54-('CN FD A'!R54*'CN FD S'!R55/'CN FD alpha'!R55)</f>
        <v>-1.0070261929818513E-3</v>
      </c>
      <c r="S54" s="26">
        <f>'CN FD D'!S54-('CN FD A'!S54*'CN FD S'!S55/'CN FD alpha'!S55)</f>
        <v>-8.0704697242435248E-4</v>
      </c>
      <c r="T54" s="26">
        <f>'CN FD D'!T54-('CN FD A'!T54*'CN FD S'!T55/'CN FD alpha'!T55)</f>
        <v>-6.4141425250446795E-4</v>
      </c>
      <c r="U54" s="26">
        <f>'CN FD D'!U54-('CN FD A'!U54*'CN FD S'!U55/'CN FD alpha'!U55)</f>
        <v>-5.0527623774296933E-4</v>
      </c>
      <c r="V54" s="26">
        <f>'CN FD D'!V54-('CN FD A'!V54*'CN FD S'!V55/'CN FD alpha'!V55)</f>
        <v>-3.9429067747623401E-4</v>
      </c>
      <c r="W54" s="26">
        <f>'CN FD D'!W54-('CN FD A'!W54*'CN FD S'!W55/'CN FD alpha'!W55)</f>
        <v>-3.0459570065560261E-4</v>
      </c>
      <c r="X54" s="26">
        <f>'CN FD D'!X54-('CN FD A'!X54*'CN FD S'!X55/'CN FD alpha'!X55)</f>
        <v>-2.3277966487294613E-4</v>
      </c>
      <c r="Y54" s="26">
        <f>'CN FD D'!Y54-('CN FD A'!Y54*'CN FD S'!Y55/'CN FD alpha'!Y55)</f>
        <v>-1.7585026624328961E-4</v>
      </c>
      <c r="Z54" s="26">
        <f>'CN FD D'!Z54-('CN FD A'!Z54*'CN FD S'!Z55/'CN FD alpha'!Z55)</f>
        <v>-1.3120317117046605E-4</v>
      </c>
      <c r="AA54" s="26">
        <f>'CN FD D'!AA54-('CN FD A'!AA54*'CN FD S'!AA55/'CN FD alpha'!AA55)</f>
        <v>-9.6590442262828758E-5</v>
      </c>
      <c r="AB54" s="26">
        <f>'CN FD D'!AB54-('CN FD A'!AB54*'CN FD S'!AB55/'CN FD alpha'!AB55)</f>
        <v>-7.0089038194090129E-5</v>
      </c>
      <c r="AC54" s="26">
        <f>'CN FD D'!AC54-('CN FD A'!AC54*'CN FD S'!AC55/'CN FD alpha'!AC55)</f>
        <v>-5.0069670574842214E-5</v>
      </c>
      <c r="AD54" s="26">
        <f>'CN FD D'!AD54-('CN FD A'!AD54*'CN FD S'!AD55/'CN FD alpha'!AD55)</f>
        <v>-3.5166299403799674E-5</v>
      </c>
      <c r="AE54" s="26">
        <f>'CN FD D'!AE54-('CN FD A'!AE54*'CN FD S'!AE55/'CN FD alpha'!AE55)</f>
        <v>-2.4246541954271944E-5</v>
      </c>
      <c r="AF54" s="26">
        <f>'CN FD D'!AF54-('CN FD A'!AF54*'CN FD S'!AF55/'CN FD alpha'!AF55)</f>
        <v>-1.6383257658224809E-5</v>
      </c>
      <c r="AG54" s="26">
        <f>'CN FD D'!AG54-('CN FD A'!AG54*'CN FD S'!AG55/'CN FD alpha'!AG55)</f>
        <v>-1.0827553433609799E-5</v>
      </c>
      <c r="AH54" s="26">
        <f>'CN FD D'!AH54-('CN FD A'!AH54*'CN FD S'!AH55/'CN FD alpha'!AH55)</f>
        <v>-6.9834298691131286E-6</v>
      </c>
      <c r="AI54" s="26">
        <f>'CN FD D'!AI54-('CN FD A'!AI54*'CN FD S'!AI55/'CN FD alpha'!AI55)</f>
        <v>-4.3842588309151374E-6</v>
      </c>
      <c r="AJ54" s="26">
        <f>'CN FD D'!AJ54-('CN FD A'!AJ54*'CN FD S'!AJ55/'CN FD alpha'!AJ55)</f>
        <v>-2.6712477089329964E-6</v>
      </c>
      <c r="AK54" s="26">
        <f>'CN FD D'!AK54-('CN FD A'!AK54*'CN FD S'!AK55/'CN FD alpha'!AK55)</f>
        <v>-1.5740052528122587E-6</v>
      </c>
      <c r="AL54" s="26">
        <f>'CN FD D'!AL54-('CN FD A'!AL54*'CN FD S'!AL55/'CN FD alpha'!AL55)</f>
        <v>-8.9327962323812401E-7</v>
      </c>
      <c r="AM54" s="26">
        <f>'CN FD D'!AM54-('CN FD A'!AM54*'CN FD S'!AM55/'CN FD alpha'!AM55)</f>
        <v>-4.8589206878950247E-7</v>
      </c>
      <c r="AN54" s="26">
        <f>'CN FD D'!AN54-('CN FD A'!AN54*'CN FD S'!AN55/'CN FD alpha'!AN55)</f>
        <v>-2.5184100889515661E-7</v>
      </c>
      <c r="AO54" s="26">
        <f>'CN FD D'!AO54-('CN FD A'!AO54*'CN FD S'!AO55/'CN FD alpha'!AO55)</f>
        <v>-1.2350303101008355E-7</v>
      </c>
      <c r="AP54" s="26">
        <f>'CN FD D'!AP54-('CN FD A'!AP54*'CN FD S'!AP55/'CN FD alpha'!AP55)</f>
        <v>-5.681142119445965E-8</v>
      </c>
      <c r="AQ54" s="26">
        <f>'CN FD D'!AQ54-('CN FD A'!AQ54*'CN FD S'!AQ55/'CN FD alpha'!AQ55)</f>
        <v>-2.4251549128362059E-8</v>
      </c>
      <c r="AR54" s="26">
        <f>'CN FD D'!AR54-('CN FD A'!AR54*'CN FD S'!AR55/'CN FD alpha'!AR55)</f>
        <v>-9.4779954038135383E-9</v>
      </c>
      <c r="AS54" s="26">
        <f>'CN FD D'!AS54-('CN FD A'!AS54*'CN FD S'!AS55/'CN FD alpha'!AS55)</f>
        <v>-3.3329213250500938E-9</v>
      </c>
      <c r="AT54" s="26">
        <f>'CN FD D'!AT54-('CN FD A'!AT54*'CN FD S'!AT55/'CN FD alpha'!AT55)</f>
        <v>-1.0307166392140263E-9</v>
      </c>
      <c r="AU54" s="26">
        <f>'CN FD D'!AU54-('CN FD A'!AU54*'CN FD S'!AU55/'CN FD alpha'!AU55)</f>
        <v>-2.7173570468058905E-10</v>
      </c>
      <c r="AV54" s="26">
        <f>'CN FD D'!AV54-('CN FD A'!AV54*'CN FD S'!AV55/'CN FD alpha'!AV55)</f>
        <v>-5.8413388741327833E-11</v>
      </c>
      <c r="AW54" s="26">
        <f>'CN FD D'!AW54-('CN FD A'!AW54*'CN FD S'!AW55/'CN FD alpha'!AW55)</f>
        <v>-9.5561133131132838E-12</v>
      </c>
      <c r="AX54" s="26">
        <f>'CN FD D'!AX54-('CN FD A'!AX54*'CN FD S'!AX55/'CN FD alpha'!AX55)</f>
        <v>-1.052205597392212E-12</v>
      </c>
      <c r="AY54" s="26">
        <f>'CN FD D'!AY54-('CN FD A'!AY54*'CN FD S'!AY55/'CN FD alpha'!AY55)</f>
        <v>-5.8162478290818354E-14</v>
      </c>
      <c r="AZ54" s="26">
        <f>'CN FD D'!AZ54-('CN FD A'!AZ54*'CN FD S'!AZ55/'CN FD alpha'!AZ55)</f>
        <v>0</v>
      </c>
      <c r="BA54" s="6"/>
    </row>
    <row r="55" spans="1:53" x14ac:dyDescent="0.2">
      <c r="A55">
        <f t="shared" si="1"/>
        <v>10</v>
      </c>
      <c r="B55" s="3">
        <f t="shared" si="0"/>
        <v>20</v>
      </c>
      <c r="C55" s="26">
        <f>'CN FD D'!C55-('CN FD A'!C55*'CN FD S'!C56/'CN FD alpha'!C56)</f>
        <v>-1.5523972993282638E-3</v>
      </c>
      <c r="D55" s="26">
        <f>'CN FD D'!D55-('CN FD A'!D55*'CN FD S'!D56/'CN FD alpha'!D56)</f>
        <v>-1.3233269435712475E-3</v>
      </c>
      <c r="E55" s="26">
        <f>'CN FD D'!E55-('CN FD A'!E55*'CN FD S'!E56/'CN FD alpha'!E56)</f>
        <v>-1.1232187191782281E-3</v>
      </c>
      <c r="F55" s="26">
        <f>'CN FD D'!F55-('CN FD A'!F55*'CN FD S'!F56/'CN FD alpha'!F56)</f>
        <v>-9.4909803399890514E-4</v>
      </c>
      <c r="G55" s="26">
        <f>'CN FD D'!G55-('CN FD A'!G55*'CN FD S'!G56/'CN FD alpha'!G56)</f>
        <v>-7.9821270484166612E-4</v>
      </c>
      <c r="H55" s="26">
        <f>'CN FD D'!H55-('CN FD A'!H55*'CN FD S'!H56/'CN FD alpha'!H56)</f>
        <v>-6.6802451763444467E-4</v>
      </c>
      <c r="I55" s="26">
        <f>'CN FD D'!I55-('CN FD A'!I55*'CN FD S'!I56/'CN FD alpha'!I56)</f>
        <v>-5.562004789137721E-4</v>
      </c>
      <c r="J55" s="26">
        <f>'CN FD D'!J55-('CN FD A'!J55*'CN FD S'!J56/'CN FD alpha'!J56)</f>
        <v>-4.606037978388208E-4</v>
      </c>
      <c r="K55" s="26">
        <f>'CN FD D'!K55-('CN FD A'!K55*'CN FD S'!K56/'CN FD alpha'!K56)</f>
        <v>-3.7928464035396936E-4</v>
      </c>
      <c r="L55" s="26">
        <f>'CN FD D'!L55-('CN FD A'!L55*'CN FD S'!L56/'CN FD alpha'!L56)</f>
        <v>-3.1047069931357273E-4</v>
      </c>
      <c r="M55" s="26">
        <f>'CN FD D'!M55-('CN FD A'!M55*'CN FD S'!M56/'CN FD alpha'!M56)</f>
        <v>-2.5255762629457305E-4</v>
      </c>
      <c r="N55" s="26">
        <f>'CN FD D'!N55-('CN FD A'!N55*'CN FD S'!N56/'CN FD alpha'!N56)</f>
        <v>-2.0409937241429793E-4</v>
      </c>
      <c r="O55" s="26">
        <f>'CN FD D'!O55-('CN FD A'!O55*'CN FD S'!O56/'CN FD alpha'!O56)</f>
        <v>-1.6379848670041401E-4</v>
      </c>
      <c r="P55" s="26">
        <f>'CN FD D'!P55-('CN FD A'!P55*'CN FD S'!P56/'CN FD alpha'!P56)</f>
        <v>-1.3049642138668023E-4</v>
      </c>
      <c r="Q55" s="26">
        <f>'CN FD D'!Q55-('CN FD A'!Q55*'CN FD S'!Q56/'CN FD alpha'!Q56)</f>
        <v>-1.0316389389287454E-4</v>
      </c>
      <c r="R55" s="26">
        <f>'CN FD D'!R55-('CN FD A'!R55*'CN FD S'!R56/'CN FD alpha'!R56)</f>
        <v>-8.0891355153878835E-5</v>
      </c>
      <c r="S55" s="26">
        <f>'CN FD D'!S55-('CN FD A'!S55*'CN FD S'!S56/'CN FD alpha'!S56)</f>
        <v>-6.2879613359156656E-5</v>
      </c>
      <c r="T55" s="26">
        <f>'CN FD D'!T55-('CN FD A'!T55*'CN FD S'!T56/'CN FD alpha'!T56)</f>
        <v>-4.8430661022600544E-5</v>
      </c>
      <c r="U55" s="26">
        <f>'CN FD D'!U55-('CN FD A'!U55*'CN FD S'!U56/'CN FD alpha'!U56)</f>
        <v>-3.6938751603173712E-5</v>
      </c>
      <c r="V55" s="26">
        <f>'CN FD D'!V55-('CN FD A'!V55*'CN FD S'!V56/'CN FD alpha'!V56)</f>
        <v>-2.7881769625814135E-5</v>
      </c>
      <c r="W55" s="26">
        <f>'CN FD D'!W55-('CN FD A'!W55*'CN FD S'!W56/'CN FD alpha'!W56)</f>
        <v>-2.0812935405634532E-5</v>
      </c>
      <c r="X55" s="26">
        <f>'CN FD D'!X55-('CN FD A'!X55*'CN FD S'!X56/'CN FD alpha'!X56)</f>
        <v>-1.5352882062845661E-5</v>
      </c>
      <c r="Y55" s="26">
        <f>'CN FD D'!Y55-('CN FD A'!Y55*'CN FD S'!Y56/'CN FD alpha'!Y56)</f>
        <v>-1.1182138549057898E-5</v>
      </c>
      <c r="Z55" s="26">
        <f>'CN FD D'!Z55-('CN FD A'!Z55*'CN FD S'!Z56/'CN FD alpha'!Z56)</f>
        <v>-8.0340479185840936E-6</v>
      </c>
      <c r="AA55" s="26">
        <f>'CN FD D'!AA55-('CN FD A'!AA55*'CN FD S'!AA56/'CN FD alpha'!AA56)</f>
        <v>-5.6881451159352015E-6</v>
      </c>
      <c r="AB55" s="26">
        <f>'CN FD D'!AB55-('CN FD A'!AB55*'CN FD S'!AB56/'CN FD alpha'!AB56)</f>
        <v>-3.9640131724925467E-6</v>
      </c>
      <c r="AC55" s="26">
        <f>'CN FD D'!AC55-('CN FD A'!AC55*'CN FD S'!AC56/'CN FD alpha'!AC56)</f>
        <v>-2.7156309862317565E-6</v>
      </c>
      <c r="AD55" s="26">
        <f>'CN FD D'!AD55-('CN FD A'!AD55*'CN FD S'!AD56/'CN FD alpha'!AD56)</f>
        <v>-1.8262198885613219E-6</v>
      </c>
      <c r="AE55" s="26">
        <f>'CN FD D'!AE55-('CN FD A'!AE55*'CN FD S'!AE56/'CN FD alpha'!AE56)</f>
        <v>-1.2035900868956031E-6</v>
      </c>
      <c r="AF55" s="26">
        <f>'CN FD D'!AF55-('CN FD A'!AF55*'CN FD S'!AF56/'CN FD alpha'!AF56)</f>
        <v>-7.7598192937813928E-7</v>
      </c>
      <c r="AG55" s="26">
        <f>'CN FD D'!AG55-('CN FD A'!AG55*'CN FD S'!AG56/'CN FD alpha'!AG56)</f>
        <v>-4.8839090006423334E-7</v>
      </c>
      <c r="AH55" s="26">
        <f>'CN FD D'!AH55-('CN FD A'!AH55*'CN FD S'!AH56/'CN FD alpha'!AH56)</f>
        <v>-2.9935945906158956E-7</v>
      </c>
      <c r="AI55" s="26">
        <f>'CN FD D'!AI55-('CN FD A'!AI55*'CN FD S'!AI56/'CN FD alpha'!AI56)</f>
        <v>-1.7821343858906672E-7</v>
      </c>
      <c r="AJ55" s="26">
        <f>'CN FD D'!AJ55-('CN FD A'!AJ55*'CN FD S'!AJ56/'CN FD alpha'!AJ56)</f>
        <v>-1.0271583985107035E-7</v>
      </c>
      <c r="AK55" s="26">
        <f>'CN FD D'!AK55-('CN FD A'!AK55*'CN FD S'!AK56/'CN FD alpha'!AK56)</f>
        <v>-5.710668993265209E-8</v>
      </c>
      <c r="AL55" s="26">
        <f>'CN FD D'!AL55-('CN FD A'!AL55*'CN FD S'!AL56/'CN FD alpha'!AL56)</f>
        <v>-3.0494244689265252E-8</v>
      </c>
      <c r="AM55" s="26">
        <f>'CN FD D'!AM55-('CN FD A'!AM55*'CN FD S'!AM56/'CN FD alpha'!AM56)</f>
        <v>-1.5560376805854641E-8</v>
      </c>
      <c r="AN55" s="26">
        <f>'CN FD D'!AN55-('CN FD A'!AN55*'CN FD S'!AN56/'CN FD alpha'!AN56)</f>
        <v>-7.5415557698992082E-9</v>
      </c>
      <c r="AO55" s="26">
        <f>'CN FD D'!AO55-('CN FD A'!AO55*'CN FD S'!AO56/'CN FD alpha'!AO56)</f>
        <v>-3.4464622043059251E-9</v>
      </c>
      <c r="AP55" s="26">
        <f>'CN FD D'!AP55-('CN FD A'!AP55*'CN FD S'!AP56/'CN FD alpha'!AP56)</f>
        <v>-1.4719945780510925E-9</v>
      </c>
      <c r="AQ55" s="26">
        <f>'CN FD D'!AQ55-('CN FD A'!AQ55*'CN FD S'!AQ56/'CN FD alpha'!AQ56)</f>
        <v>-5.8118462607202554E-10</v>
      </c>
      <c r="AR55" s="26">
        <f>'CN FD D'!AR55-('CN FD A'!AR55*'CN FD S'!AR56/'CN FD alpha'!AR56)</f>
        <v>-2.0924792706148984E-10</v>
      </c>
      <c r="AS55" s="26">
        <f>'CN FD D'!AS55-('CN FD A'!AS55*'CN FD S'!AS56/'CN FD alpha'!AS56)</f>
        <v>-6.7511320965138759E-11</v>
      </c>
      <c r="AT55" s="26">
        <f>'CN FD D'!AT55-('CN FD A'!AT55*'CN FD S'!AT56/'CN FD alpha'!AT56)</f>
        <v>-1.9079066895056582E-11</v>
      </c>
      <c r="AU55" s="26">
        <f>'CN FD D'!AU55-('CN FD A'!AU55*'CN FD S'!AU56/'CN FD alpha'!AU56)</f>
        <v>-4.5791349448676498E-12</v>
      </c>
      <c r="AV55" s="26">
        <f>'CN FD D'!AV55-('CN FD A'!AV55*'CN FD S'!AV56/'CN FD alpha'!AV56)</f>
        <v>-8.931007869273244E-13</v>
      </c>
      <c r="AW55" s="26">
        <f>'CN FD D'!AW55-('CN FD A'!AW55*'CN FD S'!AW56/'CN FD alpha'!AW56)</f>
        <v>-1.3219865406005537E-13</v>
      </c>
      <c r="AX55" s="26">
        <f>'CN FD D'!AX55-('CN FD A'!AX55*'CN FD S'!AX56/'CN FD alpha'!AX56)</f>
        <v>-1.31453229947845E-14</v>
      </c>
      <c r="AY55" s="26">
        <f>'CN FD D'!AY55-('CN FD A'!AY55*'CN FD S'!AY56/'CN FD alpha'!AY56)</f>
        <v>-6.555866736589464E-16</v>
      </c>
      <c r="AZ55" s="26">
        <f>'CN FD D'!AZ55-('CN FD A'!AZ55*'CN FD S'!AZ56/'CN FD alpha'!AZ56)</f>
        <v>0</v>
      </c>
      <c r="BA55" s="6"/>
    </row>
    <row r="56" spans="1:53" x14ac:dyDescent="0.2">
      <c r="A56">
        <f t="shared" si="1"/>
        <v>9</v>
      </c>
      <c r="B56" s="3">
        <f t="shared" si="0"/>
        <v>18</v>
      </c>
      <c r="C56" s="26">
        <f>'CN FD D'!C56-('CN FD A'!C56*'CN FD S'!C57/'CN FD alpha'!C57)</f>
        <v>-1.3908895362397454E-4</v>
      </c>
      <c r="D56" s="26">
        <f>'CN FD D'!D56-('CN FD A'!D56*'CN FD S'!D57/'CN FD alpha'!D57)</f>
        <v>-1.1601486939961493E-4</v>
      </c>
      <c r="E56" s="26">
        <f>'CN FD D'!E56-('CN FD A'!E56*'CN FD S'!E57/'CN FD alpha'!E57)</f>
        <v>-9.6310845449064047E-5</v>
      </c>
      <c r="F56" s="26">
        <f>'CN FD D'!F56-('CN FD A'!F56*'CN FD S'!F57/'CN FD alpha'!F57)</f>
        <v>-7.9558520793655894E-5</v>
      </c>
      <c r="G56" s="26">
        <f>'CN FD D'!G56-('CN FD A'!G56*'CN FD S'!G57/'CN FD alpha'!G57)</f>
        <v>-6.5381033686539211E-5</v>
      </c>
      <c r="H56" s="26">
        <f>'CN FD D'!H56-('CN FD A'!H56*'CN FD S'!H57/'CN FD alpha'!H57)</f>
        <v>-5.3440157164657919E-5</v>
      </c>
      <c r="I56" s="26">
        <f>'CN FD D'!I56-('CN FD A'!I56*'CN FD S'!I57/'CN FD alpha'!I57)</f>
        <v>-4.3433509970010525E-5</v>
      </c>
      <c r="J56" s="26">
        <f>'CN FD D'!J56-('CN FD A'!J56*'CN FD S'!J57/'CN FD alpha'!J57)</f>
        <v>-3.5091850503614374E-5</v>
      </c>
      <c r="K56" s="26">
        <f>'CN FD D'!K56-('CN FD A'!K56*'CN FD S'!K57/'CN FD alpha'!K57)</f>
        <v>-2.8176460963518081E-5</v>
      </c>
      <c r="L56" s="26">
        <f>'CN FD D'!L56-('CN FD A'!L56*'CN FD S'!L57/'CN FD alpha'!L57)</f>
        <v>-2.2476628246206254E-5</v>
      </c>
      <c r="M56" s="26">
        <f>'CN FD D'!M56-('CN FD A'!M56*'CN FD S'!M57/'CN FD alpha'!M57)</f>
        <v>-1.7807227561678296E-5</v>
      </c>
      <c r="N56" s="26">
        <f>'CN FD D'!N56-('CN FD A'!N56*'CN FD S'!N57/'CN FD alpha'!N57)</f>
        <v>-1.4006414030101569E-5</v>
      </c>
      <c r="O56" s="26">
        <f>'CN FD D'!O56-('CN FD A'!O56*'CN FD S'!O57/'CN FD alpha'!O57)</f>
        <v>-1.0933426796896214E-5</v>
      </c>
      <c r="P56" s="26">
        <f>'CN FD D'!P56-('CN FD A'!P56*'CN FD S'!P57/'CN FD alpha'!P57)</f>
        <v>-8.4665094290044871E-6</v>
      </c>
      <c r="Q56" s="26">
        <f>'CN FD D'!Q56-('CN FD A'!Q56*'CN FD S'!Q57/'CN FD alpha'!Q57)</f>
        <v>-6.5009495444730044E-6</v>
      </c>
      <c r="R56" s="26">
        <f>'CN FD D'!R56-('CN FD A'!R56*'CN FD S'!R57/'CN FD alpha'!R57)</f>
        <v>-4.9472397878047214E-6</v>
      </c>
      <c r="S56" s="26">
        <f>'CN FD D'!S56-('CN FD A'!S56*'CN FD S'!S57/'CN FD alpha'!S57)</f>
        <v>-3.7293614031913033E-6</v>
      </c>
      <c r="T56" s="26">
        <f>'CN FD D'!T56-('CN FD A'!T56*'CN FD S'!T57/'CN FD alpha'!T57)</f>
        <v>-2.7831907859314769E-6</v>
      </c>
      <c r="U56" s="26">
        <f>'CN FD D'!U56-('CN FD A'!U56*'CN FD S'!U57/'CN FD alpha'!U57)</f>
        <v>-2.0550285190568414E-6</v>
      </c>
      <c r="V56" s="26">
        <f>'CN FD D'!V56-('CN FD A'!V56*'CN FD S'!V57/'CN FD alpha'!V57)</f>
        <v>-1.5002495380599701E-6</v>
      </c>
      <c r="W56" s="26">
        <f>'CN FD D'!W56-('CN FD A'!W56*'CN FD S'!W57/'CN FD alpha'!W57)</f>
        <v>-1.0820722228069524E-6</v>
      </c>
      <c r="X56" s="26">
        <f>'CN FD D'!X56-('CN FD A'!X56*'CN FD S'!X57/'CN FD alpha'!X57)</f>
        <v>-7.704434037279099E-7</v>
      </c>
      <c r="Y56" s="26">
        <f>'CN FD D'!Y56-('CN FD A'!Y56*'CN FD S'!Y57/'CN FD alpha'!Y57)</f>
        <v>-5.4103550087987201E-7</v>
      </c>
      <c r="Z56" s="26">
        <f>'CN FD D'!Z56-('CN FD A'!Z56*'CN FD S'!Z57/'CN FD alpha'!Z57)</f>
        <v>-3.7435130105913086E-7</v>
      </c>
      <c r="AA56" s="26">
        <f>'CN FD D'!AA56-('CN FD A'!AA56*'CN FD S'!AA57/'CN FD alpha'!AA57)</f>
        <v>-2.549312310660432E-7</v>
      </c>
      <c r="AB56" s="26">
        <f>'CN FD D'!AB56-('CN FD A'!AB56*'CN FD S'!AB57/'CN FD alpha'!AB57)</f>
        <v>-1.7065741513985394E-7</v>
      </c>
      <c r="AC56" s="26">
        <f>'CN FD D'!AC56-('CN FD A'!AC56*'CN FD S'!AC57/'CN FD alpha'!AC57)</f>
        <v>-1.121483212079287E-7</v>
      </c>
      <c r="AD56" s="26">
        <f>'CN FD D'!AD56-('CN FD A'!AD56*'CN FD S'!AD57/'CN FD alpha'!AD57)</f>
        <v>-7.2237412411548506E-8</v>
      </c>
      <c r="AE56" s="26">
        <f>'CN FD D'!AE56-('CN FD A'!AE56*'CN FD S'!AE57/'CN FD alpha'!AE57)</f>
        <v>-4.5528934283437641E-8</v>
      </c>
      <c r="AF56" s="26">
        <f>'CN FD D'!AF56-('CN FD A'!AF56*'CN FD S'!AF57/'CN FD alpha'!AF57)</f>
        <v>-2.8023788963698817E-8</v>
      </c>
      <c r="AG56" s="26">
        <f>'CN FD D'!AG56-('CN FD A'!AG56*'CN FD S'!AG57/'CN FD alpha'!AG57)</f>
        <v>-1.6808378742873268E-8</v>
      </c>
      <c r="AH56" s="26">
        <f>'CN FD D'!AH56-('CN FD A'!AH56*'CN FD S'!AH57/'CN FD alpha'!AH57)</f>
        <v>-9.7993423161454924E-9</v>
      </c>
      <c r="AI56" s="26">
        <f>'CN FD D'!AI56-('CN FD A'!AI56*'CN FD S'!AI57/'CN FD alpha'!AI57)</f>
        <v>-5.5372560063148779E-9</v>
      </c>
      <c r="AJ56" s="26">
        <f>'CN FD D'!AJ56-('CN FD A'!AJ56*'CN FD S'!AJ57/'CN FD alpha'!AJ57)</f>
        <v>-3.0226235738455565E-9</v>
      </c>
      <c r="AK56" s="26">
        <f>'CN FD D'!AK56-('CN FD A'!AK56*'CN FD S'!AK57/'CN FD alpha'!AK57)</f>
        <v>-1.5878238449843173E-9</v>
      </c>
      <c r="AL56" s="26">
        <f>'CN FD D'!AL56-('CN FD A'!AL56*'CN FD S'!AL57/'CN FD alpha'!AL57)</f>
        <v>-7.9911411972484312E-10</v>
      </c>
      <c r="AM56" s="26">
        <f>'CN FD D'!AM56-('CN FD A'!AM56*'CN FD S'!AM57/'CN FD alpha'!AM57)</f>
        <v>-3.8328531630842679E-10</v>
      </c>
      <c r="AN56" s="26">
        <f>'CN FD D'!AN56-('CN FD A'!AN56*'CN FD S'!AN57/'CN FD alpha'!AN57)</f>
        <v>-1.7411582430600697E-10</v>
      </c>
      <c r="AO56" s="26">
        <f>'CN FD D'!AO56-('CN FD A'!AO56*'CN FD S'!AO57/'CN FD alpha'!AO57)</f>
        <v>-7.4356935971972243E-11</v>
      </c>
      <c r="AP56" s="26">
        <f>'CN FD D'!AP56-('CN FD A'!AP56*'CN FD S'!AP57/'CN FD alpha'!AP57)</f>
        <v>-2.9584137913630997E-11</v>
      </c>
      <c r="AQ56" s="26">
        <f>'CN FD D'!AQ56-('CN FD A'!AQ56*'CN FD S'!AQ57/'CN FD alpha'!AQ57)</f>
        <v>-1.0845703402177913E-11</v>
      </c>
      <c r="AR56" s="26">
        <f>'CN FD D'!AR56-('CN FD A'!AR56*'CN FD S'!AR57/'CN FD alpha'!AR57)</f>
        <v>-3.6137290339611449E-12</v>
      </c>
      <c r="AS56" s="26">
        <f>'CN FD D'!AS56-('CN FD A'!AS56*'CN FD S'!AS57/'CN FD alpha'!AS57)</f>
        <v>-1.0754429213229132E-12</v>
      </c>
      <c r="AT56" s="26">
        <f>'CN FD D'!AT56-('CN FD A'!AT56*'CN FD S'!AT57/'CN FD alpha'!AT57)</f>
        <v>-2.7944643006420766E-13</v>
      </c>
      <c r="AU56" s="26">
        <f>'CN FD D'!AU56-('CN FD A'!AU56*'CN FD S'!AU57/'CN FD alpha'!AU57)</f>
        <v>-6.1485505510445001E-14</v>
      </c>
      <c r="AV56" s="26">
        <f>'CN FD D'!AV56-('CN FD A'!AV56*'CN FD S'!AV57/'CN FD alpha'!AV57)</f>
        <v>-1.0965271190182702E-14</v>
      </c>
      <c r="AW56" s="26">
        <f>'CN FD D'!AW56-('CN FD A'!AW56*'CN FD S'!AW57/'CN FD alpha'!AW57)</f>
        <v>-1.4811012706571455E-15</v>
      </c>
      <c r="AX56" s="26">
        <f>'CN FD D'!AX56-('CN FD A'!AX56*'CN FD S'!AX57/'CN FD alpha'!AX57)</f>
        <v>-1.3420231500522598E-16</v>
      </c>
      <c r="AY56" s="26">
        <f>'CN FD D'!AY56-('CN FD A'!AY56*'CN FD S'!AY57/'CN FD alpha'!AY57)</f>
        <v>-6.094865428775636E-18</v>
      </c>
      <c r="AZ56" s="26">
        <f>'CN FD D'!AZ56-('CN FD A'!AZ56*'CN FD S'!AZ57/'CN FD alpha'!AZ57)</f>
        <v>0</v>
      </c>
      <c r="BA56" s="6"/>
    </row>
    <row r="57" spans="1:53" x14ac:dyDescent="0.2">
      <c r="A57">
        <f t="shared" si="1"/>
        <v>8</v>
      </c>
      <c r="B57" s="3">
        <f t="shared" si="0"/>
        <v>16</v>
      </c>
      <c r="C57" s="26">
        <f>'CN FD D'!C57-('CN FD A'!C57*'CN FD S'!C58/'CN FD alpha'!C58)</f>
        <v>-9.3463273592977977E-6</v>
      </c>
      <c r="D57" s="26">
        <f>'CN FD D'!D57-('CN FD A'!D57*'CN FD S'!D58/'CN FD alpha'!D58)</f>
        <v>-7.6259081188254032E-6</v>
      </c>
      <c r="E57" s="26">
        <f>'CN FD D'!E57-('CN FD A'!E57*'CN FD S'!E58/'CN FD alpha'!E58)</f>
        <v>-6.1900705950554031E-6</v>
      </c>
      <c r="F57" s="26">
        <f>'CN FD D'!F57-('CN FD A'!F57*'CN FD S'!F58/'CN FD alpha'!F58)</f>
        <v>-4.997531582829676E-6</v>
      </c>
      <c r="G57" s="26">
        <f>'CN FD D'!G57-('CN FD A'!G57*'CN FD S'!G58/'CN FD alpha'!G58)</f>
        <v>-4.0120619784389071E-6</v>
      </c>
      <c r="H57" s="26">
        <f>'CN FD D'!H57-('CN FD A'!H57*'CN FD S'!H58/'CN FD alpha'!H58)</f>
        <v>-3.2019999861759929E-6</v>
      </c>
      <c r="I57" s="26">
        <f>'CN FD D'!I57-('CN FD A'!I57*'CN FD S'!I58/'CN FD alpha'!I58)</f>
        <v>-2.5397954195066208E-6</v>
      </c>
      <c r="J57" s="26">
        <f>'CN FD D'!J57-('CN FD A'!J57*'CN FD S'!J58/'CN FD alpha'!J58)</f>
        <v>-2.0015846558369405E-6</v>
      </c>
      <c r="K57" s="26">
        <f>'CN FD D'!K57-('CN FD A'!K57*'CN FD S'!K58/'CN FD alpha'!K58)</f>
        <v>-1.5667956809829923E-6</v>
      </c>
      <c r="L57" s="26">
        <f>'CN FD D'!L57-('CN FD A'!L57*'CN FD S'!L58/'CN FD alpha'!L58)</f>
        <v>-1.2177825416387635E-6</v>
      </c>
      <c r="M57" s="26">
        <f>'CN FD D'!M57-('CN FD A'!M57*'CN FD S'!M58/'CN FD alpha'!M58)</f>
        <v>-9.3948841241962474E-7</v>
      </c>
      <c r="N57" s="26">
        <f>'CN FD D'!N57-('CN FD A'!N57*'CN FD S'!N58/'CN FD alpha'!N58)</f>
        <v>-7.1913637942301806E-7</v>
      </c>
      <c r="O57" s="26">
        <f>'CN FD D'!O57-('CN FD A'!O57*'CN FD S'!O58/'CN FD alpha'!O58)</f>
        <v>-5.4594694565824283E-7</v>
      </c>
      <c r="P57" s="26">
        <f>'CN FD D'!P57-('CN FD A'!P57*'CN FD S'!P58/'CN FD alpha'!P58)</f>
        <v>-4.1088117605907569E-7</v>
      </c>
      <c r="Q57" s="26">
        <f>'CN FD D'!Q57-('CN FD A'!Q57*'CN FD S'!Q58/'CN FD alpha'!Q58)</f>
        <v>-3.0640832194522958E-7</v>
      </c>
      <c r="R57" s="26">
        <f>'CN FD D'!R57-('CN FD A'!R57*'CN FD S'!R58/'CN FD alpha'!R58)</f>
        <v>-2.2629669749513966E-7</v>
      </c>
      <c r="S57" s="26">
        <f>'CN FD D'!S57-('CN FD A'!S57*'CN FD S'!S58/'CN FD alpha'!S58)</f>
        <v>-1.6542652468622404E-7</v>
      </c>
      <c r="T57" s="26">
        <f>'CN FD D'!T57-('CN FD A'!T57*'CN FD S'!T58/'CN FD alpha'!T58)</f>
        <v>-1.1962341878565217E-7</v>
      </c>
      <c r="U57" s="26">
        <f>'CN FD D'!U57-('CN FD A'!U57*'CN FD S'!U58/'CN FD alpha'!U58)</f>
        <v>-8.5511154238573202E-8</v>
      </c>
      <c r="V57" s="26">
        <f>'CN FD D'!V57-('CN FD A'!V57*'CN FD S'!V58/'CN FD alpha'!V58)</f>
        <v>-6.0382330958826616E-8</v>
      </c>
      <c r="W57" s="26">
        <f>'CN FD D'!W57-('CN FD A'!W57*'CN FD S'!W58/'CN FD alpha'!W58)</f>
        <v>-4.2085553676955842E-8</v>
      </c>
      <c r="X57" s="26">
        <f>'CN FD D'!X57-('CN FD A'!X57*'CN FD S'!X58/'CN FD alpha'!X58)</f>
        <v>-2.8927742068945957E-8</v>
      </c>
      <c r="Y57" s="26">
        <f>'CN FD D'!Y57-('CN FD A'!Y57*'CN FD S'!Y58/'CN FD alpha'!Y58)</f>
        <v>-1.9590206624669489E-8</v>
      </c>
      <c r="Z57" s="26">
        <f>'CN FD D'!Z57-('CN FD A'!Z57*'CN FD S'!Z58/'CN FD alpha'!Z58)</f>
        <v>-1.3057154181386752E-8</v>
      </c>
      <c r="AA57" s="26">
        <f>'CN FD D'!AA57-('CN FD A'!AA57*'CN FD S'!AA58/'CN FD alpha'!AA58)</f>
        <v>-8.5553271225245793E-9</v>
      </c>
      <c r="AB57" s="26">
        <f>'CN FD D'!AB57-('CN FD A'!AB57*'CN FD S'!AB58/'CN FD alpha'!AB58)</f>
        <v>-5.5035306192237206E-9</v>
      </c>
      <c r="AC57" s="26">
        <f>'CN FD D'!AC57-('CN FD A'!AC57*'CN FD S'!AC58/'CN FD alpha'!AC58)</f>
        <v>-3.4708619887226931E-9</v>
      </c>
      <c r="AD57" s="26">
        <f>'CN FD D'!AD57-('CN FD A'!AD57*'CN FD S'!AD58/'CN FD alpha'!AD58)</f>
        <v>-2.1425241113870422E-9</v>
      </c>
      <c r="AE57" s="26">
        <f>'CN FD D'!AE57-('CN FD A'!AE57*'CN FD S'!AE58/'CN FD alpha'!AE58)</f>
        <v>-1.2921795910820827E-9</v>
      </c>
      <c r="AF57" s="26">
        <f>'CN FD D'!AF57-('CN FD A'!AF57*'CN FD S'!AF58/'CN FD alpha'!AF58)</f>
        <v>-7.5988254043452098E-10</v>
      </c>
      <c r="AG57" s="26">
        <f>'CN FD D'!AG57-('CN FD A'!AG57*'CN FD S'!AG58/'CN FD alpha'!AG58)</f>
        <v>-4.3470900515022598E-10</v>
      </c>
      <c r="AH57" s="26">
        <f>'CN FD D'!AH57-('CN FD A'!AH57*'CN FD S'!AH58/'CN FD alpha'!AH58)</f>
        <v>-2.412935282199032E-10</v>
      </c>
      <c r="AI57" s="26">
        <f>'CN FD D'!AI57-('CN FD A'!AI57*'CN FD S'!AI58/'CN FD alpha'!AI58)</f>
        <v>-1.2956658849528121E-10</v>
      </c>
      <c r="AJ57" s="26">
        <f>'CN FD D'!AJ57-('CN FD A'!AJ57*'CN FD S'!AJ58/'CN FD alpha'!AJ58)</f>
        <v>-6.7074038587710648E-11</v>
      </c>
      <c r="AK57" s="26">
        <f>'CN FD D'!AK57-('CN FD A'!AK57*'CN FD S'!AK58/'CN FD alpha'!AK58)</f>
        <v>-3.3343686125083266E-11</v>
      </c>
      <c r="AL57" s="26">
        <f>'CN FD D'!AL57-('CN FD A'!AL57*'CN FD S'!AL58/'CN FD alpha'!AL58)</f>
        <v>-1.5844390313706672E-11</v>
      </c>
      <c r="AM57" s="26">
        <f>'CN FD D'!AM57-('CN FD A'!AM57*'CN FD S'!AM58/'CN FD alpha'!AM58)</f>
        <v>-7.1582170902476287E-12</v>
      </c>
      <c r="AN57" s="26">
        <f>'CN FD D'!AN57-('CN FD A'!AN57*'CN FD S'!AN58/'CN FD alpha'!AN58)</f>
        <v>-3.0552431961161617E-12</v>
      </c>
      <c r="AO57" s="26">
        <f>'CN FD D'!AO57-('CN FD A'!AO57*'CN FD S'!AO58/'CN FD alpha'!AO58)</f>
        <v>-1.2226903290655981E-12</v>
      </c>
      <c r="AP57" s="26">
        <f>'CN FD D'!AP57-('CN FD A'!AP57*'CN FD S'!AP58/'CN FD alpha'!AP58)</f>
        <v>-4.546391860633551E-13</v>
      </c>
      <c r="AQ57" s="26">
        <f>'CN FD D'!AQ57-('CN FD A'!AQ57*'CN FD S'!AQ58/'CN FD alpha'!AQ58)</f>
        <v>-1.5533930929833502E-13</v>
      </c>
      <c r="AR57" s="26">
        <f>'CN FD D'!AR57-('CN FD A'!AR57*'CN FD S'!AR58/'CN FD alpha'!AR58)</f>
        <v>-4.8105581678513575E-14</v>
      </c>
      <c r="AS57" s="26">
        <f>'CN FD D'!AS57-('CN FD A'!AS57*'CN FD S'!AS58/'CN FD alpha'!AS58)</f>
        <v>-1.3269955283910213E-14</v>
      </c>
      <c r="AT57" s="26">
        <f>'CN FD D'!AT57-('CN FD A'!AT57*'CN FD S'!AT58/'CN FD alpha'!AT58)</f>
        <v>-3.1879321613635639E-15</v>
      </c>
      <c r="AU57" s="26">
        <f>'CN FD D'!AU57-('CN FD A'!AU57*'CN FD S'!AU58/'CN FD alpha'!AU58)</f>
        <v>-6.4699203092766267E-16</v>
      </c>
      <c r="AV57" s="26">
        <f>'CN FD D'!AV57-('CN FD A'!AV57*'CN FD S'!AV58/'CN FD alpha'!AV58)</f>
        <v>-1.0621691086131974E-16</v>
      </c>
      <c r="AW57" s="26">
        <f>'CN FD D'!AW57-('CN FD A'!AW57*'CN FD S'!AW58/'CN FD alpha'!AW58)</f>
        <v>-1.3186445145659711E-17</v>
      </c>
      <c r="AX57" s="26">
        <f>'CN FD D'!AX57-('CN FD A'!AX57*'CN FD S'!AX58/'CN FD alpha'!AX58)</f>
        <v>-1.0970260920734839E-18</v>
      </c>
      <c r="AY57" s="26">
        <f>'CN FD D'!AY57-('CN FD A'!AY57*'CN FD S'!AY58/'CN FD alpha'!AY58)</f>
        <v>-4.5722502361220451E-20</v>
      </c>
      <c r="AZ57" s="26">
        <f>'CN FD D'!AZ57-('CN FD A'!AZ57*'CN FD S'!AZ58/'CN FD alpha'!AZ58)</f>
        <v>0</v>
      </c>
      <c r="BA57" s="6"/>
    </row>
    <row r="58" spans="1:53" x14ac:dyDescent="0.2">
      <c r="A58">
        <f t="shared" si="1"/>
        <v>7</v>
      </c>
      <c r="B58" s="3">
        <f t="shared" si="0"/>
        <v>14</v>
      </c>
      <c r="C58" s="26">
        <f>'CN FD D'!C58-('CN FD A'!C58*'CN FD S'!C59/'CN FD alpha'!C59)</f>
        <v>-4.5919337493998378E-7</v>
      </c>
      <c r="D58" s="26">
        <f>'CN FD D'!D58-('CN FD A'!D58*'CN FD S'!D59/'CN FD alpha'!D59)</f>
        <v>-3.6644894888267609E-7</v>
      </c>
      <c r="E58" s="26">
        <f>'CN FD D'!E58-('CN FD A'!E58*'CN FD S'!E59/'CN FD alpha'!E59)</f>
        <v>-2.9080557603455459E-7</v>
      </c>
      <c r="F58" s="26">
        <f>'CN FD D'!F58-('CN FD A'!F58*'CN FD S'!F59/'CN FD alpha'!F59)</f>
        <v>-2.2943468317668843E-7</v>
      </c>
      <c r="G58" s="26">
        <f>'CN FD D'!G58-('CN FD A'!G58*'CN FD S'!G59/'CN FD alpha'!G59)</f>
        <v>-1.7991675068464014E-7</v>
      </c>
      <c r="H58" s="26">
        <f>'CN FD D'!H58-('CN FD A'!H58*'CN FD S'!H59/'CN FD alpha'!H59)</f>
        <v>-1.4019168078134524E-7</v>
      </c>
      <c r="I58" s="26">
        <f>'CN FD D'!I58-('CN FD A'!I58*'CN FD S'!I59/'CN FD alpha'!I59)</f>
        <v>-1.0851383989981853E-7</v>
      </c>
      <c r="J58" s="26">
        <f>'CN FD D'!J58-('CN FD A'!J58*'CN FD S'!J59/'CN FD alpha'!J59)</f>
        <v>-8.3411496669951635E-8</v>
      </c>
      <c r="K58" s="26">
        <f>'CN FD D'!K58-('CN FD A'!K58*'CN FD S'!K59/'CN FD alpha'!K59)</f>
        <v>-6.3650377662147938E-8</v>
      </c>
      <c r="L58" s="26">
        <f>'CN FD D'!L58-('CN FD A'!L58*'CN FD S'!L59/'CN FD alpha'!L59)</f>
        <v>-4.8201065082709505E-8</v>
      </c>
      <c r="M58" s="26">
        <f>'CN FD D'!M58-('CN FD A'!M58*'CN FD S'!M59/'CN FD alpha'!M59)</f>
        <v>-3.6209964084113363E-8</v>
      </c>
      <c r="N58" s="26">
        <f>'CN FD D'!N58-('CN FD A'!N58*'CN FD S'!N59/'CN FD alpha'!N59)</f>
        <v>-2.6973572177153063E-8</v>
      </c>
      <c r="O58" s="26">
        <f>'CN FD D'!O58-('CN FD A'!O58*'CN FD S'!O59/'CN FD alpha'!O59)</f>
        <v>-1.9915789348243759E-8</v>
      </c>
      <c r="P58" s="26">
        <f>'CN FD D'!P58-('CN FD A'!P58*'CN FD S'!P59/'CN FD alpha'!P59)</f>
        <v>-1.4568014818441705E-8</v>
      </c>
      <c r="Q58" s="26">
        <f>'CN FD D'!Q58-('CN FD A'!Q58*'CN FD S'!Q59/'CN FD alpha'!Q59)</f>
        <v>-1.0551784843413402E-8</v>
      </c>
      <c r="R58" s="26">
        <f>'CN FD D'!R58-('CN FD A'!R58*'CN FD S'!R59/'CN FD alpha'!R59)</f>
        <v>-7.5637154469296117E-9</v>
      </c>
      <c r="S58" s="26">
        <f>'CN FD D'!S58-('CN FD A'!S58*'CN FD S'!S59/'CN FD alpha'!S59)</f>
        <v>-5.3625243952848293E-9</v>
      </c>
      <c r="T58" s="26">
        <f>'CN FD D'!T58-('CN FD A'!T58*'CN FD S'!T59/'CN FD alpha'!T59)</f>
        <v>-3.7579179378751783E-9</v>
      </c>
      <c r="U58" s="26">
        <f>'CN FD D'!U58-('CN FD A'!U58*'CN FD S'!U59/'CN FD alpha'!U59)</f>
        <v>-2.6011397335239795E-9</v>
      </c>
      <c r="V58" s="26">
        <f>'CN FD D'!V58-('CN FD A'!V58*'CN FD S'!V59/'CN FD alpha'!V59)</f>
        <v>-1.7769918200394513E-9</v>
      </c>
      <c r="W58" s="26">
        <f>'CN FD D'!W58-('CN FD A'!W58*'CN FD S'!W59/'CN FD alpha'!W59)</f>
        <v>-1.1971503281369446E-9</v>
      </c>
      <c r="X58" s="26">
        <f>'CN FD D'!X58-('CN FD A'!X58*'CN FD S'!X59/'CN FD alpha'!X59)</f>
        <v>-7.9461174954757806E-10</v>
      </c>
      <c r="Y58" s="26">
        <f>'CN FD D'!Y58-('CN FD A'!Y58*'CN FD S'!Y59/'CN FD alpha'!Y59)</f>
        <v>-5.1911880126111831E-10</v>
      </c>
      <c r="Z58" s="26">
        <f>'CN FD D'!Z58-('CN FD A'!Z58*'CN FD S'!Z59/'CN FD alpha'!Z59)</f>
        <v>-3.3342814307041016E-10</v>
      </c>
      <c r="AA58" s="26">
        <f>'CN FD D'!AA58-('CN FD A'!AA58*'CN FD S'!AA59/'CN FD alpha'!AA59)</f>
        <v>-2.1029526705918291E-10</v>
      </c>
      <c r="AB58" s="26">
        <f>'CN FD D'!AB58-('CN FD A'!AB58*'CN FD S'!AB59/'CN FD alpha'!AB59)</f>
        <v>-1.3006465435701531E-10</v>
      </c>
      <c r="AC58" s="26">
        <f>'CN FD D'!AC58-('CN FD A'!AC58*'CN FD S'!AC59/'CN FD alpha'!AC59)</f>
        <v>-7.8765663395357514E-11</v>
      </c>
      <c r="AD58" s="26">
        <f>'CN FD D'!AD58-('CN FD A'!AD58*'CN FD S'!AD59/'CN FD alpha'!AD59)</f>
        <v>-4.6626462337963462E-11</v>
      </c>
      <c r="AE58" s="26">
        <f>'CN FD D'!AE58-('CN FD A'!AE58*'CN FD S'!AE59/'CN FD alpha'!AE59)</f>
        <v>-2.6929545992315683E-11</v>
      </c>
      <c r="AF58" s="26">
        <f>'CN FD D'!AF58-('CN FD A'!AF58*'CN FD S'!AF59/'CN FD alpha'!AF59)</f>
        <v>-1.5142898249758169E-11</v>
      </c>
      <c r="AG58" s="26">
        <f>'CN FD D'!AG58-('CN FD A'!AG58*'CN FD S'!AG59/'CN FD alpha'!AG59)</f>
        <v>-8.2706047349632566E-12</v>
      </c>
      <c r="AH58" s="26">
        <f>'CN FD D'!AH58-('CN FD A'!AH58*'CN FD S'!AH59/'CN FD alpha'!AH59)</f>
        <v>-4.3756338073994644E-12</v>
      </c>
      <c r="AI58" s="26">
        <f>'CN FD D'!AI58-('CN FD A'!AI58*'CN FD S'!AI59/'CN FD alpha'!AI59)</f>
        <v>-2.2355523197819478E-12</v>
      </c>
      <c r="AJ58" s="26">
        <f>'CN FD D'!AJ58-('CN FD A'!AJ58*'CN FD S'!AJ59/'CN FD alpha'!AJ59)</f>
        <v>-1.0991090220211772E-12</v>
      </c>
      <c r="AK58" s="26">
        <f>'CN FD D'!AK58-('CN FD A'!AK58*'CN FD S'!AK59/'CN FD alpha'!AK59)</f>
        <v>-5.1790497576139682E-13</v>
      </c>
      <c r="AL58" s="26">
        <f>'CN FD D'!AL58-('CN FD A'!AL58*'CN FD S'!AL59/'CN FD alpha'!AL59)</f>
        <v>-2.3279628708558701E-13</v>
      </c>
      <c r="AM58" s="26">
        <f>'CN FD D'!AM58-('CN FD A'!AM58*'CN FD S'!AM59/'CN FD alpha'!AM59)</f>
        <v>-9.9275829838275197E-14</v>
      </c>
      <c r="AN58" s="26">
        <f>'CN FD D'!AN58-('CN FD A'!AN58*'CN FD S'!AN59/'CN FD alpha'!AN59)</f>
        <v>-3.9908081680451028E-14</v>
      </c>
      <c r="AO58" s="26">
        <f>'CN FD D'!AO58-('CN FD A'!AO58*'CN FD S'!AO59/'CN FD alpha'!AO59)</f>
        <v>-1.5007795540364113E-14</v>
      </c>
      <c r="AP58" s="26">
        <f>'CN FD D'!AP58-('CN FD A'!AP58*'CN FD S'!AP59/'CN FD alpha'!AP59)</f>
        <v>-5.2316913749944079E-15</v>
      </c>
      <c r="AQ58" s="26">
        <f>'CN FD D'!AQ58-('CN FD A'!AQ58*'CN FD S'!AQ59/'CN FD alpha'!AQ59)</f>
        <v>-1.6719189482545381E-15</v>
      </c>
      <c r="AR58" s="26">
        <f>'CN FD D'!AR58-('CN FD A'!AR58*'CN FD S'!AR59/'CN FD alpha'!AR59)</f>
        <v>-4.8315264751315405E-16</v>
      </c>
      <c r="AS58" s="26">
        <f>'CN FD D'!AS58-('CN FD A'!AS58*'CN FD S'!AS59/'CN FD alpha'!AS59)</f>
        <v>-1.2409253171228272E-16</v>
      </c>
      <c r="AT58" s="26">
        <f>'CN FD D'!AT58-('CN FD A'!AT58*'CN FD S'!AT59/'CN FD alpha'!AT59)</f>
        <v>-2.7699259181108312E-17</v>
      </c>
      <c r="AU58" s="26">
        <f>'CN FD D'!AU58-('CN FD A'!AU58*'CN FD S'!AU59/'CN FD alpha'!AU59)</f>
        <v>-5.2135151736299412E-18</v>
      </c>
      <c r="AV58" s="26">
        <f>'CN FD D'!AV58-('CN FD A'!AV58*'CN FD S'!AV59/'CN FD alpha'!AV59)</f>
        <v>-7.9252634296621114E-19</v>
      </c>
      <c r="AW58" s="26">
        <f>'CN FD D'!AW58-('CN FD A'!AW58*'CN FD S'!AW59/'CN FD alpha'!AW59)</f>
        <v>-9.0992950085733153E-20</v>
      </c>
      <c r="AX58" s="26">
        <f>'CN FD D'!AX58-('CN FD A'!AX58*'CN FD S'!AX59/'CN FD alpha'!AX59)</f>
        <v>-6.9953474438274171E-21</v>
      </c>
      <c r="AY58" s="26">
        <f>'CN FD D'!AY58-('CN FD A'!AY58*'CN FD S'!AY59/'CN FD alpha'!AY59)</f>
        <v>-2.6932968411828329E-22</v>
      </c>
      <c r="AZ58" s="26">
        <f>'CN FD D'!AZ58-('CN FD A'!AZ58*'CN FD S'!AZ59/'CN FD alpha'!AZ59)</f>
        <v>0</v>
      </c>
      <c r="BA58" s="6"/>
    </row>
    <row r="59" spans="1:53" x14ac:dyDescent="0.2">
      <c r="A59">
        <f t="shared" si="1"/>
        <v>6</v>
      </c>
      <c r="B59" s="3">
        <f t="shared" si="0"/>
        <v>12</v>
      </c>
      <c r="C59" s="26">
        <f>'CN FD D'!C59-('CN FD A'!C59*'CN FD S'!C60/'CN FD alpha'!C60)</f>
        <v>-1.5962727482381125E-8</v>
      </c>
      <c r="D59" s="26">
        <f>'CN FD D'!D59-('CN FD A'!D59*'CN FD S'!D60/'CN FD alpha'!D60)</f>
        <v>-1.2458947788988862E-8</v>
      </c>
      <c r="E59" s="26">
        <f>'CN FD D'!E59-('CN FD A'!E59*'CN FD S'!E60/'CN FD alpha'!E60)</f>
        <v>-9.6660627376764842E-9</v>
      </c>
      <c r="F59" s="26">
        <f>'CN FD D'!F59-('CN FD A'!F59*'CN FD S'!F60/'CN FD alpha'!F60)</f>
        <v>-7.4524834677746445E-9</v>
      </c>
      <c r="G59" s="26">
        <f>'CN FD D'!G59-('CN FD A'!G59*'CN FD S'!G60/'CN FD alpha'!G60)</f>
        <v>-5.7084450063222483E-9</v>
      </c>
      <c r="H59" s="26">
        <f>'CN FD D'!H59-('CN FD A'!H59*'CN FD S'!H60/'CN FD alpha'!H60)</f>
        <v>-4.3428484450132789E-9</v>
      </c>
      <c r="I59" s="26">
        <f>'CN FD D'!I59-('CN FD A'!I59*'CN FD S'!I60/'CN FD alpha'!I60)</f>
        <v>-3.2804848389484213E-9</v>
      </c>
      <c r="J59" s="26">
        <f>'CN FD D'!J59-('CN FD A'!J59*'CN FD S'!J60/'CN FD alpha'!J60)</f>
        <v>-2.4596053877080325E-9</v>
      </c>
      <c r="K59" s="26">
        <f>'CN FD D'!K59-('CN FD A'!K59*'CN FD S'!K60/'CN FD alpha'!K60)</f>
        <v>-1.8298044569502736E-9</v>
      </c>
      <c r="L59" s="26">
        <f>'CN FD D'!L59-('CN FD A'!L59*'CN FD S'!L60/'CN FD alpha'!L60)</f>
        <v>-1.3501840134261675E-9</v>
      </c>
      <c r="M59" s="26">
        <f>'CN FD D'!M59-('CN FD A'!M59*'CN FD S'!M60/'CN FD alpha'!M60)</f>
        <v>-9.8777006538861997E-10</v>
      </c>
      <c r="N59" s="26">
        <f>'CN FD D'!N59-('CN FD A'!N59*'CN FD S'!N60/'CN FD alpha'!N60)</f>
        <v>-7.1615371146133143E-10</v>
      </c>
      <c r="O59" s="26">
        <f>'CN FD D'!O59-('CN FD A'!O59*'CN FD S'!O60/'CN FD alpha'!O60)</f>
        <v>-5.1433139205991838E-10</v>
      </c>
      <c r="P59" s="26">
        <f>'CN FD D'!P59-('CN FD A'!P59*'CN FD S'!P60/'CN FD alpha'!P60)</f>
        <v>-3.6572089680164183E-10</v>
      </c>
      <c r="Q59" s="26">
        <f>'CN FD D'!Q59-('CN FD A'!Q59*'CN FD S'!Q60/'CN FD alpha'!Q60)</f>
        <v>-2.5733159794497391E-10</v>
      </c>
      <c r="R59" s="26">
        <f>'CN FD D'!R59-('CN FD A'!R59*'CN FD S'!R60/'CN FD alpha'!R60)</f>
        <v>-1.7906924338538419E-10</v>
      </c>
      <c r="S59" s="26">
        <f>'CN FD D'!S59-('CN FD A'!S59*'CN FD S'!S60/'CN FD alpha'!S60)</f>
        <v>-1.2315744350321002E-10</v>
      </c>
      <c r="T59" s="26">
        <f>'CN FD D'!T59-('CN FD A'!T59*'CN FD S'!T60/'CN FD alpha'!T60)</f>
        <v>-8.3659715502715937E-11</v>
      </c>
      <c r="U59" s="26">
        <f>'CN FD D'!U59-('CN FD A'!U59*'CN FD S'!U60/'CN FD alpha'!U60)</f>
        <v>-5.6087599064784864E-11</v>
      </c>
      <c r="V59" s="26">
        <f>'CN FD D'!V59-('CN FD A'!V59*'CN FD S'!V60/'CN FD alpha'!V60)</f>
        <v>-3.708192148266635E-11</v>
      </c>
      <c r="W59" s="26">
        <f>'CN FD D'!W59-('CN FD A'!W59*'CN FD S'!W60/'CN FD alpha'!W60)</f>
        <v>-2.4155763408552935E-11</v>
      </c>
      <c r="X59" s="26">
        <f>'CN FD D'!X59-('CN FD A'!X59*'CN FD S'!X60/'CN FD alpha'!X60)</f>
        <v>-1.548905353219045E-11</v>
      </c>
      <c r="Y59" s="26">
        <f>'CN FD D'!Y59-('CN FD A'!Y59*'CN FD S'!Y60/'CN FD alpha'!Y60)</f>
        <v>-9.7659987758920613E-12</v>
      </c>
      <c r="Z59" s="26">
        <f>'CN FD D'!Z59-('CN FD A'!Z59*'CN FD S'!Z60/'CN FD alpha'!Z60)</f>
        <v>-6.0477339852967507E-12</v>
      </c>
      <c r="AA59" s="26">
        <f>'CN FD D'!AA59-('CN FD A'!AA59*'CN FD S'!AA60/'CN FD alpha'!AA60)</f>
        <v>-3.6736509083557491E-12</v>
      </c>
      <c r="AB59" s="26">
        <f>'CN FD D'!AB59-('CN FD A'!AB59*'CN FD S'!AB60/'CN FD alpha'!AB60)</f>
        <v>-2.1858409733228873E-12</v>
      </c>
      <c r="AC59" s="26">
        <f>'CN FD D'!AC59-('CN FD A'!AC59*'CN FD S'!AC60/'CN FD alpha'!AC60)</f>
        <v>-1.2719616428656525E-12</v>
      </c>
      <c r="AD59" s="26">
        <f>'CN FD D'!AD59-('CN FD A'!AD59*'CN FD S'!AD60/'CN FD alpha'!AD60)</f>
        <v>-7.2261466894378842E-13</v>
      </c>
      <c r="AE59" s="26">
        <f>'CN FD D'!AE59-('CN FD A'!AE59*'CN FD S'!AE60/'CN FD alpha'!AE60)</f>
        <v>-4.0001013909481624E-13</v>
      </c>
      <c r="AF59" s="26">
        <f>'CN FD D'!AF59-('CN FD A'!AF59*'CN FD S'!AF60/'CN FD alpha'!AF60)</f>
        <v>-2.1528742525573678E-13</v>
      </c>
      <c r="AG59" s="26">
        <f>'CN FD D'!AG59-('CN FD A'!AG59*'CN FD S'!AG60/'CN FD alpha'!AG60)</f>
        <v>-1.123784332007607E-13</v>
      </c>
      <c r="AH59" s="26">
        <f>'CN FD D'!AH59-('CN FD A'!AH59*'CN FD S'!AH60/'CN FD alpha'!AH60)</f>
        <v>-5.6735954151468081E-14</v>
      </c>
      <c r="AI59" s="26">
        <f>'CN FD D'!AI59-('CN FD A'!AI59*'CN FD S'!AI60/'CN FD alpha'!AI60)</f>
        <v>-2.7616978584421756E-14</v>
      </c>
      <c r="AJ59" s="26">
        <f>'CN FD D'!AJ59-('CN FD A'!AJ59*'CN FD S'!AJ60/'CN FD alpha'!AJ60)</f>
        <v>-1.2914414765368409E-14</v>
      </c>
      <c r="AK59" s="26">
        <f>'CN FD D'!AK59-('CN FD A'!AK59*'CN FD S'!AK60/'CN FD alpha'!AK60)</f>
        <v>-5.7777990637584311E-15</v>
      </c>
      <c r="AL59" s="26">
        <f>'CN FD D'!AL59-('CN FD A'!AL59*'CN FD S'!AL60/'CN FD alpha'!AL60)</f>
        <v>-2.4613378950431569E-15</v>
      </c>
      <c r="AM59" s="26">
        <f>'CN FD D'!AM59-('CN FD A'!AM59*'CN FD S'!AM60/'CN FD alpha'!AM60)</f>
        <v>-9.9288207317170411E-16</v>
      </c>
      <c r="AN59" s="26">
        <f>'CN FD D'!AN59-('CN FD A'!AN59*'CN FD S'!AN60/'CN FD alpha'!AN60)</f>
        <v>-3.7681352490140196E-16</v>
      </c>
      <c r="AO59" s="26">
        <f>'CN FD D'!AO59-('CN FD A'!AO59*'CN FD S'!AO60/'CN FD alpha'!AO60)</f>
        <v>-1.3351495318711892E-16</v>
      </c>
      <c r="AP59" s="26">
        <f>'CN FD D'!AP59-('CN FD A'!AP59*'CN FD S'!AP60/'CN FD alpha'!AP60)</f>
        <v>-4.3765441420090332E-17</v>
      </c>
      <c r="AQ59" s="26">
        <f>'CN FD D'!AQ59-('CN FD A'!AQ59*'CN FD S'!AQ60/'CN FD alpha'!AQ60)</f>
        <v>-1.3125472982544472E-17</v>
      </c>
      <c r="AR59" s="26">
        <f>'CN FD D'!AR59-('CN FD A'!AR59*'CN FD S'!AR60/'CN FD alpha'!AR60)</f>
        <v>-3.5526332490996626E-18</v>
      </c>
      <c r="AS59" s="26">
        <f>'CN FD D'!AS59-('CN FD A'!AS59*'CN FD S'!AS60/'CN FD alpha'!AS60)</f>
        <v>-8.5304909159604993E-19</v>
      </c>
      <c r="AT59" s="26">
        <f>'CN FD D'!AT59-('CN FD A'!AT59*'CN FD S'!AT60/'CN FD alpha'!AT60)</f>
        <v>-1.7771211236470169E-19</v>
      </c>
      <c r="AU59" s="26">
        <f>'CN FD D'!AU59-('CN FD A'!AU59*'CN FD S'!AU60/'CN FD alpha'!AU60)</f>
        <v>-3.1170476143161404E-20</v>
      </c>
      <c r="AV59" s="26">
        <f>'CN FD D'!AV59-('CN FD A'!AV59*'CN FD S'!AV60/'CN FD alpha'!AV60)</f>
        <v>-4.4100389624048637E-21</v>
      </c>
      <c r="AW59" s="26">
        <f>'CN FD D'!AW59-('CN FD A'!AW59*'CN FD S'!AW60/'CN FD alpha'!AW60)</f>
        <v>-4.7079765060739999E-22</v>
      </c>
      <c r="AX59" s="26">
        <f>'CN FD D'!AX59-('CN FD A'!AX59*'CN FD S'!AX60/'CN FD alpha'!AX60)</f>
        <v>-3.3632771482772707E-23</v>
      </c>
      <c r="AY59" s="26">
        <f>'CN FD D'!AY59-('CN FD A'!AY59*'CN FD S'!AY60/'CN FD alpha'!AY60)</f>
        <v>-1.2029617030462912E-24</v>
      </c>
      <c r="AZ59" s="26">
        <f>'CN FD D'!AZ59-('CN FD A'!AZ59*'CN FD S'!AZ60/'CN FD alpha'!AZ60)</f>
        <v>0</v>
      </c>
      <c r="BA59" s="6"/>
    </row>
    <row r="60" spans="1:53" x14ac:dyDescent="0.2">
      <c r="A60">
        <f t="shared" si="1"/>
        <v>5</v>
      </c>
      <c r="B60" s="3">
        <f t="shared" si="0"/>
        <v>10</v>
      </c>
      <c r="C60" s="26">
        <f>'CN FD D'!C60-('CN FD A'!C60*'CN FD S'!C61/'CN FD alpha'!C61)</f>
        <v>-3.7565034171467919E-10</v>
      </c>
      <c r="D60" s="26">
        <f>'CN FD D'!D60-('CN FD A'!D60*'CN FD S'!D61/'CN FD alpha'!D61)</f>
        <v>-2.867767899926874E-10</v>
      </c>
      <c r="E60" s="26">
        <f>'CN FD D'!E60-('CN FD A'!E60*'CN FD S'!E61/'CN FD alpha'!E61)</f>
        <v>-2.1753299829520309E-10</v>
      </c>
      <c r="F60" s="26">
        <f>'CN FD D'!F60-('CN FD A'!F60*'CN FD S'!F61/'CN FD alpha'!F61)</f>
        <v>-1.6391176830886665E-10</v>
      </c>
      <c r="G60" s="26">
        <f>'CN FD D'!G60-('CN FD A'!G60*'CN FD S'!G61/'CN FD alpha'!G61)</f>
        <v>-1.2265198138488064E-10</v>
      </c>
      <c r="H60" s="26">
        <f>'CN FD D'!H60-('CN FD A'!H60*'CN FD S'!H61/'CN FD alpha'!H61)</f>
        <v>-9.1114212779695066E-11</v>
      </c>
      <c r="I60" s="26">
        <f>'CN FD D'!I60-('CN FD A'!I60*'CN FD S'!I61/'CN FD alpha'!I61)</f>
        <v>-6.7174416656330595E-11</v>
      </c>
      <c r="J60" s="26">
        <f>'CN FD D'!J60-('CN FD A'!J60*'CN FD S'!J61/'CN FD alpha'!J61)</f>
        <v>-4.9133494366550396E-11</v>
      </c>
      <c r="K60" s="26">
        <f>'CN FD D'!K60-('CN FD A'!K60*'CN FD S'!K61/'CN FD alpha'!K61)</f>
        <v>-3.5640760496506896E-11</v>
      </c>
      <c r="L60" s="26">
        <f>'CN FD D'!L60-('CN FD A'!L60*'CN FD S'!L61/'CN FD alpha'!L61)</f>
        <v>-2.5629512136055219E-11</v>
      </c>
      <c r="M60" s="26">
        <f>'CN FD D'!M60-('CN FD A'!M60*'CN FD S'!M61/'CN FD alpha'!M61)</f>
        <v>-1.8263086640326762E-11</v>
      </c>
      <c r="N60" s="26">
        <f>'CN FD D'!N60-('CN FD A'!N60*'CN FD S'!N61/'CN FD alpha'!N61)</f>
        <v>-1.2889961686631733E-11</v>
      </c>
      <c r="O60" s="26">
        <f>'CN FD D'!O60-('CN FD A'!O60*'CN FD S'!O61/'CN FD alpha'!O61)</f>
        <v>-9.0066086641887875E-12</v>
      </c>
      <c r="P60" s="26">
        <f>'CN FD D'!P60-('CN FD A'!P60*'CN FD S'!P61/'CN FD alpha'!P61)</f>
        <v>-6.22695641939937E-12</v>
      </c>
      <c r="Q60" s="26">
        <f>'CN FD D'!Q60-('CN FD A'!Q60*'CN FD S'!Q61/'CN FD alpha'!Q61)</f>
        <v>-4.2574572407029422E-12</v>
      </c>
      <c r="R60" s="26">
        <f>'CN FD D'!R60-('CN FD A'!R60*'CN FD S'!R61/'CN FD alpha'!R61)</f>
        <v>-2.8768709010001164E-12</v>
      </c>
      <c r="S60" s="26">
        <f>'CN FD D'!S60-('CN FD A'!S60*'CN FD S'!S61/'CN FD alpha'!S61)</f>
        <v>-1.9199958459551663E-12</v>
      </c>
      <c r="T60" s="26">
        <f>'CN FD D'!T60-('CN FD A'!T60*'CN FD S'!T61/'CN FD alpha'!T61)</f>
        <v>-1.2646795494036781E-12</v>
      </c>
      <c r="U60" s="26">
        <f>'CN FD D'!U60-('CN FD A'!U60*'CN FD S'!U61/'CN FD alpha'!U61)</f>
        <v>-8.2153303587031341E-13</v>
      </c>
      <c r="V60" s="26">
        <f>'CN FD D'!V60-('CN FD A'!V60*'CN FD S'!V61/'CN FD alpha'!V61)</f>
        <v>-5.258580291477426E-13</v>
      </c>
      <c r="W60" s="26">
        <f>'CN FD D'!W60-('CN FD A'!W60*'CN FD S'!W61/'CN FD alpha'!W61)</f>
        <v>-3.3136960375208313E-13</v>
      </c>
      <c r="X60" s="26">
        <f>'CN FD D'!X60-('CN FD A'!X60*'CN FD S'!X61/'CN FD alpha'!X61)</f>
        <v>-2.0536310901853488E-13</v>
      </c>
      <c r="Y60" s="26">
        <f>'CN FD D'!Y60-('CN FD A'!Y60*'CN FD S'!Y61/'CN FD alpha'!Y61)</f>
        <v>-1.2503204982104454E-13</v>
      </c>
      <c r="Z60" s="26">
        <f>'CN FD D'!Z60-('CN FD A'!Z60*'CN FD S'!Z61/'CN FD alpha'!Z61)</f>
        <v>-7.4694111962224089E-14</v>
      </c>
      <c r="AA60" s="26">
        <f>'CN FD D'!AA60-('CN FD A'!AA60*'CN FD S'!AA61/'CN FD alpha'!AA61)</f>
        <v>-4.3726197373735283E-14</v>
      </c>
      <c r="AB60" s="26">
        <f>'CN FD D'!AB60-('CN FD A'!AB60*'CN FD S'!AB61/'CN FD alpha'!AB61)</f>
        <v>-2.5046774442442239E-14</v>
      </c>
      <c r="AC60" s="26">
        <f>'CN FD D'!AC60-('CN FD A'!AC60*'CN FD S'!AC61/'CN FD alpha'!AC61)</f>
        <v>-1.4015641325515557E-14</v>
      </c>
      <c r="AD60" s="26">
        <f>'CN FD D'!AD60-('CN FD A'!AD60*'CN FD S'!AD61/'CN FD alpha'!AD61)</f>
        <v>-7.6479262336791324E-15</v>
      </c>
      <c r="AE60" s="26">
        <f>'CN FD D'!AE60-('CN FD A'!AE60*'CN FD S'!AE61/'CN FD alpha'!AE61)</f>
        <v>-4.0613745239511257E-15</v>
      </c>
      <c r="AF60" s="26">
        <f>'CN FD D'!AF60-('CN FD A'!AF60*'CN FD S'!AF61/'CN FD alpha'!AF61)</f>
        <v>-2.0942428429582491E-15</v>
      </c>
      <c r="AG60" s="26">
        <f>'CN FD D'!AG60-('CN FD A'!AG60*'CN FD S'!AG61/'CN FD alpha'!AG61)</f>
        <v>-1.0459532120934414E-15</v>
      </c>
      <c r="AH60" s="26">
        <f>'CN FD D'!AH60-('CN FD A'!AH60*'CN FD S'!AH61/'CN FD alpha'!AH61)</f>
        <v>-5.0454057950840703E-16</v>
      </c>
      <c r="AI60" s="26">
        <f>'CN FD D'!AI60-('CN FD A'!AI60*'CN FD S'!AI61/'CN FD alpha'!AI61)</f>
        <v>-2.3430571983469793E-16</v>
      </c>
      <c r="AJ60" s="26">
        <f>'CN FD D'!AJ60-('CN FD A'!AJ60*'CN FD S'!AJ61/'CN FD alpha'!AJ61)</f>
        <v>-1.0437213171703216E-16</v>
      </c>
      <c r="AK60" s="26">
        <f>'CN FD D'!AK60-('CN FD A'!AK60*'CN FD S'!AK61/'CN FD alpha'!AK61)</f>
        <v>-4.4410366812578354E-17</v>
      </c>
      <c r="AL60" s="26">
        <f>'CN FD D'!AL60-('CN FD A'!AL60*'CN FD S'!AL61/'CN FD alpha'!AL61)</f>
        <v>-1.7963521194339048E-17</v>
      </c>
      <c r="AM60" s="26">
        <f>'CN FD D'!AM60-('CN FD A'!AM60*'CN FD S'!AM61/'CN FD alpha'!AM61)</f>
        <v>-6.8688357736346354E-18</v>
      </c>
      <c r="AN60" s="26">
        <f>'CN FD D'!AN60-('CN FD A'!AN60*'CN FD S'!AN61/'CN FD alpha'!AN61)</f>
        <v>-2.4667768133268068E-18</v>
      </c>
      <c r="AO60" s="26">
        <f>'CN FD D'!AO60-('CN FD A'!AO60*'CN FD S'!AO61/'CN FD alpha'!AO61)</f>
        <v>-8.2565091432052113E-19</v>
      </c>
      <c r="AP60" s="26">
        <f>'CN FD D'!AP60-('CN FD A'!AP60*'CN FD S'!AP61/'CN FD alpha'!AP61)</f>
        <v>-2.5521595042343276E-19</v>
      </c>
      <c r="AQ60" s="26">
        <f>'CN FD D'!AQ60-('CN FD A'!AQ60*'CN FD S'!AQ61/'CN FD alpha'!AQ61)</f>
        <v>-7.2054446152065253E-20</v>
      </c>
      <c r="AR60" s="26">
        <f>'CN FD D'!AR60-('CN FD A'!AR60*'CN FD S'!AR61/'CN FD alpha'!AR61)</f>
        <v>-1.8329512709046386E-20</v>
      </c>
      <c r="AS60" s="26">
        <f>'CN FD D'!AS60-('CN FD A'!AS60*'CN FD S'!AS61/'CN FD alpha'!AS61)</f>
        <v>-4.1300581386997712E-21</v>
      </c>
      <c r="AT60" s="26">
        <f>'CN FD D'!AT60-('CN FD A'!AT60*'CN FD S'!AT61/'CN FD alpha'!AT61)</f>
        <v>-8.0624331056344642E-22</v>
      </c>
      <c r="AU60" s="26">
        <f>'CN FD D'!AU60-('CN FD A'!AU60*'CN FD S'!AU61/'CN FD alpha'!AU61)</f>
        <v>-1.3234911275441632E-22</v>
      </c>
      <c r="AV60" s="26">
        <f>'CN FD D'!AV60-('CN FD A'!AV60*'CN FD S'!AV61/'CN FD alpha'!AV61)</f>
        <v>-1.7506668883676868E-23</v>
      </c>
      <c r="AW60" s="26">
        <f>'CN FD D'!AW60-('CN FD A'!AW60*'CN FD S'!AW61/'CN FD alpha'!AW61)</f>
        <v>-1.7459939844252497E-24</v>
      </c>
      <c r="AX60" s="26">
        <f>'CN FD D'!AX60-('CN FD A'!AX60*'CN FD S'!AX61/'CN FD alpha'!AX61)</f>
        <v>-1.1646715843370723E-25</v>
      </c>
      <c r="AY60" s="26">
        <f>'CN FD D'!AY60-('CN FD A'!AY60*'CN FD S'!AY61/'CN FD alpha'!AY61)</f>
        <v>-3.8890097048503031E-27</v>
      </c>
      <c r="AZ60" s="26">
        <f>'CN FD D'!AZ60-('CN FD A'!AZ60*'CN FD S'!AZ61/'CN FD alpha'!AZ61)</f>
        <v>0</v>
      </c>
      <c r="BA60" s="6"/>
    </row>
    <row r="61" spans="1:53" x14ac:dyDescent="0.2">
      <c r="A61">
        <f t="shared" si="1"/>
        <v>4</v>
      </c>
      <c r="B61" s="3">
        <f t="shared" si="0"/>
        <v>8</v>
      </c>
      <c r="C61" s="26">
        <f>'CN FD D'!C61-('CN FD A'!C61*'CN FD S'!C62/'CN FD alpha'!C62)</f>
        <v>-5.6203288620069821E-12</v>
      </c>
      <c r="D61" s="26">
        <f>'CN FD D'!D61-('CN FD A'!D61*'CN FD S'!D62/'CN FD alpha'!D62)</f>
        <v>-4.197291120298051E-12</v>
      </c>
      <c r="E61" s="26">
        <f>'CN FD D'!E61-('CN FD A'!E61*'CN FD S'!E62/'CN FD alpha'!E62)</f>
        <v>-3.1133537303377084E-12</v>
      </c>
      <c r="F61" s="26">
        <f>'CN FD D'!F61-('CN FD A'!F61*'CN FD S'!F62/'CN FD alpha'!F62)</f>
        <v>-2.2930668329061784E-12</v>
      </c>
      <c r="G61" s="26">
        <f>'CN FD D'!G61-('CN FD A'!G61*'CN FD S'!G62/'CN FD alpha'!G62)</f>
        <v>-1.6764981164679215E-12</v>
      </c>
      <c r="H61" s="26">
        <f>'CN FD D'!H61-('CN FD A'!H61*'CN FD S'!H62/'CN FD alpha'!H62)</f>
        <v>-1.2163218972271713E-12</v>
      </c>
      <c r="I61" s="26">
        <f>'CN FD D'!I61-('CN FD A'!I61*'CN FD S'!I62/'CN FD alpha'!I62)</f>
        <v>-8.7539713001276827E-13</v>
      </c>
      <c r="J61" s="26">
        <f>'CN FD D'!J61-('CN FD A'!J61*'CN FD S'!J62/'CN FD alpha'!J62)</f>
        <v>-6.2476281255492306E-13</v>
      </c>
      <c r="K61" s="26">
        <f>'CN FD D'!K61-('CN FD A'!K61*'CN FD S'!K62/'CN FD alpha'!K62)</f>
        <v>-4.419879579257154E-13</v>
      </c>
      <c r="L61" s="26">
        <f>'CN FD D'!L61-('CN FD A'!L61*'CN FD S'!L62/'CN FD alpha'!L62)</f>
        <v>-3.0982121552787517E-13</v>
      </c>
      <c r="M61" s="26">
        <f>'CN FD D'!M61-('CN FD A'!M61*'CN FD S'!M62/'CN FD alpha'!M62)</f>
        <v>-2.15092363314452E-13</v>
      </c>
      <c r="N61" s="26">
        <f>'CN FD D'!N61-('CN FD A'!N61*'CN FD S'!N62/'CN FD alpha'!N62)</f>
        <v>-1.4782431712557559E-13</v>
      </c>
      <c r="O61" s="26">
        <f>'CN FD D'!O61-('CN FD A'!O61*'CN FD S'!O62/'CN FD alpha'!O62)</f>
        <v>-1.0052005195390322E-13</v>
      </c>
      <c r="P61" s="26">
        <f>'CN FD D'!P61-('CN FD A'!P61*'CN FD S'!P62/'CN FD alpha'!P62)</f>
        <v>-6.7593949670770354E-14</v>
      </c>
      <c r="Q61" s="26">
        <f>'CN FD D'!Q61-('CN FD A'!Q61*'CN FD S'!Q62/'CN FD alpha'!Q62)</f>
        <v>-4.4921623258388093E-14</v>
      </c>
      <c r="R61" s="26">
        <f>'CN FD D'!R61-('CN FD A'!R61*'CN FD S'!R62/'CN FD alpha'!R62)</f>
        <v>-2.94862635002757E-14</v>
      </c>
      <c r="S61" s="26">
        <f>'CN FD D'!S61-('CN FD A'!S61*'CN FD S'!S62/'CN FD alpha'!S62)</f>
        <v>-1.9103054277601836E-14</v>
      </c>
      <c r="T61" s="26">
        <f>'CN FD D'!T61-('CN FD A'!T61*'CN FD S'!T62/'CN FD alpha'!T62)</f>
        <v>-1.2206250001857503E-14</v>
      </c>
      <c r="U61" s="26">
        <f>'CN FD D'!U61-('CN FD A'!U61*'CN FD S'!U62/'CN FD alpha'!U62)</f>
        <v>-7.6861449157187712E-15</v>
      </c>
      <c r="V61" s="26">
        <f>'CN FD D'!V61-('CN FD A'!V61*'CN FD S'!V62/'CN FD alpha'!V62)</f>
        <v>-4.7654291309971572E-15</v>
      </c>
      <c r="W61" s="26">
        <f>'CN FD D'!W61-('CN FD A'!W61*'CN FD S'!W62/'CN FD alpha'!W62)</f>
        <v>-2.90635872640202E-15</v>
      </c>
      <c r="X61" s="26">
        <f>'CN FD D'!X61-('CN FD A'!X61*'CN FD S'!X62/'CN FD alpha'!X62)</f>
        <v>-1.7418034511696504E-15</v>
      </c>
      <c r="Y61" s="26">
        <f>'CN FD D'!Y61-('CN FD A'!Y61*'CN FD S'!Y62/'CN FD alpha'!Y62)</f>
        <v>-1.0246099354483496E-15</v>
      </c>
      <c r="Z61" s="26">
        <f>'CN FD D'!Z61-('CN FD A'!Z61*'CN FD S'!Z62/'CN FD alpha'!Z62)</f>
        <v>-5.9086293574198113E-16</v>
      </c>
      <c r="AA61" s="26">
        <f>'CN FD D'!AA61-('CN FD A'!AA61*'CN FD S'!AA62/'CN FD alpha'!AA62)</f>
        <v>-3.3357186672003032E-16</v>
      </c>
      <c r="AB61" s="26">
        <f>'CN FD D'!AB61-('CN FD A'!AB61*'CN FD S'!AB62/'CN FD alpha'!AB62)</f>
        <v>-1.8408213069571195E-16</v>
      </c>
      <c r="AC61" s="26">
        <f>'CN FD D'!AC61-('CN FD A'!AC61*'CN FD S'!AC62/'CN FD alpha'!AC62)</f>
        <v>-9.9135582763020242E-17</v>
      </c>
      <c r="AD61" s="26">
        <f>'CN FD D'!AD61-('CN FD A'!AD61*'CN FD S'!AD62/'CN FD alpha'!AD62)</f>
        <v>-5.2004483715666099E-17</v>
      </c>
      <c r="AE61" s="26">
        <f>'CN FD D'!AE61-('CN FD A'!AE61*'CN FD S'!AE62/'CN FD alpha'!AE62)</f>
        <v>-2.6518740445958061E-17</v>
      </c>
      <c r="AF61" s="26">
        <f>'CN FD D'!AF61-('CN FD A'!AF61*'CN FD S'!AF62/'CN FD alpha'!AF62)</f>
        <v>-1.3115049577643032E-17</v>
      </c>
      <c r="AG61" s="26">
        <f>'CN FD D'!AG61-('CN FD A'!AG61*'CN FD S'!AG62/'CN FD alpha'!AG62)</f>
        <v>-6.274459547000247E-18</v>
      </c>
      <c r="AH61" s="26">
        <f>'CN FD D'!AH61-('CN FD A'!AH61*'CN FD S'!AH62/'CN FD alpha'!AH62)</f>
        <v>-2.8954588823707049E-18</v>
      </c>
      <c r="AI61" s="26">
        <f>'CN FD D'!AI61-('CN FD A'!AI61*'CN FD S'!AI62/'CN FD alpha'!AI62)</f>
        <v>-1.2846238054023984E-18</v>
      </c>
      <c r="AJ61" s="26">
        <f>'CN FD D'!AJ61-('CN FD A'!AJ61*'CN FD S'!AJ62/'CN FD alpha'!AJ62)</f>
        <v>-5.4593822660125872E-19</v>
      </c>
      <c r="AK61" s="26">
        <f>'CN FD D'!AK61-('CN FD A'!AK61*'CN FD S'!AK62/'CN FD alpha'!AK62)</f>
        <v>-2.2130164462666707E-19</v>
      </c>
      <c r="AL61" s="26">
        <f>'CN FD D'!AL61-('CN FD A'!AL61*'CN FD S'!AL62/'CN FD alpha'!AL62)</f>
        <v>-8.5151550085277267E-20</v>
      </c>
      <c r="AM61" s="26">
        <f>'CN FD D'!AM61-('CN FD A'!AM61*'CN FD S'!AM62/'CN FD alpha'!AM62)</f>
        <v>-3.0926605942856766E-20</v>
      </c>
      <c r="AN61" s="26">
        <f>'CN FD D'!AN61-('CN FD A'!AN61*'CN FD S'!AN62/'CN FD alpha'!AN62)</f>
        <v>-1.0533362094721429E-20</v>
      </c>
      <c r="AO61" s="26">
        <f>'CN FD D'!AO61-('CN FD A'!AO61*'CN FD S'!AO62/'CN FD alpha'!AO62)</f>
        <v>-3.3385726425785144E-21</v>
      </c>
      <c r="AP61" s="26">
        <f>'CN FD D'!AP61-('CN FD A'!AP61*'CN FD S'!AP62/'CN FD alpha'!AP62)</f>
        <v>-9.7576620164281551E-22</v>
      </c>
      <c r="AQ61" s="26">
        <f>'CN FD D'!AQ61-('CN FD A'!AQ61*'CN FD S'!AQ62/'CN FD alpha'!AQ62)</f>
        <v>-2.6009713865379642E-22</v>
      </c>
      <c r="AR61" s="26">
        <f>'CN FD D'!AR61-('CN FD A'!AR61*'CN FD S'!AR62/'CN FD alpha'!AR62)</f>
        <v>-6.2381216795840658E-23</v>
      </c>
      <c r="AS61" s="26">
        <f>'CN FD D'!AS61-('CN FD A'!AS61*'CN FD S'!AS62/'CN FD alpha'!AS62)</f>
        <v>-1.3234852433424562E-23</v>
      </c>
      <c r="AT61" s="26">
        <f>'CN FD D'!AT61-('CN FD A'!AT61*'CN FD S'!AT62/'CN FD alpha'!AT62)</f>
        <v>-2.4298246485721678E-24</v>
      </c>
      <c r="AU61" s="26">
        <f>'CN FD D'!AU61-('CN FD A'!AU61*'CN FD S'!AU62/'CN FD alpha'!AU62)</f>
        <v>-3.7473920516122416E-25</v>
      </c>
      <c r="AV61" s="26">
        <f>'CN FD D'!AV61-('CN FD A'!AV61*'CN FD S'!AV62/'CN FD alpha'!AV62)</f>
        <v>-4.6531262412019866E-26</v>
      </c>
      <c r="AW61" s="26">
        <f>'CN FD D'!AW61-('CN FD A'!AW61*'CN FD S'!AW62/'CN FD alpha'!AW62)</f>
        <v>-4.3535457267469533E-27</v>
      </c>
      <c r="AX61" s="26">
        <f>'CN FD D'!AX61-('CN FD A'!AX61*'CN FD S'!AX62/'CN FD alpha'!AX62)</f>
        <v>-2.7232626051040303E-28</v>
      </c>
      <c r="AY61" s="26">
        <f>'CN FD D'!AY61-('CN FD A'!AY61*'CN FD S'!AY62/'CN FD alpha'!AY62)</f>
        <v>-8.5259707304797006E-30</v>
      </c>
      <c r="AZ61" s="26">
        <f>'CN FD D'!AZ61-('CN FD A'!AZ61*'CN FD S'!AZ62/'CN FD alpha'!AZ62)</f>
        <v>0</v>
      </c>
      <c r="BA61" s="6"/>
    </row>
    <row r="62" spans="1:53" x14ac:dyDescent="0.2">
      <c r="A62">
        <f t="shared" si="1"/>
        <v>3</v>
      </c>
      <c r="B62" s="3">
        <f t="shared" si="0"/>
        <v>6</v>
      </c>
      <c r="C62" s="26">
        <f>'CN FD D'!C62-('CN FD A'!C62*'CN FD S'!C63/'CN FD alpha'!C63)</f>
        <v>-4.8560983243199004E-14</v>
      </c>
      <c r="D62" s="26">
        <f>'CN FD D'!D62-('CN FD A'!D62*'CN FD S'!D63/'CN FD alpha'!D63)</f>
        <v>-3.5483618211645779E-14</v>
      </c>
      <c r="E62" s="26">
        <f>'CN FD D'!E62-('CN FD A'!E62*'CN FD S'!E63/'CN FD alpha'!E63)</f>
        <v>-2.5742773314180556E-14</v>
      </c>
      <c r="F62" s="26">
        <f>'CN FD D'!F62-('CN FD A'!F62*'CN FD S'!F63/'CN FD alpha'!F63)</f>
        <v>-1.8537058988111761E-14</v>
      </c>
      <c r="G62" s="26">
        <f>'CN FD D'!G62-('CN FD A'!G62*'CN FD S'!G63/'CN FD alpha'!G63)</f>
        <v>-1.3244865062853012E-14</v>
      </c>
      <c r="H62" s="26">
        <f>'CN FD D'!H62-('CN FD A'!H62*'CN FD S'!H63/'CN FD alpha'!H63)</f>
        <v>-9.3870694279666154E-15</v>
      </c>
      <c r="I62" s="26">
        <f>'CN FD D'!I62-('CN FD A'!I62*'CN FD S'!I63/'CN FD alpha'!I63)</f>
        <v>-6.5968044367683518E-15</v>
      </c>
      <c r="J62" s="26">
        <f>'CN FD D'!J62-('CN FD A'!J62*'CN FD S'!J63/'CN FD alpha'!J63)</f>
        <v>-4.5950846129603225E-15</v>
      </c>
      <c r="K62" s="26">
        <f>'CN FD D'!K62-('CN FD A'!K62*'CN FD S'!K63/'CN FD alpha'!K63)</f>
        <v>-3.1712759685806677E-15</v>
      </c>
      <c r="L62" s="26">
        <f>'CN FD D'!L62-('CN FD A'!L62*'CN FD S'!L63/'CN FD alpha'!L63)</f>
        <v>-2.1675422440465288E-15</v>
      </c>
      <c r="M62" s="26">
        <f>'CN FD D'!M62-('CN FD A'!M62*'CN FD S'!M63/'CN FD alpha'!M63)</f>
        <v>-1.4665386777181662E-15</v>
      </c>
      <c r="N62" s="26">
        <f>'CN FD D'!N62-('CN FD A'!N62*'CN FD S'!N63/'CN FD alpha'!N63)</f>
        <v>-9.8174142588301303E-16</v>
      </c>
      <c r="O62" s="26">
        <f>'CN FD D'!O62-('CN FD A'!O62*'CN FD S'!O63/'CN FD alpha'!O63)</f>
        <v>-6.4990229462634257E-16</v>
      </c>
      <c r="P62" s="26">
        <f>'CN FD D'!P62-('CN FD A'!P62*'CN FD S'!P63/'CN FD alpha'!P63)</f>
        <v>-4.2520570899405906E-16</v>
      </c>
      <c r="Q62" s="26">
        <f>'CN FD D'!Q62-('CN FD A'!Q62*'CN FD S'!Q63/'CN FD alpha'!Q63)</f>
        <v>-2.7477941371010894E-16</v>
      </c>
      <c r="R62" s="26">
        <f>'CN FD D'!R62-('CN FD A'!R62*'CN FD S'!R63/'CN FD alpha'!R63)</f>
        <v>-1.7527374046446898E-16</v>
      </c>
      <c r="S62" s="26">
        <f>'CN FD D'!S62-('CN FD A'!S62*'CN FD S'!S63/'CN FD alpha'!S63)</f>
        <v>-1.1027774285853228E-16</v>
      </c>
      <c r="T62" s="26">
        <f>'CN FD D'!T62-('CN FD A'!T62*'CN FD S'!T63/'CN FD alpha'!T63)</f>
        <v>-6.8385333172355088E-17</v>
      </c>
      <c r="U62" s="26">
        <f>'CN FD D'!U62-('CN FD A'!U62*'CN FD S'!U63/'CN FD alpha'!U63)</f>
        <v>-4.1761887754089835E-17</v>
      </c>
      <c r="V62" s="26">
        <f>'CN FD D'!V62-('CN FD A'!V62*'CN FD S'!V63/'CN FD alpha'!V63)</f>
        <v>-2.5092646744473906E-17</v>
      </c>
      <c r="W62" s="26">
        <f>'CN FD D'!W62-('CN FD A'!W62*'CN FD S'!W63/'CN FD alpha'!W63)</f>
        <v>-1.4819543876695303E-17</v>
      </c>
      <c r="X62" s="26">
        <f>'CN FD D'!X62-('CN FD A'!X62*'CN FD S'!X63/'CN FD alpha'!X63)</f>
        <v>-8.5936907215105968E-18</v>
      </c>
      <c r="Y62" s="26">
        <f>'CN FD D'!Y62-('CN FD A'!Y62*'CN FD S'!Y63/'CN FD alpha'!Y63)</f>
        <v>-4.8873421437390478E-18</v>
      </c>
      <c r="Z62" s="26">
        <f>'CN FD D'!Z62-('CN FD A'!Z62*'CN FD S'!Z63/'CN FD alpha'!Z63)</f>
        <v>-2.7224341863111231E-18</v>
      </c>
      <c r="AA62" s="26">
        <f>'CN FD D'!AA62-('CN FD A'!AA62*'CN FD S'!AA63/'CN FD alpha'!AA63)</f>
        <v>-1.4832792870583405E-18</v>
      </c>
      <c r="AB62" s="26">
        <f>'CN FD D'!AB62-('CN FD A'!AB62*'CN FD S'!AB63/'CN FD alpha'!AB63)</f>
        <v>-7.8921876169503703E-19</v>
      </c>
      <c r="AC62" s="26">
        <f>'CN FD D'!AC62-('CN FD A'!AC62*'CN FD S'!AC63/'CN FD alpha'!AC63)</f>
        <v>-4.0939203844806625E-19</v>
      </c>
      <c r="AD62" s="26">
        <f>'CN FD D'!AD62-('CN FD A'!AD62*'CN FD S'!AD63/'CN FD alpha'!AD63)</f>
        <v>-2.0664670611727382E-19</v>
      </c>
      <c r="AE62" s="26">
        <f>'CN FD D'!AE62-('CN FD A'!AE62*'CN FD S'!AE63/'CN FD alpha'!AE63)</f>
        <v>-1.012870627710579E-19</v>
      </c>
      <c r="AF62" s="26">
        <f>'CN FD D'!AF62-('CN FD A'!AF62*'CN FD S'!AF63/'CN FD alpha'!AF63)</f>
        <v>-4.8095177356903408E-20</v>
      </c>
      <c r="AG62" s="26">
        <f>'CN FD D'!AG62-('CN FD A'!AG62*'CN FD S'!AG63/'CN FD alpha'!AG63)</f>
        <v>-2.2066695613421176E-20</v>
      </c>
      <c r="AH62" s="26">
        <f>'CN FD D'!AH62-('CN FD A'!AH62*'CN FD S'!AH63/'CN FD alpha'!AH63)</f>
        <v>-9.7541376042057454E-21</v>
      </c>
      <c r="AI62" s="26">
        <f>'CN FD D'!AI62-('CN FD A'!AI62*'CN FD S'!AI63/'CN FD alpha'!AI63)</f>
        <v>-4.1402080889848938E-21</v>
      </c>
      <c r="AJ62" s="26">
        <f>'CN FD D'!AJ62-('CN FD A'!AJ62*'CN FD S'!AJ63/'CN FD alpha'!AJ63)</f>
        <v>-1.6811761051155509E-21</v>
      </c>
      <c r="AK62" s="26">
        <f>'CN FD D'!AK62-('CN FD A'!AK62*'CN FD S'!AK63/'CN FD alpha'!AK63)</f>
        <v>-6.502991906017749E-22</v>
      </c>
      <c r="AL62" s="26">
        <f>'CN FD D'!AL62-('CN FD A'!AL62*'CN FD S'!AL63/'CN FD alpha'!AL63)</f>
        <v>-2.3845409652330075E-22</v>
      </c>
      <c r="AM62" s="26">
        <f>'CN FD D'!AM62-('CN FD A'!AM62*'CN FD S'!AM63/'CN FD alpha'!AM63)</f>
        <v>-8.2422557951514749E-23</v>
      </c>
      <c r="AN62" s="26">
        <f>'CN FD D'!AN62-('CN FD A'!AN62*'CN FD S'!AN63/'CN FD alpha'!AN63)</f>
        <v>-2.6680765800014246E-23</v>
      </c>
      <c r="AO62" s="26">
        <f>'CN FD D'!AO62-('CN FD A'!AO62*'CN FD S'!AO63/'CN FD alpha'!AO63)</f>
        <v>-8.0265554359318663E-24</v>
      </c>
      <c r="AP62" s="26">
        <f>'CN FD D'!AP62-('CN FD A'!AP62*'CN FD S'!AP63/'CN FD alpha'!AP63)</f>
        <v>-2.2237286452122497E-24</v>
      </c>
      <c r="AQ62" s="26">
        <f>'CN FD D'!AQ62-('CN FD A'!AQ62*'CN FD S'!AQ63/'CN FD alpha'!AQ63)</f>
        <v>-5.6116285474533021E-25</v>
      </c>
      <c r="AR62" s="26">
        <f>'CN FD D'!AR62-('CN FD A'!AR62*'CN FD S'!AR63/'CN FD alpha'!AR63)</f>
        <v>-1.2726314488051896E-25</v>
      </c>
      <c r="AS62" s="26">
        <f>'CN FD D'!AS62-('CN FD A'!AS62*'CN FD S'!AS63/'CN FD alpha'!AS63)</f>
        <v>-2.5502346059308739E-26</v>
      </c>
      <c r="AT62" s="26">
        <f>'CN FD D'!AT62-('CN FD A'!AT62*'CN FD S'!AT63/'CN FD alpha'!AT63)</f>
        <v>-4.4178822568531479E-27</v>
      </c>
      <c r="AU62" s="26">
        <f>'CN FD D'!AU62-('CN FD A'!AU62*'CN FD S'!AU63/'CN FD alpha'!AU63)</f>
        <v>-6.4235066695717053E-28</v>
      </c>
      <c r="AV62" s="26">
        <f>'CN FD D'!AV62-('CN FD A'!AV62*'CN FD S'!AV63/'CN FD alpha'!AV63)</f>
        <v>-7.5142730596729689E-29</v>
      </c>
      <c r="AW62" s="26">
        <f>'CN FD D'!AW62-('CN FD A'!AW62*'CN FD S'!AW63/'CN FD alpha'!AW63)</f>
        <v>-6.6199953326372749E-30</v>
      </c>
      <c r="AX62" s="26">
        <f>'CN FD D'!AX62-('CN FD A'!AX62*'CN FD S'!AX63/'CN FD alpha'!AX63)</f>
        <v>-3.897934764950945E-31</v>
      </c>
      <c r="AY62" s="26">
        <f>'CN FD D'!AY62-('CN FD A'!AY62*'CN FD S'!AY63/'CN FD alpha'!AY63)</f>
        <v>-1.1485931787669328E-32</v>
      </c>
      <c r="AZ62" s="26">
        <f>'CN FD D'!AZ62-('CN FD A'!AZ62*'CN FD S'!AZ63/'CN FD alpha'!AZ63)</f>
        <v>0</v>
      </c>
      <c r="BA62" s="6"/>
    </row>
    <row r="63" spans="1:53" x14ac:dyDescent="0.2">
      <c r="A63">
        <f t="shared" si="1"/>
        <v>2</v>
      </c>
      <c r="B63" s="3">
        <f t="shared" si="0"/>
        <v>4</v>
      </c>
      <c r="C63" s="26">
        <f>'CN FD D'!C63-('CN FD A'!C63*'CN FD S'!C64/'CN FD alpha'!C64)</f>
        <v>-2.0515305833483048E-16</v>
      </c>
      <c r="D63" s="26">
        <f>'CN FD D'!D63-('CN FD A'!D63*'CN FD S'!D64/'CN FD alpha'!D64)</f>
        <v>-1.4670893768647451E-16</v>
      </c>
      <c r="E63" s="26">
        <f>'CN FD D'!E63-('CN FD A'!E63*'CN FD S'!E64/'CN FD alpha'!E64)</f>
        <v>-1.041264204569814E-16</v>
      </c>
      <c r="F63" s="26">
        <f>'CN FD D'!F63-('CN FD A'!F63*'CN FD S'!F64/'CN FD alpha'!F64)</f>
        <v>-7.332576261898506E-17</v>
      </c>
      <c r="G63" s="26">
        <f>'CN FD D'!G63-('CN FD A'!G63*'CN FD S'!G64/'CN FD alpha'!G64)</f>
        <v>-5.1215430675721833E-17</v>
      </c>
      <c r="H63" s="26">
        <f>'CN FD D'!H63-('CN FD A'!H63*'CN FD S'!H64/'CN FD alpha'!H64)</f>
        <v>-3.5468442676562611E-17</v>
      </c>
      <c r="I63" s="26">
        <f>'CN FD D'!I63-('CN FD A'!I63*'CN FD S'!I64/'CN FD alpha'!I64)</f>
        <v>-2.4345536103572193E-17</v>
      </c>
      <c r="J63" s="26">
        <f>'CN FD D'!J63-('CN FD A'!J63*'CN FD S'!J64/'CN FD alpha'!J64)</f>
        <v>-1.6556212482724552E-17</v>
      </c>
      <c r="K63" s="26">
        <f>'CN FD D'!K63-('CN FD A'!K63*'CN FD S'!K64/'CN FD alpha'!K64)</f>
        <v>-1.115024185573462E-17</v>
      </c>
      <c r="L63" s="26">
        <f>'CN FD D'!L63-('CN FD A'!L63*'CN FD S'!L64/'CN FD alpha'!L64)</f>
        <v>-7.4335144317707358E-18</v>
      </c>
      <c r="M63" s="26">
        <f>'CN FD D'!M63-('CN FD A'!M63*'CN FD S'!M64/'CN FD alpha'!M64)</f>
        <v>-4.9032303608887489E-18</v>
      </c>
      <c r="N63" s="26">
        <f>'CN FD D'!N63-('CN FD A'!N63*'CN FD S'!N64/'CN FD alpha'!N64)</f>
        <v>-3.1983474623703977E-18</v>
      </c>
      <c r="O63" s="26">
        <f>'CN FD D'!O63-('CN FD A'!O63*'CN FD S'!O64/'CN FD alpha'!O64)</f>
        <v>-2.0619841717011258E-18</v>
      </c>
      <c r="P63" s="26">
        <f>'CN FD D'!P63-('CN FD A'!P63*'CN FD S'!P64/'CN FD alpha'!P64)</f>
        <v>-1.3131218040918199E-18</v>
      </c>
      <c r="Q63" s="26">
        <f>'CN FD D'!Q63-('CN FD A'!Q63*'CN FD S'!Q64/'CN FD alpha'!Q64)</f>
        <v>-8.2548508358971995E-19</v>
      </c>
      <c r="R63" s="26">
        <f>'CN FD D'!R63-('CN FD A'!R63*'CN FD S'!R64/'CN FD alpha'!R64)</f>
        <v>-5.1191927296675983E-19</v>
      </c>
      <c r="S63" s="26">
        <f>'CN FD D'!S63-('CN FD A'!S63*'CN FD S'!S64/'CN FD alpha'!S64)</f>
        <v>-3.1294073867474762E-19</v>
      </c>
      <c r="T63" s="26">
        <f>'CN FD D'!T63-('CN FD A'!T63*'CN FD S'!T64/'CN FD alpha'!T64)</f>
        <v>-1.8842818870127651E-19</v>
      </c>
      <c r="U63" s="26">
        <f>'CN FD D'!U63-('CN FD A'!U63*'CN FD S'!U64/'CN FD alpha'!U64)</f>
        <v>-1.1165528500677819E-19</v>
      </c>
      <c r="V63" s="26">
        <f>'CN FD D'!V63-('CN FD A'!V63*'CN FD S'!V64/'CN FD alpha'!V64)</f>
        <v>-6.5051523647230336E-20</v>
      </c>
      <c r="W63" s="26">
        <f>'CN FD D'!W63-('CN FD A'!W63*'CN FD S'!W64/'CN FD alpha'!W64)</f>
        <v>-3.7225515662152696E-20</v>
      </c>
      <c r="X63" s="26">
        <f>'CN FD D'!X63-('CN FD A'!X63*'CN FD S'!X64/'CN FD alpha'!X64)</f>
        <v>-2.0900201655360968E-20</v>
      </c>
      <c r="Y63" s="26">
        <f>'CN FD D'!Y63-('CN FD A'!Y63*'CN FD S'!Y64/'CN FD alpha'!Y64)</f>
        <v>-1.149912464014302E-20</v>
      </c>
      <c r="Z63" s="26">
        <f>'CN FD D'!Z63-('CN FD A'!Z63*'CN FD S'!Z64/'CN FD alpha'!Z64)</f>
        <v>-6.1917448875524121E-21</v>
      </c>
      <c r="AA63" s="26">
        <f>'CN FD D'!AA63-('CN FD A'!AA63*'CN FD S'!AA64/'CN FD alpha'!AA64)</f>
        <v>-3.2581423448401396E-21</v>
      </c>
      <c r="AB63" s="26">
        <f>'CN FD D'!AB63-('CN FD A'!AB63*'CN FD S'!AB64/'CN FD alpha'!AB64)</f>
        <v>-1.6728188309076062E-21</v>
      </c>
      <c r="AC63" s="26">
        <f>'CN FD D'!AC63-('CN FD A'!AC63*'CN FD S'!AC64/'CN FD alpha'!AC64)</f>
        <v>-8.3655212615575974E-22</v>
      </c>
      <c r="AD63" s="26">
        <f>'CN FD D'!AD63-('CN FD A'!AD63*'CN FD S'!AD64/'CN FD alpha'!AD64)</f>
        <v>-4.0669284871273519E-22</v>
      </c>
      <c r="AE63" s="26">
        <f>'CN FD D'!AE63-('CN FD A'!AE63*'CN FD S'!AE64/'CN FD alpha'!AE64)</f>
        <v>-1.9179768360127358E-22</v>
      </c>
      <c r="AF63" s="26">
        <f>'CN FD D'!AF63-('CN FD A'!AF63*'CN FD S'!AF64/'CN FD alpha'!AF64)</f>
        <v>-8.7537447161702108E-23</v>
      </c>
      <c r="AG63" s="26">
        <f>'CN FD D'!AG63-('CN FD A'!AG63*'CN FD S'!AG64/'CN FD alpha'!AG64)</f>
        <v>-3.856287518536687E-23</v>
      </c>
      <c r="AH63" s="26">
        <f>'CN FD D'!AH63-('CN FD A'!AH63*'CN FD S'!AH64/'CN FD alpha'!AH64)</f>
        <v>-1.6348707323606959E-23</v>
      </c>
      <c r="AI63" s="26">
        <f>'CN FD D'!AI63-('CN FD A'!AI63*'CN FD S'!AI64/'CN FD alpha'!AI64)</f>
        <v>-6.6479670318990081E-24</v>
      </c>
      <c r="AJ63" s="26">
        <f>'CN FD D'!AJ63-('CN FD A'!AJ63*'CN FD S'!AJ64/'CN FD alpha'!AJ64)</f>
        <v>-2.583154499300585E-24</v>
      </c>
      <c r="AK63" s="26">
        <f>'CN FD D'!AK63-('CN FD A'!AK63*'CN FD S'!AK64/'CN FD alpha'!AK64)</f>
        <v>-9.5501461793692166E-25</v>
      </c>
      <c r="AL63" s="26">
        <f>'CN FD D'!AL63-('CN FD A'!AL63*'CN FD S'!AL64/'CN FD alpha'!AL64)</f>
        <v>-3.3430587832355976E-25</v>
      </c>
      <c r="AM63" s="26">
        <f>'CN FD D'!AM63-('CN FD A'!AM63*'CN FD S'!AM64/'CN FD alpha'!AM64)</f>
        <v>-1.1018126348386151E-25</v>
      </c>
      <c r="AN63" s="26">
        <f>'CN FD D'!AN63-('CN FD A'!AN63*'CN FD S'!AN64/'CN FD alpha'!AN64)</f>
        <v>-3.3967535686403423E-26</v>
      </c>
      <c r="AO63" s="26">
        <f>'CN FD D'!AO63-('CN FD A'!AO63*'CN FD S'!AO64/'CN FD alpha'!AO64)</f>
        <v>-9.7204783806054455E-27</v>
      </c>
      <c r="AP63" s="26">
        <f>'CN FD D'!AP63-('CN FD A'!AP63*'CN FD S'!AP64/'CN FD alpha'!AP64)</f>
        <v>-2.558789763405167E-27</v>
      </c>
      <c r="AQ63" s="26">
        <f>'CN FD D'!AQ63-('CN FD A'!AQ63*'CN FD S'!AQ64/'CN FD alpha'!AQ64)</f>
        <v>-6.1285531567711484E-28</v>
      </c>
      <c r="AR63" s="26">
        <f>'CN FD D'!AR63-('CN FD A'!AR63*'CN FD S'!AR64/'CN FD alpha'!AR64)</f>
        <v>-1.3177639834403405E-28</v>
      </c>
      <c r="AS63" s="26">
        <f>'CN FD D'!AS63-('CN FD A'!AS63*'CN FD S'!AS64/'CN FD alpha'!AS64)</f>
        <v>-2.5013062867071999E-29</v>
      </c>
      <c r="AT63" s="26">
        <f>'CN FD D'!AT63-('CN FD A'!AT63*'CN FD S'!AT64/'CN FD alpha'!AT64)</f>
        <v>-4.1009358817320132E-30</v>
      </c>
      <c r="AU63" s="26">
        <f>'CN FD D'!AU63-('CN FD A'!AU63*'CN FD S'!AU64/'CN FD alpha'!AU64)</f>
        <v>-5.6390536008502015E-31</v>
      </c>
      <c r="AV63" s="26">
        <f>'CN FD D'!AV63-('CN FD A'!AV63*'CN FD S'!AV64/'CN FD alpha'!AV64)</f>
        <v>-6.234902370209359E-32</v>
      </c>
      <c r="AW63" s="26">
        <f>'CN FD D'!AW63-('CN FD A'!AW63*'CN FD S'!AW64/'CN FD alpha'!AW64)</f>
        <v>-5.1894254315694454E-33</v>
      </c>
      <c r="AX63" s="26">
        <f>'CN FD D'!AX63-('CN FD A'!AX63*'CN FD S'!AX64/'CN FD alpha'!AX64)</f>
        <v>-2.88600528341702E-34</v>
      </c>
      <c r="AY63" s="26">
        <f>'CN FD D'!AY63-('CN FD A'!AY63*'CN FD S'!AY64/'CN FD alpha'!AY64)</f>
        <v>-8.0313156785228869E-36</v>
      </c>
      <c r="AZ63" s="26">
        <f>'CN FD D'!AZ63-('CN FD A'!AZ63*'CN FD S'!AZ64/'CN FD alpha'!AZ64)</f>
        <v>0</v>
      </c>
      <c r="BA63" s="6"/>
    </row>
    <row r="64" spans="1:53" x14ac:dyDescent="0.2">
      <c r="A64">
        <f t="shared" si="1"/>
        <v>1</v>
      </c>
      <c r="B64" s="3">
        <f t="shared" si="0"/>
        <v>2</v>
      </c>
      <c r="C64" s="26">
        <f>'CN FD D'!C64-('CN FD A'!C64*'CN FD S'!C65/'CN FD alpha'!C65)</f>
        <v>-2.924502705104471E-19</v>
      </c>
      <c r="D64" s="26">
        <f>'CN FD D'!D64-('CN FD A'!D64*'CN FD S'!D65/'CN FD alpha'!D65)</f>
        <v>-2.0473337575163132E-19</v>
      </c>
      <c r="E64" s="26">
        <f>'CN FD D'!E64-('CN FD A'!E64*'CN FD S'!E65/'CN FD alpha'!E65)</f>
        <v>-1.4219801057788226E-19</v>
      </c>
      <c r="F64" s="26">
        <f>'CN FD D'!F64-('CN FD A'!F64*'CN FD S'!F65/'CN FD alpha'!F65)</f>
        <v>-9.7955047338674958E-20</v>
      </c>
      <c r="G64" s="26">
        <f>'CN FD D'!G64-('CN FD A'!G64*'CN FD S'!G65/'CN FD alpha'!G65)</f>
        <v>-6.6902181748913075E-20</v>
      </c>
      <c r="H64" s="26">
        <f>'CN FD D'!H64-('CN FD A'!H64*'CN FD S'!H65/'CN FD alpha'!H65)</f>
        <v>-4.5287310960532316E-20</v>
      </c>
      <c r="I64" s="26">
        <f>'CN FD D'!I64-('CN FD A'!I64*'CN FD S'!I65/'CN FD alpha'!I65)</f>
        <v>-3.0371647635325234E-20</v>
      </c>
      <c r="J64" s="26">
        <f>'CN FD D'!J64-('CN FD A'!J64*'CN FD S'!J65/'CN FD alpha'!J65)</f>
        <v>-2.0171483317174097E-20</v>
      </c>
      <c r="K64" s="26">
        <f>'CN FD D'!K64-('CN FD A'!K64*'CN FD S'!K65/'CN FD alpha'!K65)</f>
        <v>-1.3261587103178532E-20</v>
      </c>
      <c r="L64" s="26">
        <f>'CN FD D'!L64-('CN FD A'!L64*'CN FD S'!L65/'CN FD alpha'!L65)</f>
        <v>-8.6265926681188689E-21</v>
      </c>
      <c r="M64" s="26">
        <f>'CN FD D'!M64-('CN FD A'!M64*'CN FD S'!M65/'CN FD alpha'!M65)</f>
        <v>-5.5494948679471059E-21</v>
      </c>
      <c r="N64" s="26">
        <f>'CN FD D'!N64-('CN FD A'!N64*'CN FD S'!N65/'CN FD alpha'!N65)</f>
        <v>-3.5286397062593657E-21</v>
      </c>
      <c r="O64" s="26">
        <f>'CN FD D'!O64-('CN FD A'!O64*'CN FD S'!O65/'CN FD alpha'!O65)</f>
        <v>-2.2164294758875108E-21</v>
      </c>
      <c r="P64" s="26">
        <f>'CN FD D'!P64-('CN FD A'!P64*'CN FD S'!P65/'CN FD alpha'!P65)</f>
        <v>-1.3744485106596337E-21</v>
      </c>
      <c r="Q64" s="26">
        <f>'CN FD D'!Q64-('CN FD A'!Q64*'CN FD S'!Q65/'CN FD alpha'!Q65)</f>
        <v>-8.4090452061103187E-22</v>
      </c>
      <c r="R64" s="26">
        <f>'CN FD D'!R64-('CN FD A'!R64*'CN FD S'!R65/'CN FD alpha'!R65)</f>
        <v>-5.0722753118426765E-22</v>
      </c>
      <c r="S64" s="26">
        <f>'CN FD D'!S64-('CN FD A'!S64*'CN FD S'!S65/'CN FD alpha'!S65)</f>
        <v>-3.0141687068083036E-22</v>
      </c>
      <c r="T64" s="26">
        <f>'CN FD D'!T64-('CN FD A'!T64*'CN FD S'!T65/'CN FD alpha'!T65)</f>
        <v>-1.7631351596743946E-22</v>
      </c>
      <c r="U64" s="26">
        <f>'CN FD D'!U64-('CN FD A'!U64*'CN FD S'!U65/'CN FD alpha'!U65)</f>
        <v>-1.0143152700206649E-22</v>
      </c>
      <c r="V64" s="26">
        <f>'CN FD D'!V64-('CN FD A'!V64*'CN FD S'!V65/'CN FD alpha'!V65)</f>
        <v>-5.7334211675062795E-23</v>
      </c>
      <c r="W64" s="26">
        <f>'CN FD D'!W64-('CN FD A'!W64*'CN FD S'!W65/'CN FD alpha'!W65)</f>
        <v>-3.1809525944006267E-23</v>
      </c>
      <c r="X64" s="26">
        <f>'CN FD D'!X64-('CN FD A'!X64*'CN FD S'!X65/'CN FD alpha'!X65)</f>
        <v>-1.7302653931756636E-23</v>
      </c>
      <c r="Y64" s="26">
        <f>'CN FD D'!Y64-('CN FD A'!Y64*'CN FD S'!Y65/'CN FD alpha'!Y65)</f>
        <v>-9.216082388677945E-24</v>
      </c>
      <c r="Z64" s="26">
        <f>'CN FD D'!Z64-('CN FD A'!Z64*'CN FD S'!Z65/'CN FD alpha'!Z65)</f>
        <v>-4.8003735849771946E-24</v>
      </c>
      <c r="AA64" s="26">
        <f>'CN FD D'!AA64-('CN FD A'!AA64*'CN FD S'!AA65/'CN FD alpha'!AA65)</f>
        <v>-2.4415229060815203E-24</v>
      </c>
      <c r="AB64" s="26">
        <f>'CN FD D'!AB64-('CN FD A'!AB64*'CN FD S'!AB65/'CN FD alpha'!AB65)</f>
        <v>-1.2106087692399077E-24</v>
      </c>
      <c r="AC64" s="26">
        <f>'CN FD D'!AC64-('CN FD A'!AC64*'CN FD S'!AC65/'CN FD alpha'!AC65)</f>
        <v>-5.8416346093603654E-25</v>
      </c>
      <c r="AD64" s="26">
        <f>'CN FD D'!AD64-('CN FD A'!AD64*'CN FD S'!AD65/'CN FD alpha'!AD65)</f>
        <v>-2.7378121099277498E-25</v>
      </c>
      <c r="AE64" s="26">
        <f>'CN FD D'!AE64-('CN FD A'!AE64*'CN FD S'!AE65/'CN FD alpha'!AE65)</f>
        <v>-1.2435765729691506E-25</v>
      </c>
      <c r="AF64" s="26">
        <f>'CN FD D'!AF64-('CN FD A'!AF64*'CN FD S'!AF65/'CN FD alpha'!AF65)</f>
        <v>-5.4613364589153688E-26</v>
      </c>
      <c r="AG64" s="26">
        <f>'CN FD D'!AG64-('CN FD A'!AG64*'CN FD S'!AG65/'CN FD alpha'!AG65)</f>
        <v>-2.312715620532544E-26</v>
      </c>
      <c r="AH64" s="26">
        <f>'CN FD D'!AH64-('CN FD A'!AH64*'CN FD S'!AH65/'CN FD alpha'!AH65)</f>
        <v>-9.4155327357131448E-27</v>
      </c>
      <c r="AI64" s="26">
        <f>'CN FD D'!AI64-('CN FD A'!AI64*'CN FD S'!AI65/'CN FD alpha'!AI65)</f>
        <v>-3.6729086945993187E-27</v>
      </c>
      <c r="AJ64" s="26">
        <f>'CN FD D'!AJ64-('CN FD A'!AJ64*'CN FD S'!AJ65/'CN FD alpha'!AJ65)</f>
        <v>-1.3676487164559073E-27</v>
      </c>
      <c r="AK64" s="26">
        <f>'CN FD D'!AK64-('CN FD A'!AK64*'CN FD S'!AK65/'CN FD alpha'!AK65)</f>
        <v>-4.8403232393561799E-28</v>
      </c>
      <c r="AL64" s="26">
        <f>'CN FD D'!AL64-('CN FD A'!AL64*'CN FD S'!AL65/'CN FD alpha'!AL65)</f>
        <v>-1.6202524479823209E-28</v>
      </c>
      <c r="AM64" s="26">
        <f>'CN FD D'!AM64-('CN FD A'!AM64*'CN FD S'!AM65/'CN FD alpha'!AM65)</f>
        <v>-5.1009982283136536E-29</v>
      </c>
      <c r="AN64" s="26">
        <f>'CN FD D'!AN64-('CN FD A'!AN64*'CN FD S'!AN65/'CN FD alpha'!AN65)</f>
        <v>-1.5005792027295089E-29</v>
      </c>
      <c r="AO64" s="26">
        <f>'CN FD D'!AO64-('CN FD A'!AO64*'CN FD S'!AO65/'CN FD alpha'!AO65)</f>
        <v>-4.0933385530727004E-30</v>
      </c>
      <c r="AP64" s="26">
        <f>'CN FD D'!AP64-('CN FD A'!AP64*'CN FD S'!AP65/'CN FD alpha'!AP65)</f>
        <v>-1.0260813549455932E-30</v>
      </c>
      <c r="AQ64" s="26">
        <f>'CN FD D'!AQ64-('CN FD A'!AQ64*'CN FD S'!AQ65/'CN FD alpha'!AQ65)</f>
        <v>-2.338000573624714E-31</v>
      </c>
      <c r="AR64" s="26">
        <f>'CN FD D'!AR64-('CN FD A'!AR64*'CN FD S'!AR65/'CN FD alpha'!AR65)</f>
        <v>-4.7782927385614806E-32</v>
      </c>
      <c r="AS64" s="26">
        <f>'CN FD D'!AS64-('CN FD A'!AS64*'CN FD S'!AS65/'CN FD alpha'!AS65)</f>
        <v>-8.6137618366620489E-33</v>
      </c>
      <c r="AT64" s="26">
        <f>'CN FD D'!AT64-('CN FD A'!AT64*'CN FD S'!AT65/'CN FD alpha'!AT65)</f>
        <v>-1.3402393988044478E-33</v>
      </c>
      <c r="AU64" s="26">
        <f>'CN FD D'!AU64-('CN FD A'!AU64*'CN FD S'!AU65/'CN FD alpha'!AU65)</f>
        <v>-1.7478663922592721E-34</v>
      </c>
      <c r="AV64" s="26">
        <f>'CN FD D'!AV64-('CN FD A'!AV64*'CN FD S'!AV65/'CN FD alpha'!AV65)</f>
        <v>-1.8319601224617412E-35</v>
      </c>
      <c r="AW64" s="26">
        <f>'CN FD D'!AW64-('CN FD A'!AW64*'CN FD S'!AW65/'CN FD alpha'!AW65)</f>
        <v>-1.4448716715146072E-36</v>
      </c>
      <c r="AX64" s="26">
        <f>'CN FD D'!AX64-('CN FD A'!AX64*'CN FD S'!AX65/'CN FD alpha'!AX65)</f>
        <v>-7.6125718237628378E-38</v>
      </c>
      <c r="AY64" s="26">
        <f>'CN FD D'!AY64-('CN FD A'!AY64*'CN FD S'!AY65/'CN FD alpha'!AY65)</f>
        <v>-2.00682545675678E-39</v>
      </c>
      <c r="AZ64" s="26">
        <f>'CN FD D'!AZ64-('CN FD A'!AZ64*'CN FD S'!AZ65/'CN FD alpha'!AZ65)</f>
        <v>0</v>
      </c>
      <c r="BA64" s="6"/>
    </row>
    <row r="65" spans="1:53" x14ac:dyDescent="0.2">
      <c r="A65">
        <f t="shared" si="1"/>
        <v>0</v>
      </c>
      <c r="B65" s="3">
        <f t="shared" si="0"/>
        <v>0</v>
      </c>
      <c r="C65" s="6">
        <f>'CN FD D'!C65</f>
        <v>0</v>
      </c>
      <c r="D65" s="6">
        <f>'CN FD D'!D65</f>
        <v>0</v>
      </c>
      <c r="E65" s="6">
        <f>'CN FD D'!E65</f>
        <v>0</v>
      </c>
      <c r="F65" s="6">
        <f>'CN FD D'!F65</f>
        <v>0</v>
      </c>
      <c r="G65" s="6">
        <f>'CN FD D'!G65</f>
        <v>0</v>
      </c>
      <c r="H65" s="6">
        <f>'CN FD D'!H65</f>
        <v>0</v>
      </c>
      <c r="I65" s="6">
        <f>'CN FD D'!I65</f>
        <v>0</v>
      </c>
      <c r="J65" s="6">
        <f>'CN FD D'!J65</f>
        <v>0</v>
      </c>
      <c r="K65" s="6">
        <f>'CN FD D'!K65</f>
        <v>0</v>
      </c>
      <c r="L65" s="6">
        <f>'CN FD D'!L65</f>
        <v>0</v>
      </c>
      <c r="M65" s="6">
        <f>'CN FD D'!M65</f>
        <v>0</v>
      </c>
      <c r="N65" s="6">
        <f>'CN FD D'!N65</f>
        <v>0</v>
      </c>
      <c r="O65" s="6">
        <f>'CN FD D'!O65</f>
        <v>0</v>
      </c>
      <c r="P65" s="6">
        <f>'CN FD D'!P65</f>
        <v>0</v>
      </c>
      <c r="Q65" s="6">
        <f>'CN FD D'!Q65</f>
        <v>0</v>
      </c>
      <c r="R65" s="6">
        <f>'CN FD D'!R65</f>
        <v>0</v>
      </c>
      <c r="S65" s="6">
        <f>'CN FD D'!S65</f>
        <v>0</v>
      </c>
      <c r="T65" s="6">
        <f>'CN FD D'!T65</f>
        <v>0</v>
      </c>
      <c r="U65" s="6">
        <f>'CN FD D'!U65</f>
        <v>0</v>
      </c>
      <c r="V65" s="6">
        <f>'CN FD D'!V65</f>
        <v>0</v>
      </c>
      <c r="W65" s="6">
        <f>'CN FD D'!W65</f>
        <v>0</v>
      </c>
      <c r="X65" s="6">
        <f>'CN FD D'!X65</f>
        <v>0</v>
      </c>
      <c r="Y65" s="6">
        <f>'CN FD D'!Y65</f>
        <v>0</v>
      </c>
      <c r="Z65" s="6">
        <f>'CN FD D'!Z65</f>
        <v>0</v>
      </c>
      <c r="AA65" s="6">
        <f>'CN FD D'!AA65</f>
        <v>0</v>
      </c>
      <c r="AB65" s="6">
        <f>'CN FD D'!AB65</f>
        <v>0</v>
      </c>
      <c r="AC65" s="6">
        <f>'CN FD D'!AC65</f>
        <v>0</v>
      </c>
      <c r="AD65" s="6">
        <f>'CN FD D'!AD65</f>
        <v>0</v>
      </c>
      <c r="AE65" s="6">
        <f>'CN FD D'!AE65</f>
        <v>0</v>
      </c>
      <c r="AF65" s="6">
        <f>'CN FD D'!AF65</f>
        <v>0</v>
      </c>
      <c r="AG65" s="6">
        <f>'CN FD D'!AG65</f>
        <v>0</v>
      </c>
      <c r="AH65" s="6">
        <f>'CN FD D'!AH65</f>
        <v>0</v>
      </c>
      <c r="AI65" s="6">
        <f>'CN FD D'!AI65</f>
        <v>0</v>
      </c>
      <c r="AJ65" s="6">
        <f>'CN FD D'!AJ65</f>
        <v>0</v>
      </c>
      <c r="AK65" s="6">
        <f>'CN FD D'!AK65</f>
        <v>0</v>
      </c>
      <c r="AL65" s="6">
        <f>'CN FD D'!AL65</f>
        <v>0</v>
      </c>
      <c r="AM65" s="6">
        <f>'CN FD D'!AM65</f>
        <v>0</v>
      </c>
      <c r="AN65" s="6">
        <f>'CN FD D'!AN65</f>
        <v>0</v>
      </c>
      <c r="AO65" s="6">
        <f>'CN FD D'!AO65</f>
        <v>0</v>
      </c>
      <c r="AP65" s="6">
        <f>'CN FD D'!AP65</f>
        <v>0</v>
      </c>
      <c r="AQ65" s="6">
        <f>'CN FD D'!AQ65</f>
        <v>0</v>
      </c>
      <c r="AR65" s="6">
        <f>'CN FD D'!AR65</f>
        <v>0</v>
      </c>
      <c r="AS65" s="6">
        <f>'CN FD D'!AS65</f>
        <v>0</v>
      </c>
      <c r="AT65" s="6">
        <f>'CN FD D'!AT65</f>
        <v>0</v>
      </c>
      <c r="AU65" s="6">
        <f>'CN FD D'!AU65</f>
        <v>0</v>
      </c>
      <c r="AV65" s="6">
        <f>'CN FD D'!AV65</f>
        <v>0</v>
      </c>
      <c r="AW65" s="6">
        <f>'CN FD D'!AW65</f>
        <v>0</v>
      </c>
      <c r="AX65" s="6">
        <f>'CN FD D'!AX65</f>
        <v>0</v>
      </c>
      <c r="AY65" s="6">
        <f>'CN FD D'!AY65</f>
        <v>0</v>
      </c>
      <c r="AZ65" s="6">
        <f>'CN FD D'!AZ65</f>
        <v>0</v>
      </c>
      <c r="BA65" s="6"/>
    </row>
    <row r="66" spans="1:53" x14ac:dyDescent="0.2">
      <c r="A66" s="1" t="s">
        <v>3</v>
      </c>
      <c r="B66" s="4">
        <v>0</v>
      </c>
      <c r="C66" s="1">
        <v>0</v>
      </c>
      <c r="D66" s="5">
        <f t="shared" ref="D66:BA66" si="2">D67*dt</f>
        <v>0.01</v>
      </c>
      <c r="E66" s="5">
        <f t="shared" si="2"/>
        <v>0.02</v>
      </c>
      <c r="F66" s="5">
        <f t="shared" si="2"/>
        <v>0.03</v>
      </c>
      <c r="G66" s="5">
        <f t="shared" si="2"/>
        <v>0.04</v>
      </c>
      <c r="H66" s="5">
        <f t="shared" si="2"/>
        <v>0.05</v>
      </c>
      <c r="I66" s="5">
        <f t="shared" si="2"/>
        <v>0.06</v>
      </c>
      <c r="J66" s="5">
        <f t="shared" si="2"/>
        <v>7.0000000000000007E-2</v>
      </c>
      <c r="K66" s="5">
        <f t="shared" si="2"/>
        <v>0.08</v>
      </c>
      <c r="L66" s="5">
        <f t="shared" si="2"/>
        <v>0.09</v>
      </c>
      <c r="M66" s="5">
        <f t="shared" si="2"/>
        <v>0.1</v>
      </c>
      <c r="N66" s="5">
        <f t="shared" si="2"/>
        <v>0.11</v>
      </c>
      <c r="O66" s="5">
        <f t="shared" si="2"/>
        <v>0.12</v>
      </c>
      <c r="P66" s="5">
        <f t="shared" si="2"/>
        <v>0.13</v>
      </c>
      <c r="Q66" s="5">
        <f t="shared" si="2"/>
        <v>0.14000000000000001</v>
      </c>
      <c r="R66" s="5">
        <f t="shared" si="2"/>
        <v>0.15</v>
      </c>
      <c r="S66" s="5">
        <f t="shared" si="2"/>
        <v>0.16</v>
      </c>
      <c r="T66" s="5">
        <f t="shared" si="2"/>
        <v>0.17</v>
      </c>
      <c r="U66" s="5">
        <f t="shared" si="2"/>
        <v>0.18</v>
      </c>
      <c r="V66" s="5">
        <f t="shared" si="2"/>
        <v>0.19</v>
      </c>
      <c r="W66" s="5">
        <f t="shared" si="2"/>
        <v>0.2</v>
      </c>
      <c r="X66" s="5">
        <f t="shared" si="2"/>
        <v>0.21</v>
      </c>
      <c r="Y66" s="5">
        <f t="shared" si="2"/>
        <v>0.22</v>
      </c>
      <c r="Z66" s="5">
        <f t="shared" si="2"/>
        <v>0.23</v>
      </c>
      <c r="AA66" s="5">
        <f t="shared" si="2"/>
        <v>0.24</v>
      </c>
      <c r="AB66" s="5">
        <f t="shared" si="2"/>
        <v>0.25</v>
      </c>
      <c r="AC66" s="5">
        <f t="shared" si="2"/>
        <v>0.26</v>
      </c>
      <c r="AD66" s="5">
        <f t="shared" si="2"/>
        <v>0.27</v>
      </c>
      <c r="AE66" s="5">
        <f t="shared" si="2"/>
        <v>0.28000000000000003</v>
      </c>
      <c r="AF66" s="5">
        <f t="shared" si="2"/>
        <v>0.28999999999999998</v>
      </c>
      <c r="AG66" s="5">
        <f t="shared" si="2"/>
        <v>0.3</v>
      </c>
      <c r="AH66" s="5">
        <f t="shared" si="2"/>
        <v>0.31</v>
      </c>
      <c r="AI66" s="5">
        <f t="shared" si="2"/>
        <v>0.32</v>
      </c>
      <c r="AJ66" s="5">
        <f t="shared" si="2"/>
        <v>0.33</v>
      </c>
      <c r="AK66" s="5">
        <f t="shared" si="2"/>
        <v>0.34</v>
      </c>
      <c r="AL66" s="5">
        <f t="shared" si="2"/>
        <v>0.35000000000000003</v>
      </c>
      <c r="AM66" s="5">
        <f t="shared" si="2"/>
        <v>0.36</v>
      </c>
      <c r="AN66" s="5">
        <f t="shared" si="2"/>
        <v>0.37</v>
      </c>
      <c r="AO66" s="5">
        <f t="shared" si="2"/>
        <v>0.38</v>
      </c>
      <c r="AP66" s="5">
        <f t="shared" si="2"/>
        <v>0.39</v>
      </c>
      <c r="AQ66" s="5">
        <f t="shared" si="2"/>
        <v>0.4</v>
      </c>
      <c r="AR66" s="5">
        <f t="shared" si="2"/>
        <v>0.41000000000000003</v>
      </c>
      <c r="AS66" s="5">
        <f t="shared" si="2"/>
        <v>0.42</v>
      </c>
      <c r="AT66" s="5">
        <f t="shared" si="2"/>
        <v>0.43</v>
      </c>
      <c r="AU66" s="5">
        <f t="shared" si="2"/>
        <v>0.44</v>
      </c>
      <c r="AV66" s="5">
        <f t="shared" si="2"/>
        <v>0.45</v>
      </c>
      <c r="AW66" s="5">
        <f t="shared" si="2"/>
        <v>0.46</v>
      </c>
      <c r="AX66" s="5">
        <f t="shared" si="2"/>
        <v>0.47000000000000003</v>
      </c>
      <c r="AY66" s="5">
        <f t="shared" si="2"/>
        <v>0.48</v>
      </c>
      <c r="AZ66" s="5">
        <f t="shared" si="2"/>
        <v>0.49</v>
      </c>
      <c r="BA66" s="5">
        <f t="shared" si="2"/>
        <v>0.5</v>
      </c>
    </row>
    <row r="67" spans="1:53" x14ac:dyDescent="0.2">
      <c r="A67" s="2" t="s">
        <v>4</v>
      </c>
      <c r="B67" s="3">
        <v>0</v>
      </c>
      <c r="C67" s="2">
        <v>0</v>
      </c>
      <c r="D67" s="2">
        <f>B67+1</f>
        <v>1</v>
      </c>
      <c r="E67" s="2">
        <f>D67+1</f>
        <v>2</v>
      </c>
      <c r="F67" s="2">
        <f>E67+1</f>
        <v>3</v>
      </c>
      <c r="G67" s="2">
        <f t="shared" ref="G67:BA67" si="3">F67+1</f>
        <v>4</v>
      </c>
      <c r="H67" s="2">
        <f t="shared" si="3"/>
        <v>5</v>
      </c>
      <c r="I67" s="2">
        <f t="shared" si="3"/>
        <v>6</v>
      </c>
      <c r="J67" s="2">
        <f t="shared" si="3"/>
        <v>7</v>
      </c>
      <c r="K67" s="2">
        <f t="shared" si="3"/>
        <v>8</v>
      </c>
      <c r="L67" s="2">
        <f t="shared" si="3"/>
        <v>9</v>
      </c>
      <c r="M67" s="2">
        <f t="shared" si="3"/>
        <v>10</v>
      </c>
      <c r="N67" s="2">
        <f t="shared" si="3"/>
        <v>11</v>
      </c>
      <c r="O67" s="2">
        <f t="shared" si="3"/>
        <v>12</v>
      </c>
      <c r="P67" s="2">
        <f t="shared" si="3"/>
        <v>13</v>
      </c>
      <c r="Q67" s="2">
        <f t="shared" si="3"/>
        <v>14</v>
      </c>
      <c r="R67" s="2">
        <f t="shared" si="3"/>
        <v>15</v>
      </c>
      <c r="S67" s="2">
        <f t="shared" si="3"/>
        <v>16</v>
      </c>
      <c r="T67" s="2">
        <f t="shared" si="3"/>
        <v>17</v>
      </c>
      <c r="U67" s="2">
        <f t="shared" si="3"/>
        <v>18</v>
      </c>
      <c r="V67" s="2">
        <f t="shared" si="3"/>
        <v>19</v>
      </c>
      <c r="W67" s="2">
        <f t="shared" si="3"/>
        <v>20</v>
      </c>
      <c r="X67" s="2">
        <f t="shared" si="3"/>
        <v>21</v>
      </c>
      <c r="Y67" s="2">
        <f t="shared" si="3"/>
        <v>22</v>
      </c>
      <c r="Z67" s="2">
        <f t="shared" si="3"/>
        <v>23</v>
      </c>
      <c r="AA67" s="2">
        <f t="shared" si="3"/>
        <v>24</v>
      </c>
      <c r="AB67" s="2">
        <f t="shared" si="3"/>
        <v>25</v>
      </c>
      <c r="AC67" s="2">
        <f t="shared" si="3"/>
        <v>26</v>
      </c>
      <c r="AD67" s="2">
        <f t="shared" si="3"/>
        <v>27</v>
      </c>
      <c r="AE67" s="2">
        <f t="shared" si="3"/>
        <v>28</v>
      </c>
      <c r="AF67" s="2">
        <f t="shared" si="3"/>
        <v>29</v>
      </c>
      <c r="AG67" s="2">
        <f t="shared" si="3"/>
        <v>30</v>
      </c>
      <c r="AH67" s="2">
        <f t="shared" si="3"/>
        <v>31</v>
      </c>
      <c r="AI67" s="2">
        <f t="shared" si="3"/>
        <v>32</v>
      </c>
      <c r="AJ67" s="2">
        <f t="shared" si="3"/>
        <v>33</v>
      </c>
      <c r="AK67" s="2">
        <f t="shared" si="3"/>
        <v>34</v>
      </c>
      <c r="AL67" s="2">
        <f t="shared" si="3"/>
        <v>35</v>
      </c>
      <c r="AM67" s="2">
        <f t="shared" si="3"/>
        <v>36</v>
      </c>
      <c r="AN67" s="2">
        <f t="shared" si="3"/>
        <v>37</v>
      </c>
      <c r="AO67" s="2">
        <f t="shared" si="3"/>
        <v>38</v>
      </c>
      <c r="AP67" s="2">
        <f t="shared" si="3"/>
        <v>39</v>
      </c>
      <c r="AQ67" s="2">
        <f t="shared" si="3"/>
        <v>40</v>
      </c>
      <c r="AR67" s="2">
        <f t="shared" si="3"/>
        <v>41</v>
      </c>
      <c r="AS67" s="2">
        <f t="shared" si="3"/>
        <v>42</v>
      </c>
      <c r="AT67" s="2">
        <f t="shared" si="3"/>
        <v>43</v>
      </c>
      <c r="AU67" s="2">
        <f t="shared" si="3"/>
        <v>44</v>
      </c>
      <c r="AV67" s="2">
        <f t="shared" si="3"/>
        <v>45</v>
      </c>
      <c r="AW67" s="2">
        <f t="shared" si="3"/>
        <v>46</v>
      </c>
      <c r="AX67" s="2">
        <f t="shared" si="3"/>
        <v>47</v>
      </c>
      <c r="AY67" s="2">
        <f t="shared" si="3"/>
        <v>48</v>
      </c>
      <c r="AZ67" s="2">
        <f t="shared" si="3"/>
        <v>49</v>
      </c>
      <c r="BA67" s="2">
        <f t="shared" si="3"/>
        <v>50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7"/>
  <sheetViews>
    <sheetView tabSelected="1" workbookViewId="0">
      <selection activeCell="U23" sqref="U23"/>
    </sheetView>
  </sheetViews>
  <sheetFormatPr defaultRowHeight="12.75" x14ac:dyDescent="0.2"/>
  <sheetData>
    <row r="1" spans="1:17" x14ac:dyDescent="0.2">
      <c r="A1" s="29" t="s">
        <v>23</v>
      </c>
      <c r="B1">
        <v>40</v>
      </c>
      <c r="D1" s="29" t="s">
        <v>26</v>
      </c>
      <c r="E1" s="29" t="s">
        <v>27</v>
      </c>
      <c r="F1" s="29" t="s">
        <v>17</v>
      </c>
      <c r="G1" s="29" t="s">
        <v>18</v>
      </c>
      <c r="H1" s="29" t="s">
        <v>19</v>
      </c>
      <c r="I1" s="29" t="s">
        <v>20</v>
      </c>
      <c r="L1" s="29" t="s">
        <v>26</v>
      </c>
      <c r="M1" s="29" t="s">
        <v>27</v>
      </c>
      <c r="N1" s="29" t="s">
        <v>17</v>
      </c>
      <c r="O1" s="29" t="s">
        <v>18</v>
      </c>
      <c r="P1" s="29" t="s">
        <v>19</v>
      </c>
      <c r="Q1" s="29" t="s">
        <v>20</v>
      </c>
    </row>
    <row r="2" spans="1:17" x14ac:dyDescent="0.2">
      <c r="A2" s="29" t="s">
        <v>24</v>
      </c>
      <c r="B2">
        <v>500</v>
      </c>
      <c r="D2">
        <v>1000</v>
      </c>
      <c r="E2">
        <v>40</v>
      </c>
      <c r="F2">
        <v>2.8049830392301076</v>
      </c>
      <c r="G2">
        <v>0</v>
      </c>
      <c r="H2">
        <f>EurCall!$F$9</f>
        <v>2.8623584224437018</v>
      </c>
      <c r="I2">
        <f>H2-F2</f>
        <v>5.7375383213594144E-2</v>
      </c>
      <c r="L2">
        <v>1000</v>
      </c>
      <c r="M2">
        <v>50</v>
      </c>
      <c r="N2">
        <v>3.4350235782745808</v>
      </c>
      <c r="O2">
        <v>0.5</v>
      </c>
      <c r="P2">
        <v>3.4359406825212417</v>
      </c>
      <c r="Q2">
        <f>P2-N2</f>
        <v>9.1710424666091583E-4</v>
      </c>
    </row>
    <row r="3" spans="1:17" x14ac:dyDescent="0.2">
      <c r="A3" s="29" t="s">
        <v>25</v>
      </c>
      <c r="B3">
        <v>20</v>
      </c>
      <c r="D3">
        <v>1000</v>
      </c>
      <c r="E3">
        <v>60</v>
      </c>
      <c r="F3">
        <v>2.837467161697639</v>
      </c>
      <c r="G3">
        <v>0</v>
      </c>
      <c r="H3">
        <f>EurCall!$F$9</f>
        <v>2.8623584224437018</v>
      </c>
      <c r="I3">
        <f t="shared" ref="I3:I25" si="0">H3-F3</f>
        <v>2.4891260746062738E-2</v>
      </c>
      <c r="L3">
        <v>1000</v>
      </c>
      <c r="M3">
        <v>150</v>
      </c>
      <c r="N3">
        <v>3.4358343545017149</v>
      </c>
      <c r="O3">
        <v>0.50000000000000355</v>
      </c>
      <c r="P3">
        <v>3.4359406825212417</v>
      </c>
      <c r="Q3">
        <f>P3-N3</f>
        <v>1.0632801952681348E-4</v>
      </c>
    </row>
    <row r="4" spans="1:17" x14ac:dyDescent="0.2">
      <c r="D4">
        <v>1000</v>
      </c>
      <c r="E4">
        <v>80</v>
      </c>
      <c r="F4">
        <v>2.8484630665208637</v>
      </c>
      <c r="G4">
        <v>0</v>
      </c>
      <c r="H4">
        <f>EurCall!$F$9</f>
        <v>2.8623584224437018</v>
      </c>
      <c r="I4">
        <f t="shared" si="0"/>
        <v>1.3895355922838082E-2</v>
      </c>
      <c r="L4">
        <v>1000</v>
      </c>
      <c r="M4">
        <v>250</v>
      </c>
      <c r="N4">
        <v>3.4359023371945332</v>
      </c>
      <c r="O4">
        <v>0.49999999999998934</v>
      </c>
      <c r="P4">
        <v>3.4359406825212417</v>
      </c>
      <c r="Q4">
        <f>P4-N4</f>
        <v>3.8345326708544292E-5</v>
      </c>
    </row>
    <row r="5" spans="1:17" x14ac:dyDescent="0.2">
      <c r="D5">
        <v>1000</v>
      </c>
      <c r="E5">
        <v>100</v>
      </c>
      <c r="F5">
        <v>2.8534956165486465</v>
      </c>
      <c r="G5">
        <v>0</v>
      </c>
      <c r="H5">
        <f>EurCall!$F$9</f>
        <v>2.8623584224437018</v>
      </c>
      <c r="I5">
        <f t="shared" si="0"/>
        <v>8.8628058950552813E-3</v>
      </c>
      <c r="L5">
        <v>1000</v>
      </c>
      <c r="M5">
        <v>350</v>
      </c>
      <c r="N5">
        <v>3.4359211358773862</v>
      </c>
      <c r="O5">
        <v>0.50000000000001066</v>
      </c>
      <c r="P5">
        <v>3.4359406825212417</v>
      </c>
      <c r="Q5">
        <f>P5-N5</f>
        <v>1.9546643855505863E-5</v>
      </c>
    </row>
    <row r="6" spans="1:17" x14ac:dyDescent="0.2">
      <c r="D6">
        <v>1000</v>
      </c>
      <c r="E6">
        <v>120</v>
      </c>
      <c r="F6">
        <v>2.8562149069983738</v>
      </c>
      <c r="G6">
        <v>0</v>
      </c>
      <c r="H6">
        <f>EurCall!$F$9</f>
        <v>2.8623584224437018</v>
      </c>
      <c r="I6">
        <f t="shared" si="0"/>
        <v>6.143515445327985E-3</v>
      </c>
      <c r="L6">
        <v>1000</v>
      </c>
      <c r="M6">
        <v>450</v>
      </c>
      <c r="N6">
        <v>3.4359288804632411</v>
      </c>
      <c r="O6">
        <v>0.50000000000001421</v>
      </c>
      <c r="P6">
        <v>3.4359406825212417</v>
      </c>
      <c r="Q6">
        <f>P6-N6</f>
        <v>1.1802058000665028E-5</v>
      </c>
    </row>
    <row r="7" spans="1:17" x14ac:dyDescent="0.2">
      <c r="D7">
        <v>1000</v>
      </c>
      <c r="E7">
        <v>140</v>
      </c>
      <c r="F7">
        <v>2.8578497462581089</v>
      </c>
      <c r="G7">
        <v>0</v>
      </c>
      <c r="H7">
        <f>EurCall!$F$9</f>
        <v>2.8623584224437018</v>
      </c>
      <c r="I7">
        <f t="shared" si="0"/>
        <v>4.5086761855928081E-3</v>
      </c>
    </row>
    <row r="8" spans="1:17" x14ac:dyDescent="0.2">
      <c r="D8">
        <v>1000</v>
      </c>
      <c r="E8">
        <v>160</v>
      </c>
      <c r="F8">
        <v>2.8589089081180123</v>
      </c>
      <c r="G8">
        <v>0</v>
      </c>
      <c r="H8">
        <f>EurCall!$F$9</f>
        <v>2.8623584224437018</v>
      </c>
      <c r="I8">
        <f t="shared" si="0"/>
        <v>3.4495143256894067E-3</v>
      </c>
      <c r="L8" s="10" t="s">
        <v>21</v>
      </c>
    </row>
    <row r="9" spans="1:17" x14ac:dyDescent="0.2">
      <c r="D9">
        <v>1000</v>
      </c>
      <c r="E9">
        <v>180</v>
      </c>
      <c r="F9">
        <v>2.8596342031190147</v>
      </c>
      <c r="G9">
        <v>0</v>
      </c>
      <c r="H9">
        <f>EurCall!$F$9</f>
        <v>2.8623584224437018</v>
      </c>
      <c r="I9">
        <f t="shared" si="0"/>
        <v>2.7242193246870272E-3</v>
      </c>
    </row>
    <row r="10" spans="1:17" x14ac:dyDescent="0.2">
      <c r="D10">
        <v>1000</v>
      </c>
      <c r="E10">
        <v>200</v>
      </c>
      <c r="F10">
        <v>2.8601525739511882</v>
      </c>
      <c r="G10">
        <v>0</v>
      </c>
      <c r="H10">
        <f>EurCall!$F$9</f>
        <v>2.8623584224437018</v>
      </c>
      <c r="I10">
        <f t="shared" si="0"/>
        <v>2.2058484925135957E-3</v>
      </c>
    </row>
    <row r="11" spans="1:17" x14ac:dyDescent="0.2">
      <c r="D11">
        <v>1000</v>
      </c>
      <c r="E11">
        <v>220</v>
      </c>
      <c r="F11">
        <v>2.8605358805857026</v>
      </c>
      <c r="G11">
        <v>0</v>
      </c>
      <c r="H11">
        <f>EurCall!$F$9</f>
        <v>2.8623584224437018</v>
      </c>
      <c r="I11">
        <f t="shared" si="0"/>
        <v>1.822541857999127E-3</v>
      </c>
    </row>
    <row r="12" spans="1:17" x14ac:dyDescent="0.2">
      <c r="D12">
        <v>1000</v>
      </c>
      <c r="E12">
        <v>240</v>
      </c>
      <c r="F12">
        <v>2.8608272865684228</v>
      </c>
      <c r="G12">
        <v>0</v>
      </c>
      <c r="H12">
        <f>EurCall!$F$9</f>
        <v>2.8623584224437018</v>
      </c>
      <c r="I12">
        <f t="shared" si="0"/>
        <v>1.5311358752789772E-3</v>
      </c>
    </row>
    <row r="13" spans="1:17" x14ac:dyDescent="0.2">
      <c r="D13">
        <v>1000</v>
      </c>
      <c r="E13">
        <v>260</v>
      </c>
      <c r="F13">
        <v>2.861053991290563</v>
      </c>
      <c r="G13">
        <v>0</v>
      </c>
      <c r="H13">
        <f>EurCall!$F$9</f>
        <v>2.8623584224437018</v>
      </c>
      <c r="I13">
        <f t="shared" si="0"/>
        <v>1.3044311531387187E-3</v>
      </c>
    </row>
    <row r="14" spans="1:17" x14ac:dyDescent="0.2">
      <c r="D14">
        <v>1000</v>
      </c>
      <c r="E14">
        <v>280</v>
      </c>
      <c r="F14">
        <v>2.8612338262587484</v>
      </c>
      <c r="G14">
        <v>0</v>
      </c>
      <c r="H14">
        <f>EurCall!$F$9</f>
        <v>2.8623584224437018</v>
      </c>
      <c r="I14">
        <f t="shared" si="0"/>
        <v>1.1245961849533082E-3</v>
      </c>
    </row>
    <row r="15" spans="1:17" x14ac:dyDescent="0.2">
      <c r="D15">
        <v>1000</v>
      </c>
      <c r="E15">
        <v>300</v>
      </c>
      <c r="F15">
        <v>2.8613788768318553</v>
      </c>
      <c r="G15">
        <v>0</v>
      </c>
      <c r="H15">
        <f>EurCall!$F$9</f>
        <v>2.8623584224437018</v>
      </c>
      <c r="I15">
        <f t="shared" si="0"/>
        <v>9.7954561184643296E-4</v>
      </c>
    </row>
    <row r="16" spans="1:17" x14ac:dyDescent="0.2">
      <c r="D16">
        <v>1000</v>
      </c>
      <c r="E16">
        <v>320</v>
      </c>
      <c r="F16">
        <v>2.8614975694487468</v>
      </c>
      <c r="G16">
        <v>0</v>
      </c>
      <c r="H16">
        <f>EurCall!$F$9</f>
        <v>2.8623584224437018</v>
      </c>
      <c r="I16">
        <f t="shared" si="0"/>
        <v>8.608529949549748E-4</v>
      </c>
    </row>
    <row r="17" spans="4:9" x14ac:dyDescent="0.2">
      <c r="D17">
        <v>1000</v>
      </c>
      <c r="E17">
        <v>340</v>
      </c>
      <c r="F17">
        <v>2.8615959249112599</v>
      </c>
      <c r="G17">
        <v>0</v>
      </c>
      <c r="H17">
        <f>EurCall!$F$9</f>
        <v>2.8623584224437018</v>
      </c>
      <c r="I17">
        <f t="shared" si="0"/>
        <v>7.6249753244184149E-4</v>
      </c>
    </row>
    <row r="18" spans="4:9" x14ac:dyDescent="0.2">
      <c r="D18">
        <v>1000</v>
      </c>
      <c r="E18">
        <v>360</v>
      </c>
      <c r="F18">
        <v>2.8616783379276836</v>
      </c>
      <c r="G18">
        <v>0</v>
      </c>
      <c r="H18">
        <f>EurCall!$F$9</f>
        <v>2.8623584224437018</v>
      </c>
      <c r="I18">
        <f t="shared" si="0"/>
        <v>6.8008451601819786E-4</v>
      </c>
    </row>
    <row r="19" spans="4:9" x14ac:dyDescent="0.2">
      <c r="D19">
        <v>1000</v>
      </c>
      <c r="E19">
        <v>380</v>
      </c>
      <c r="F19">
        <v>2.8617480770697794</v>
      </c>
      <c r="G19">
        <v>0</v>
      </c>
      <c r="H19">
        <f>EurCall!$F$9</f>
        <v>2.8623584224437018</v>
      </c>
      <c r="I19">
        <f t="shared" si="0"/>
        <v>6.1034537392234967E-4</v>
      </c>
    </row>
    <row r="20" spans="4:9" x14ac:dyDescent="0.2">
      <c r="D20">
        <v>1000</v>
      </c>
      <c r="E20">
        <v>400</v>
      </c>
      <c r="F20">
        <v>2.8618076141492774</v>
      </c>
      <c r="G20">
        <v>0</v>
      </c>
      <c r="H20">
        <f>EurCall!$F$9</f>
        <v>2.8623584224437018</v>
      </c>
      <c r="I20">
        <f t="shared" si="0"/>
        <v>5.5080829442433199E-4</v>
      </c>
    </row>
    <row r="21" spans="4:9" x14ac:dyDescent="0.2">
      <c r="D21">
        <v>1000</v>
      </c>
      <c r="E21">
        <v>420</v>
      </c>
      <c r="F21">
        <v>2.8618588464328867</v>
      </c>
      <c r="G21">
        <v>0</v>
      </c>
      <c r="H21">
        <f>EurCall!$F$9</f>
        <v>2.8623584224437018</v>
      </c>
      <c r="I21">
        <f t="shared" si="0"/>
        <v>4.9957601081507264E-4</v>
      </c>
    </row>
    <row r="22" spans="4:9" x14ac:dyDescent="0.2">
      <c r="D22">
        <v>1000</v>
      </c>
      <c r="E22">
        <v>440</v>
      </c>
      <c r="F22">
        <v>2.8619032497690724</v>
      </c>
      <c r="G22">
        <v>0</v>
      </c>
      <c r="H22">
        <f>EurCall!$F$9</f>
        <v>2.8623584224437018</v>
      </c>
      <c r="I22">
        <f t="shared" si="0"/>
        <v>4.5517267462935607E-4</v>
      </c>
    </row>
    <row r="23" spans="4:9" x14ac:dyDescent="0.2">
      <c r="D23">
        <v>1000</v>
      </c>
      <c r="E23">
        <v>460</v>
      </c>
      <c r="F23">
        <v>2.8619419861294362</v>
      </c>
      <c r="G23">
        <v>0</v>
      </c>
      <c r="H23">
        <f>EurCall!$F$9</f>
        <v>2.8623584224437018</v>
      </c>
      <c r="I23">
        <f t="shared" si="0"/>
        <v>4.1643631426557803E-4</v>
      </c>
    </row>
    <row r="24" spans="4:9" x14ac:dyDescent="0.2">
      <c r="D24">
        <v>1000</v>
      </c>
      <c r="E24">
        <v>480</v>
      </c>
      <c r="F24">
        <v>2.8619759804408447</v>
      </c>
      <c r="G24">
        <v>0</v>
      </c>
      <c r="H24">
        <f>EurCall!$F$9</f>
        <v>2.8623584224437018</v>
      </c>
      <c r="I24">
        <f t="shared" si="0"/>
        <v>3.8244200285708629E-4</v>
      </c>
    </row>
    <row r="25" spans="4:9" x14ac:dyDescent="0.2">
      <c r="D25">
        <v>1000</v>
      </c>
      <c r="E25">
        <v>500</v>
      </c>
      <c r="F25">
        <v>2.8620059763368637</v>
      </c>
      <c r="G25">
        <v>0</v>
      </c>
      <c r="H25">
        <f>EurCall!$F$9</f>
        <v>2.8623584224437018</v>
      </c>
      <c r="I25">
        <f t="shared" si="0"/>
        <v>3.5244610683804467E-4</v>
      </c>
    </row>
    <row r="27" spans="4:9" x14ac:dyDescent="0.2">
      <c r="D27" s="10" t="s">
        <v>22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EurCall</vt:lpstr>
      <vt:lpstr>CN FD A</vt:lpstr>
      <vt:lpstr>CN FD B</vt:lpstr>
      <vt:lpstr>CN FD C</vt:lpstr>
      <vt:lpstr>CN FD D</vt:lpstr>
      <vt:lpstr>CN FD alpha</vt:lpstr>
      <vt:lpstr>CN FD S</vt:lpstr>
      <vt:lpstr>VBA</vt:lpstr>
      <vt:lpstr>d</vt:lpstr>
      <vt:lpstr>dS</vt:lpstr>
      <vt:lpstr>dt</vt:lpstr>
      <vt:lpstr>K</vt:lpstr>
      <vt:lpstr>nS</vt:lpstr>
      <vt:lpstr>nt</vt:lpstr>
      <vt:lpstr>rate</vt:lpstr>
      <vt:lpstr>S0</vt:lpstr>
      <vt:lpstr>sigma</vt:lpstr>
      <vt:lpstr>Smax</vt:lpstr>
      <vt:lpstr>Smin</vt:lpstr>
      <vt:lpstr>T</vt:lpstr>
    </vt:vector>
  </TitlesOfParts>
  <Company>University of Illinois - CBA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pearson2</dc:creator>
  <cp:lastModifiedBy>Widdicks, Martin</cp:lastModifiedBy>
  <dcterms:created xsi:type="dcterms:W3CDTF">2002-02-24T18:19:42Z</dcterms:created>
  <dcterms:modified xsi:type="dcterms:W3CDTF">2018-04-02T14:17:17Z</dcterms:modified>
</cp:coreProperties>
</file>